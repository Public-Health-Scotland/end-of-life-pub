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tats\irf\18-End-of-Life\Publication\RAP\end-of-life-pub\reference-files\"/>
    </mc:Choice>
  </mc:AlternateContent>
  <bookViews>
    <workbookView xWindow="9600" yWindow="-15" windowWidth="9645" windowHeight="8130" tabRatio="649" firstSheet="8" activeTab="12"/>
  </bookViews>
  <sheets>
    <sheet name="Notes" sheetId="9" r:id="rId1"/>
    <sheet name="Figure 1" sheetId="2" r:id="rId2"/>
    <sheet name="Figure 1 Background Data" sheetId="8" r:id="rId3"/>
    <sheet name="Figure 2" sheetId="10" r:id="rId4"/>
    <sheet name="Figure 2 Background Data" sheetId="11" r:id="rId5"/>
    <sheet name="Figure 3" sheetId="12" r:id="rId6"/>
    <sheet name="Figure 3 Background Data" sheetId="13" r:id="rId7"/>
    <sheet name="Figure 4" sheetId="14" r:id="rId8"/>
    <sheet name="Figure 4 Background Data" sheetId="15" r:id="rId9"/>
    <sheet name="Figure 5" sheetId="16" r:id="rId10"/>
    <sheet name="Figure 5 Background Data" sheetId="17" r:id="rId11"/>
    <sheet name="External Causes of Deaths" sheetId="7" r:id="rId12"/>
    <sheet name="data" sheetId="18" r:id="rId13"/>
    <sheet name="calculation" sheetId="19" r:id="rId14"/>
  </sheets>
  <definedNames>
    <definedName name="data_range">OFFSET(data!$A$2, 0, 0, calculation!$B$1, calculation!$B$2)</definedName>
    <definedName name="figure1_home">OFFSET('Figure 1 Background Data'!$C$8, 0, 0, calculation!$B$7, 1)</definedName>
    <definedName name="figure1_hospital">OFFSET('Figure 1 Background Data'!$D$8, 0, 0, calculation!$B$7, 1)</definedName>
    <definedName name="figure1_year">OFFSET('Figure 1 Background Data'!$B$8, 0, 0, calculation!$B$7, 1)</definedName>
    <definedName name="fy_max">OFFSET('Figure 1 Background Data'!$A$7, calculation!$B$7, 0, 1, 1)</definedName>
    <definedName name="fy_range">OFFSET(data!$B$2, 0, 0, calculation!$B$1, 1)</definedName>
    <definedName name="_xlnm.Print_Area" localSheetId="11">'External Causes of Deaths'!$A$1:$E$57</definedName>
    <definedName name="_xlnm.Print_Area" localSheetId="1">'Figure 1'!$B$1:$L$34</definedName>
    <definedName name="_xlnm.Print_Area" localSheetId="2">OFFSET('Figure 1 Background Data'!$B$1:$H$1, 0, 0, calculation!$B$7+14, 9)</definedName>
    <definedName name="_xlnm.Print_Area" localSheetId="3">'Figure 2'!$B$1:$M$41</definedName>
    <definedName name="_xlnm.Print_Area" localSheetId="4">'Figure 2 Background Data'!$B$1:$J$27</definedName>
    <definedName name="_xlnm.Print_Area" localSheetId="5">'Figure 3'!$B$1:$M$34</definedName>
    <definedName name="_xlnm.Print_Area" localSheetId="6">'Figure 3 Background Data'!$B$1:$J$17</definedName>
    <definedName name="_xlnm.Print_Area" localSheetId="7">'Figure 4'!$B$2:$N$37</definedName>
    <definedName name="_xlnm.Print_Area" localSheetId="8">'Figure 4 Background Data'!$B$2:$J$21</definedName>
    <definedName name="_xlnm.Print_Area" localSheetId="9">'Figure 5'!$B$2:$O$38</definedName>
    <definedName name="_xlnm.Print_Area" localSheetId="10">'Figure 5 Background Data'!$B$2:$J$20</definedName>
    <definedName name="_xlnm.Print_Area" localSheetId="0">Notes!$A$1:$P$51</definedName>
  </definedNames>
  <calcPr calcId="162913"/>
</workbook>
</file>

<file path=xl/calcChain.xml><?xml version="1.0" encoding="utf-8"?>
<calcChain xmlns="http://schemas.openxmlformats.org/spreadsheetml/2006/main">
  <c r="A1000" i="18" l="1"/>
  <c r="A999" i="18"/>
  <c r="A998" i="18"/>
  <c r="A997" i="18"/>
  <c r="A996" i="18"/>
  <c r="A995" i="18"/>
  <c r="A994" i="18"/>
  <c r="A993" i="18"/>
  <c r="A992" i="18"/>
  <c r="A991" i="18"/>
  <c r="A990" i="18"/>
  <c r="A989" i="18"/>
  <c r="A988" i="18"/>
  <c r="A987" i="18"/>
  <c r="A986" i="18"/>
  <c r="A985" i="18"/>
  <c r="A984" i="18"/>
  <c r="A983" i="18"/>
  <c r="A982" i="18"/>
  <c r="A981" i="18"/>
  <c r="A980" i="18"/>
  <c r="A979" i="18"/>
  <c r="A978" i="18"/>
  <c r="A977" i="18"/>
  <c r="A976" i="18"/>
  <c r="A975" i="18"/>
  <c r="A974" i="18"/>
  <c r="A973" i="18"/>
  <c r="A972" i="18"/>
  <c r="A971" i="18"/>
  <c r="A970" i="18"/>
  <c r="A969" i="18"/>
  <c r="A968" i="18"/>
  <c r="A967" i="18"/>
  <c r="A966" i="18"/>
  <c r="A965" i="18"/>
  <c r="A964" i="18"/>
  <c r="A963" i="18"/>
  <c r="A962" i="18"/>
  <c r="A961" i="18"/>
  <c r="A960" i="18"/>
  <c r="A959" i="18"/>
  <c r="A958" i="18"/>
  <c r="A957" i="18"/>
  <c r="A956" i="18"/>
  <c r="A955" i="18"/>
  <c r="A954" i="18"/>
  <c r="A953" i="18"/>
  <c r="A952" i="18"/>
  <c r="A951" i="18"/>
  <c r="A950" i="18"/>
  <c r="A949" i="18"/>
  <c r="A948" i="18"/>
  <c r="A947" i="18"/>
  <c r="A946" i="18"/>
  <c r="A945" i="18"/>
  <c r="A944" i="18"/>
  <c r="A943" i="18"/>
  <c r="A942" i="18"/>
  <c r="A941" i="18"/>
  <c r="A940" i="18"/>
  <c r="A939" i="18"/>
  <c r="A938" i="18"/>
  <c r="A937" i="18"/>
  <c r="A936" i="18"/>
  <c r="A935" i="18"/>
  <c r="A934" i="18"/>
  <c r="A933" i="18"/>
  <c r="A932" i="18"/>
  <c r="A931" i="18"/>
  <c r="A930" i="18"/>
  <c r="A929" i="18"/>
  <c r="A928" i="18"/>
  <c r="A927" i="18"/>
  <c r="A926" i="18"/>
  <c r="A925" i="18"/>
  <c r="A924" i="18"/>
  <c r="A923" i="18"/>
  <c r="A922" i="18"/>
  <c r="A921" i="18"/>
  <c r="A920" i="18"/>
  <c r="A919" i="18"/>
  <c r="A918" i="18"/>
  <c r="A917" i="18"/>
  <c r="A916" i="18"/>
  <c r="A915" i="18"/>
  <c r="A914" i="18"/>
  <c r="A913" i="18"/>
  <c r="A912" i="18"/>
  <c r="A911" i="18"/>
  <c r="A910" i="18"/>
  <c r="A909" i="18"/>
  <c r="A908" i="18"/>
  <c r="A907" i="18"/>
  <c r="A906" i="18"/>
  <c r="A905" i="18"/>
  <c r="A904" i="18"/>
  <c r="A903" i="18"/>
  <c r="A902" i="18"/>
  <c r="A901" i="18"/>
  <c r="A900" i="18"/>
  <c r="A899" i="18"/>
  <c r="A898" i="18"/>
  <c r="A897" i="18"/>
  <c r="A896" i="18"/>
  <c r="A895" i="18"/>
  <c r="A894" i="18"/>
  <c r="A893" i="18"/>
  <c r="A892" i="18"/>
  <c r="A891" i="18"/>
  <c r="A890" i="18"/>
  <c r="A889" i="18"/>
  <c r="A888" i="18"/>
  <c r="A887" i="18"/>
  <c r="A886" i="18"/>
  <c r="A885" i="18"/>
  <c r="A884" i="18"/>
  <c r="A883" i="18"/>
  <c r="A882" i="18"/>
  <c r="A881" i="18"/>
  <c r="A880" i="18"/>
  <c r="A879" i="18"/>
  <c r="A878" i="18"/>
  <c r="A877" i="18"/>
  <c r="A876" i="18"/>
  <c r="A875" i="18"/>
  <c r="A874" i="18"/>
  <c r="A873" i="18"/>
  <c r="A872" i="18"/>
  <c r="A871" i="18"/>
  <c r="A870" i="18"/>
  <c r="A869" i="18"/>
  <c r="A868" i="18"/>
  <c r="A867" i="18"/>
  <c r="A866" i="18"/>
  <c r="A865" i="18"/>
  <c r="A864" i="18"/>
  <c r="A863" i="18"/>
  <c r="A862" i="18"/>
  <c r="A861" i="18"/>
  <c r="A860" i="18"/>
  <c r="A859" i="18"/>
  <c r="A858" i="18"/>
  <c r="A857" i="18"/>
  <c r="A856" i="18"/>
  <c r="A855" i="18"/>
  <c r="A854" i="18"/>
  <c r="A853" i="18"/>
  <c r="A852" i="18"/>
  <c r="A851" i="18"/>
  <c r="A850" i="18"/>
  <c r="A849" i="18"/>
  <c r="A848" i="18"/>
  <c r="A847" i="18"/>
  <c r="A846" i="18"/>
  <c r="A845" i="18"/>
  <c r="A844" i="18"/>
  <c r="A843" i="18"/>
  <c r="A842" i="18"/>
  <c r="A841" i="18"/>
  <c r="A840" i="18"/>
  <c r="A839" i="18"/>
  <c r="A838" i="18"/>
  <c r="A837" i="18"/>
  <c r="A836" i="18"/>
  <c r="A835" i="18"/>
  <c r="A834" i="18"/>
  <c r="A833" i="18"/>
  <c r="A832" i="18"/>
  <c r="A831" i="18"/>
  <c r="A830" i="18"/>
  <c r="A829" i="18"/>
  <c r="A828" i="18"/>
  <c r="A827" i="18"/>
  <c r="A826" i="18"/>
  <c r="A825" i="18"/>
  <c r="A824" i="18"/>
  <c r="A823" i="18"/>
  <c r="A822" i="18"/>
  <c r="A821" i="18"/>
  <c r="A820" i="18"/>
  <c r="A819" i="18"/>
  <c r="A818" i="18"/>
  <c r="A817" i="18"/>
  <c r="A816" i="18"/>
  <c r="A815" i="18"/>
  <c r="A814" i="18"/>
  <c r="A813" i="18"/>
  <c r="A812" i="18"/>
  <c r="A811" i="18"/>
  <c r="A810" i="18"/>
  <c r="A809" i="18"/>
  <c r="A808" i="18"/>
  <c r="A807" i="18"/>
  <c r="A806" i="18"/>
  <c r="A805" i="18"/>
  <c r="A804" i="18"/>
  <c r="A803" i="18"/>
  <c r="A802" i="18"/>
  <c r="A801" i="18"/>
  <c r="A800" i="18"/>
  <c r="A799" i="18"/>
  <c r="A798" i="18"/>
  <c r="A797" i="18"/>
  <c r="A796" i="18"/>
  <c r="A795" i="18"/>
  <c r="A794" i="18"/>
  <c r="A793" i="18"/>
  <c r="A792" i="18"/>
  <c r="A791" i="18"/>
  <c r="A790" i="18"/>
  <c r="A789" i="18"/>
  <c r="A788" i="18"/>
  <c r="A787" i="18"/>
  <c r="A786" i="18"/>
  <c r="A785" i="18"/>
  <c r="A784" i="18"/>
  <c r="A783" i="18"/>
  <c r="A782" i="18"/>
  <c r="A781" i="18"/>
  <c r="A780" i="18"/>
  <c r="A779" i="18"/>
  <c r="A778" i="18"/>
  <c r="A777" i="18"/>
  <c r="A776" i="18"/>
  <c r="A775" i="18"/>
  <c r="A774" i="18"/>
  <c r="A773" i="18"/>
  <c r="A772" i="18"/>
  <c r="A771" i="18"/>
  <c r="A770" i="18"/>
  <c r="A769" i="18"/>
  <c r="A768" i="18"/>
  <c r="A767" i="18"/>
  <c r="A766" i="18"/>
  <c r="A765" i="18"/>
  <c r="A764" i="18"/>
  <c r="A763" i="18"/>
  <c r="A762" i="18"/>
  <c r="A761" i="18"/>
  <c r="A760" i="18"/>
  <c r="A759" i="18"/>
  <c r="A758" i="18"/>
  <c r="A757" i="18"/>
  <c r="A756" i="18"/>
  <c r="A755" i="18"/>
  <c r="A754" i="18"/>
  <c r="A753" i="18"/>
  <c r="A752" i="18"/>
  <c r="A751" i="18"/>
  <c r="A750" i="18"/>
  <c r="A749" i="18"/>
  <c r="A748" i="18"/>
  <c r="A747" i="18"/>
  <c r="A746" i="18"/>
  <c r="A745" i="18"/>
  <c r="A744" i="18"/>
  <c r="A743" i="18"/>
  <c r="A742" i="18"/>
  <c r="A741" i="18"/>
  <c r="A740" i="18"/>
  <c r="A739" i="18"/>
  <c r="A738" i="18"/>
  <c r="A737" i="18"/>
  <c r="A736" i="18"/>
  <c r="A735" i="18"/>
  <c r="A734" i="18"/>
  <c r="A733" i="18"/>
  <c r="A732" i="18"/>
  <c r="A731" i="18"/>
  <c r="A730" i="18"/>
  <c r="A729" i="18"/>
  <c r="A728" i="18"/>
  <c r="A727" i="18"/>
  <c r="A726" i="18"/>
  <c r="A725" i="18"/>
  <c r="A724" i="18"/>
  <c r="A723" i="18"/>
  <c r="A722" i="18"/>
  <c r="A721" i="18"/>
  <c r="A720" i="18"/>
  <c r="A719" i="18"/>
  <c r="A718" i="18"/>
  <c r="A717" i="18"/>
  <c r="A716" i="18"/>
  <c r="A715" i="18"/>
  <c r="A714" i="18"/>
  <c r="A713" i="18"/>
  <c r="A712" i="18"/>
  <c r="A711" i="18"/>
  <c r="A710" i="18"/>
  <c r="A709" i="18"/>
  <c r="A708" i="18"/>
  <c r="A707" i="18"/>
  <c r="A706" i="18"/>
  <c r="A705" i="18"/>
  <c r="A704" i="18"/>
  <c r="A703" i="18"/>
  <c r="A702" i="18"/>
  <c r="A701" i="18"/>
  <c r="A700" i="18"/>
  <c r="A699" i="18"/>
  <c r="A698" i="18"/>
  <c r="A697" i="18"/>
  <c r="A696" i="18"/>
  <c r="A695" i="18"/>
  <c r="A694" i="18"/>
  <c r="A693" i="18"/>
  <c r="A692" i="18"/>
  <c r="A691" i="18"/>
  <c r="A690" i="18"/>
  <c r="A689" i="18"/>
  <c r="A688" i="18"/>
  <c r="A687" i="18"/>
  <c r="A686" i="18"/>
  <c r="A685" i="18"/>
  <c r="A684" i="18"/>
  <c r="A683" i="18"/>
  <c r="A682" i="18"/>
  <c r="A681" i="18"/>
  <c r="A680" i="18"/>
  <c r="A679" i="18"/>
  <c r="A678" i="18"/>
  <c r="A677" i="18"/>
  <c r="A676" i="18"/>
  <c r="A675" i="18"/>
  <c r="A674" i="18"/>
  <c r="A673" i="18"/>
  <c r="A672" i="18"/>
  <c r="A671" i="18"/>
  <c r="A670" i="18"/>
  <c r="A669" i="18"/>
  <c r="A668" i="18"/>
  <c r="A667" i="18"/>
  <c r="A666" i="18"/>
  <c r="A665" i="18"/>
  <c r="A664" i="18"/>
  <c r="A663" i="18"/>
  <c r="A662" i="18"/>
  <c r="A661" i="18"/>
  <c r="A660" i="18"/>
  <c r="A659" i="18"/>
  <c r="A658" i="18"/>
  <c r="A657" i="18"/>
  <c r="A656" i="18"/>
  <c r="A655" i="18"/>
  <c r="A654" i="18"/>
  <c r="A653" i="18"/>
  <c r="A652" i="18"/>
  <c r="A651" i="18"/>
  <c r="A650" i="18"/>
  <c r="A649" i="18"/>
  <c r="A648" i="18"/>
  <c r="A647" i="18"/>
  <c r="A646" i="18"/>
  <c r="A645" i="18"/>
  <c r="A644" i="18"/>
  <c r="A643" i="18"/>
  <c r="A642" i="18"/>
  <c r="A641" i="18"/>
  <c r="A640" i="18"/>
  <c r="A639" i="18"/>
  <c r="A638" i="18"/>
  <c r="A637" i="18"/>
  <c r="A636" i="18"/>
  <c r="A635" i="18"/>
  <c r="A634" i="18"/>
  <c r="A633" i="18"/>
  <c r="A632" i="18"/>
  <c r="A631" i="18"/>
  <c r="A630" i="18"/>
  <c r="A629" i="18"/>
  <c r="A628" i="18"/>
  <c r="A627" i="18"/>
  <c r="A626" i="18"/>
  <c r="A625" i="18"/>
  <c r="A624" i="18"/>
  <c r="A623" i="18"/>
  <c r="A622" i="18"/>
  <c r="A621" i="18"/>
  <c r="A620" i="18"/>
  <c r="A619" i="18"/>
  <c r="A618" i="18"/>
  <c r="A617" i="18"/>
  <c r="A616" i="18"/>
  <c r="A615" i="18"/>
  <c r="A614" i="18"/>
  <c r="A613" i="18"/>
  <c r="A612" i="18"/>
  <c r="A611" i="18"/>
  <c r="A610" i="18"/>
  <c r="A609" i="18"/>
  <c r="A608" i="18"/>
  <c r="A607" i="18"/>
  <c r="A606" i="18"/>
  <c r="A605" i="18"/>
  <c r="A604" i="18"/>
  <c r="A603" i="18"/>
  <c r="A602" i="18"/>
  <c r="A601" i="18"/>
  <c r="A600" i="18"/>
  <c r="A599" i="18"/>
  <c r="A598" i="18"/>
  <c r="A597" i="18"/>
  <c r="A596" i="18"/>
  <c r="A595" i="18"/>
  <c r="A594" i="18"/>
  <c r="A593" i="18"/>
  <c r="A592" i="18"/>
  <c r="A591" i="18"/>
  <c r="A590" i="18"/>
  <c r="A589" i="18"/>
  <c r="A588" i="18"/>
  <c r="A587" i="18"/>
  <c r="A586" i="18"/>
  <c r="A585" i="18"/>
  <c r="A584" i="18"/>
  <c r="A583" i="18"/>
  <c r="A582" i="18"/>
  <c r="A581" i="18"/>
  <c r="A580" i="18"/>
  <c r="A579" i="18"/>
  <c r="A578" i="18"/>
  <c r="A577" i="18"/>
  <c r="A576" i="18"/>
  <c r="A575" i="18"/>
  <c r="A574" i="18"/>
  <c r="A573" i="18"/>
  <c r="A572" i="18"/>
  <c r="A571" i="18"/>
  <c r="A570" i="18"/>
  <c r="A569" i="18"/>
  <c r="A568" i="18"/>
  <c r="A567" i="18"/>
  <c r="A566" i="18"/>
  <c r="A565" i="18"/>
  <c r="A564" i="18"/>
  <c r="A563" i="18"/>
  <c r="A562" i="18"/>
  <c r="A561" i="18"/>
  <c r="A560" i="18"/>
  <c r="A559" i="18"/>
  <c r="A558" i="18"/>
  <c r="A557" i="18"/>
  <c r="A556" i="18"/>
  <c r="A555" i="18"/>
  <c r="A554" i="18"/>
  <c r="A553" i="18"/>
  <c r="A552" i="18"/>
  <c r="A551" i="18"/>
  <c r="A550" i="18"/>
  <c r="A549" i="18"/>
  <c r="A548" i="18"/>
  <c r="A547" i="18"/>
  <c r="A546" i="18"/>
  <c r="A545" i="18"/>
  <c r="A544" i="18"/>
  <c r="A543" i="18"/>
  <c r="A542" i="18"/>
  <c r="A541" i="18"/>
  <c r="A540" i="18"/>
  <c r="A539" i="18"/>
  <c r="A538" i="18"/>
  <c r="A537" i="18"/>
  <c r="A536" i="18"/>
  <c r="A535" i="18"/>
  <c r="A534" i="18"/>
  <c r="A533" i="18"/>
  <c r="A532" i="18"/>
  <c r="A531" i="18"/>
  <c r="A530" i="18"/>
  <c r="A529" i="18"/>
  <c r="A528" i="18"/>
  <c r="A527" i="18"/>
  <c r="A526" i="18"/>
  <c r="A525" i="18"/>
  <c r="A524" i="18"/>
  <c r="A523" i="18"/>
  <c r="A522" i="18"/>
  <c r="A521" i="18"/>
  <c r="A520" i="18"/>
  <c r="A519" i="18"/>
  <c r="A518" i="18"/>
  <c r="A517" i="18"/>
  <c r="A516" i="18"/>
  <c r="A515" i="18"/>
  <c r="A514" i="18"/>
  <c r="A513" i="18"/>
  <c r="A512" i="18"/>
  <c r="A511" i="18"/>
  <c r="A510" i="18"/>
  <c r="A509" i="18"/>
  <c r="A508" i="18"/>
  <c r="A507" i="18"/>
  <c r="A506" i="18"/>
  <c r="A505" i="18"/>
  <c r="A504" i="18"/>
  <c r="A503" i="18"/>
  <c r="A502" i="18"/>
  <c r="A501" i="18"/>
  <c r="A500" i="18"/>
  <c r="A499" i="18"/>
  <c r="A498" i="18"/>
  <c r="A497" i="18"/>
  <c r="A496" i="18"/>
  <c r="A495" i="18"/>
  <c r="A494" i="18"/>
  <c r="A493" i="18"/>
  <c r="A492" i="18"/>
  <c r="A491" i="18"/>
  <c r="A490" i="18"/>
  <c r="A489" i="18"/>
  <c r="A488" i="18"/>
  <c r="A487" i="18"/>
  <c r="A486" i="18"/>
  <c r="A485" i="18"/>
  <c r="A484" i="18"/>
  <c r="A483" i="18"/>
  <c r="A482" i="18"/>
  <c r="A481" i="18"/>
  <c r="A480" i="18"/>
  <c r="A479" i="18"/>
  <c r="A478" i="18"/>
  <c r="A477" i="18"/>
  <c r="A476" i="18"/>
  <c r="A475" i="18"/>
  <c r="A474" i="18"/>
  <c r="A473" i="18"/>
  <c r="A472" i="18"/>
  <c r="A471" i="18"/>
  <c r="A470" i="18"/>
  <c r="A469" i="18"/>
  <c r="A468" i="18"/>
  <c r="A467" i="18"/>
  <c r="A466" i="18"/>
  <c r="A465" i="18"/>
  <c r="A464" i="18"/>
  <c r="A463" i="18"/>
  <c r="A462" i="18"/>
  <c r="A461" i="18"/>
  <c r="A460" i="18"/>
  <c r="A459" i="18"/>
  <c r="A458" i="18"/>
  <c r="A457" i="18"/>
  <c r="A456" i="18"/>
  <c r="A455" i="18"/>
  <c r="A454" i="18"/>
  <c r="A453" i="18"/>
  <c r="A452" i="18"/>
  <c r="A451" i="18"/>
  <c r="A450" i="18"/>
  <c r="A449" i="18"/>
  <c r="A448" i="18"/>
  <c r="A447" i="18"/>
  <c r="A446" i="18"/>
  <c r="A445" i="18"/>
  <c r="A444" i="18"/>
  <c r="A443" i="18"/>
  <c r="A442" i="18"/>
  <c r="A441" i="18"/>
  <c r="A440" i="18"/>
  <c r="A439" i="18"/>
  <c r="A438" i="18"/>
  <c r="A437" i="18"/>
  <c r="A436" i="18"/>
  <c r="A435" i="18"/>
  <c r="A434" i="18"/>
  <c r="A433" i="18"/>
  <c r="A432" i="18"/>
  <c r="A431" i="18"/>
  <c r="A430" i="18"/>
  <c r="A429" i="18"/>
  <c r="A428" i="18"/>
  <c r="A427" i="18"/>
  <c r="A426" i="18"/>
  <c r="A425" i="18"/>
  <c r="A424" i="18"/>
  <c r="A423" i="18"/>
  <c r="A422" i="18"/>
  <c r="A421" i="18"/>
  <c r="A420" i="18"/>
  <c r="A419" i="18"/>
  <c r="A418" i="18"/>
  <c r="A417" i="18"/>
  <c r="A416" i="18"/>
  <c r="A415" i="18"/>
  <c r="A414" i="18"/>
  <c r="A413" i="18"/>
  <c r="A412" i="18"/>
  <c r="A411" i="18"/>
  <c r="A410" i="18"/>
  <c r="A409" i="18"/>
  <c r="A408" i="18"/>
  <c r="A407" i="18"/>
  <c r="A406" i="18"/>
  <c r="A405" i="18"/>
  <c r="A404" i="18"/>
  <c r="A403" i="18"/>
  <c r="A402" i="18"/>
  <c r="A401" i="18"/>
  <c r="A400" i="18"/>
  <c r="A399" i="18"/>
  <c r="A398" i="18"/>
  <c r="A397" i="18"/>
  <c r="A396" i="18"/>
  <c r="A395" i="18"/>
  <c r="A394" i="18"/>
  <c r="A393" i="18"/>
  <c r="A392" i="18"/>
  <c r="A391" i="18"/>
  <c r="A390" i="18"/>
  <c r="A389" i="18"/>
  <c r="A388" i="18"/>
  <c r="A387" i="18"/>
  <c r="A386" i="18"/>
  <c r="A385" i="18"/>
  <c r="A384" i="18"/>
  <c r="A383" i="18"/>
  <c r="A382" i="18"/>
  <c r="A381" i="18"/>
  <c r="A380" i="18"/>
  <c r="A379" i="18"/>
  <c r="A378" i="18"/>
  <c r="A377" i="18"/>
  <c r="A376" i="18"/>
  <c r="A375" i="18"/>
  <c r="A374" i="18"/>
  <c r="A373" i="18"/>
  <c r="A372" i="18"/>
  <c r="A371" i="18"/>
  <c r="A370" i="18"/>
  <c r="A369" i="18"/>
  <c r="A368" i="18"/>
  <c r="A367" i="18"/>
  <c r="A366" i="18"/>
  <c r="A365" i="18"/>
  <c r="A364" i="18"/>
  <c r="A363" i="18"/>
  <c r="A362" i="18"/>
  <c r="A361" i="18"/>
  <c r="A360" i="18"/>
  <c r="A359" i="18"/>
  <c r="A358" i="18"/>
  <c r="A357" i="18"/>
  <c r="A356" i="18"/>
  <c r="A355" i="18"/>
  <c r="A354" i="18"/>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A4" i="18"/>
  <c r="A3" i="18"/>
  <c r="A2" i="18"/>
  <c r="B21" i="15" l="1"/>
  <c r="B20" i="15"/>
  <c r="B41" i="10" l="1"/>
  <c r="B27" i="11" s="1"/>
  <c r="B2" i="19" l="1"/>
  <c r="B1" i="19"/>
  <c r="A8" i="8" l="1" a="1"/>
  <c r="A8" i="8" s="1"/>
  <c r="B7" i="19"/>
  <c r="B40" i="10"/>
  <c r="B26" i="11" s="1"/>
  <c r="C6" i="11" l="1"/>
  <c r="C7" i="11"/>
  <c r="C11" i="11"/>
  <c r="C15" i="11"/>
  <c r="C19" i="11"/>
  <c r="C8" i="11"/>
  <c r="C12" i="11"/>
  <c r="C16" i="11"/>
  <c r="C9" i="11"/>
  <c r="C13" i="11"/>
  <c r="C17" i="11"/>
  <c r="C10" i="11"/>
  <c r="C14" i="11"/>
  <c r="C18" i="11"/>
  <c r="A9" i="8" a="1"/>
  <c r="A9" i="8" s="1"/>
  <c r="A10" i="8" l="1" a="1"/>
  <c r="A10" i="8" s="1"/>
  <c r="A11" i="8" l="1" a="1"/>
  <c r="A11" i="8" s="1"/>
  <c r="A12" i="8" l="1" a="1"/>
  <c r="A12" i="8" s="1"/>
  <c r="A13" i="8" l="1" a="1"/>
  <c r="A13" i="8" s="1"/>
  <c r="A14" i="8" l="1" a="1"/>
  <c r="A14" i="8" s="1"/>
  <c r="A15" i="8" l="1" a="1"/>
  <c r="A15" i="8" s="1"/>
  <c r="A16" i="8" l="1" a="1"/>
  <c r="A16" i="8" s="1"/>
  <c r="F9" i="13" l="1"/>
  <c r="D10" i="13"/>
  <c r="G8" i="13"/>
  <c r="C11" i="17"/>
  <c r="B2" i="16"/>
  <c r="C10" i="15"/>
  <c r="B34" i="12"/>
  <c r="B17" i="13" s="1"/>
  <c r="B9" i="8"/>
  <c r="D9" i="8" s="1"/>
  <c r="B39" i="10"/>
  <c r="B25" i="11" s="1"/>
  <c r="J4" i="16"/>
  <c r="B3" i="13"/>
  <c r="C7" i="15"/>
  <c r="B3" i="12"/>
  <c r="B38" i="16"/>
  <c r="B20" i="17" s="1"/>
  <c r="B16" i="8"/>
  <c r="C16" i="8" s="1"/>
  <c r="B14" i="8"/>
  <c r="D14" i="8" s="1"/>
  <c r="B10" i="8"/>
  <c r="C10" i="8" s="1"/>
  <c r="B2" i="15"/>
  <c r="B8" i="8"/>
  <c r="D8" i="8" s="1"/>
  <c r="H8" i="13"/>
  <c r="C12" i="17"/>
  <c r="B34" i="2"/>
  <c r="B23" i="8" s="1"/>
  <c r="C12" i="15"/>
  <c r="C8" i="13"/>
  <c r="E8" i="13"/>
  <c r="C11" i="15"/>
  <c r="F8" i="13"/>
  <c r="C10" i="17"/>
  <c r="J4" i="10"/>
  <c r="B12" i="8"/>
  <c r="C12" i="8" s="1"/>
  <c r="J4" i="14"/>
  <c r="C9" i="13"/>
  <c r="B3" i="2"/>
  <c r="D9" i="13"/>
  <c r="H10" i="13"/>
  <c r="C8" i="17"/>
  <c r="B3" i="8"/>
  <c r="B2" i="17"/>
  <c r="J4" i="12"/>
  <c r="B13" i="8"/>
  <c r="C13" i="8" s="1"/>
  <c r="B3" i="10"/>
  <c r="B2" i="14"/>
  <c r="B35" i="14"/>
  <c r="B19" i="15" s="1"/>
  <c r="C9" i="17"/>
  <c r="B15" i="8"/>
  <c r="D15" i="8" s="1"/>
  <c r="B11" i="8"/>
  <c r="C11" i="8" s="1"/>
  <c r="C5" i="11"/>
  <c r="E10" i="13"/>
  <c r="H9" i="13"/>
  <c r="C8" i="15"/>
  <c r="G10" i="13"/>
  <c r="C10" i="13"/>
  <c r="C9" i="15"/>
  <c r="G9" i="13"/>
  <c r="E9" i="13"/>
  <c r="C7" i="17"/>
  <c r="B3" i="11"/>
  <c r="D8" i="13"/>
  <c r="B6" i="9"/>
  <c r="C6" i="17"/>
  <c r="C17" i="9"/>
  <c r="F10" i="13"/>
  <c r="C9" i="8" l="1"/>
  <c r="D12" i="8"/>
  <c r="D10" i="8"/>
  <c r="D16" i="8"/>
  <c r="C8" i="8"/>
  <c r="D13" i="8"/>
  <c r="C14" i="8"/>
  <c r="C15" i="8"/>
  <c r="D11" i="8"/>
  <c r="B8" i="19" l="1"/>
</calcChain>
</file>

<file path=xl/sharedStrings.xml><?xml version="1.0" encoding="utf-8"?>
<sst xmlns="http://schemas.openxmlformats.org/spreadsheetml/2006/main" count="197" uniqueCount="159">
  <si>
    <t>External causes of death excluded from analysis</t>
  </si>
  <si>
    <t>ICD10 Code</t>
  </si>
  <si>
    <t>Description</t>
  </si>
  <si>
    <t>Transport Accidents</t>
  </si>
  <si>
    <t>V01-V09</t>
  </si>
  <si>
    <t>Pedestrian injured in transport accident</t>
  </si>
  <si>
    <t>V10-V19</t>
  </si>
  <si>
    <t>Pedal cyclist injured in transport accident</t>
  </si>
  <si>
    <t>V20-V29</t>
  </si>
  <si>
    <t>Motorcycle rider injured in transport accident</t>
  </si>
  <si>
    <t>V30-V39</t>
  </si>
  <si>
    <t>Occupant of three-wheeled motor vehicle injured in transport accident</t>
  </si>
  <si>
    <t>V40-V49</t>
  </si>
  <si>
    <t>Car occupant injured in transport accident</t>
  </si>
  <si>
    <t>V50-V59</t>
  </si>
  <si>
    <t>Occupant of pick-up truck or van injured in transport accident</t>
  </si>
  <si>
    <t>V60-V69</t>
  </si>
  <si>
    <t>Occupant of heavy transport vehicle injured in transport accident</t>
  </si>
  <si>
    <t>V70-V79</t>
  </si>
  <si>
    <t>Bus occupant injured in transport accident</t>
  </si>
  <si>
    <t>V80-V89</t>
  </si>
  <si>
    <t>Other land transport accidents</t>
  </si>
  <si>
    <t>V90-V94</t>
  </si>
  <si>
    <t>Water transport accidents</t>
  </si>
  <si>
    <t>V95-V97</t>
  </si>
  <si>
    <t>Air and space transport accidents</t>
  </si>
  <si>
    <t>V98-V99</t>
  </si>
  <si>
    <t>Other and unspecified transport accidents</t>
  </si>
  <si>
    <t>Other external causes of accidental injury</t>
  </si>
  <si>
    <t>W20-W49</t>
  </si>
  <si>
    <t>Exposure to inanimate mechanical forces</t>
  </si>
  <si>
    <t>W50-W64</t>
  </si>
  <si>
    <t>Exposure to animate mechanical forces</t>
  </si>
  <si>
    <t>W65-W74</t>
  </si>
  <si>
    <t>Accidental drowning and submersion</t>
  </si>
  <si>
    <t>W75-W84</t>
  </si>
  <si>
    <t>Other accidental threats to breathing</t>
  </si>
  <si>
    <t>W85-W99</t>
  </si>
  <si>
    <t>Exposure to electric current, radiation and extreme ambient air temperature and pressure</t>
  </si>
  <si>
    <t>X00-X09</t>
  </si>
  <si>
    <t>Exposure to smoke, fire and flames</t>
  </si>
  <si>
    <t>X10-X19</t>
  </si>
  <si>
    <t>Contact with heat and hot substances</t>
  </si>
  <si>
    <t>X20-X29</t>
  </si>
  <si>
    <t>Contact with venomous animals and plants</t>
  </si>
  <si>
    <t>X30-X39</t>
  </si>
  <si>
    <t>Exposure to forces of nature</t>
  </si>
  <si>
    <t>X40-X49</t>
  </si>
  <si>
    <t>Accidental poisoning by and exposure to noxious substances</t>
  </si>
  <si>
    <t>X50-X57</t>
  </si>
  <si>
    <t>Overexertion, travel and privation</t>
  </si>
  <si>
    <t>X58-X59</t>
  </si>
  <si>
    <t>Accidental exposure to other and unspecified factors</t>
  </si>
  <si>
    <t>X60-X84</t>
  </si>
  <si>
    <t>Intentional self-harm</t>
  </si>
  <si>
    <t>X85-Y09</t>
  </si>
  <si>
    <t>Assault</t>
  </si>
  <si>
    <t>Y10-Y34</t>
  </si>
  <si>
    <t>Event of undetermined intent</t>
  </si>
  <si>
    <t>Y35-Y36</t>
  </si>
  <si>
    <t>Legal intervention and operations of war</t>
  </si>
  <si>
    <t>Complications of medical and surgical care</t>
  </si>
  <si>
    <t>Y40-Y59</t>
  </si>
  <si>
    <t>Drugs, medicaments and biological substances causing adverse effects in therapeutic use</t>
  </si>
  <si>
    <t>Y60-Y69</t>
  </si>
  <si>
    <t>Misadventures to patients during surgical and medical care</t>
  </si>
  <si>
    <t>Y70-Y82</t>
  </si>
  <si>
    <t>Medical devices associated with adverse incidents in diagnostic and therapeutic use</t>
  </si>
  <si>
    <t>Y83-Y84</t>
  </si>
  <si>
    <t>Surgical and other medical procedures as the cause of abnormal reaction of the patient, or of later complication, without mention of misadventure at the time of the procedure</t>
  </si>
  <si>
    <t>Please note that patients who died where a fall is coded on the death record are included within the cohort; W00-W19 Falls</t>
  </si>
  <si>
    <t>Source: International Statistical Classification of Diseases and Related Health Problems (10th Revision) 2007</t>
  </si>
  <si>
    <t xml:space="preserve"> http://www.who.int/classifications/icd/en/</t>
  </si>
  <si>
    <t>Quality Outcome Measure 10: Percentage of time in the last 6 months of life spent at home or in a community setting</t>
  </si>
  <si>
    <t>Measure notes</t>
  </si>
  <si>
    <t>1.</t>
  </si>
  <si>
    <t>2.</t>
  </si>
  <si>
    <t>Number of bed days includes both elective and emergency admissions.</t>
  </si>
  <si>
    <t xml:space="preserve">Patients who died where an external cause of death is coded on the death record have been excluded from the analysis. </t>
  </si>
  <si>
    <t>5.</t>
  </si>
  <si>
    <t>Figure 1: Percentage of last six months of life spent at home or in a community setting</t>
  </si>
  <si>
    <t>Health and Social Care Team, ISD</t>
  </si>
  <si>
    <t>This measure has been calculated by subtracting the number of bed days spent in an acute, mental health or geriatric long stay hospital in the 6 months prior to death from the maximum number of bed days a patients could have spent in hospital in the 6 months prior to death (182.5 days).</t>
  </si>
  <si>
    <t>Source: SMR01, SMR04 and NRS Death Records</t>
  </si>
  <si>
    <t>These statistics are derived from data collected on discharges from acute and community hospitals (SMR01), pyschiatric hospitals (SMR04) and geriatric long stay facilities (SMR01 GLS) in Scotland.</t>
  </si>
  <si>
    <t>Financial Year</t>
  </si>
  <si>
    <t>Scotland</t>
  </si>
  <si>
    <t>4.</t>
  </si>
  <si>
    <t>Hospital</t>
  </si>
  <si>
    <t>Home/Community</t>
  </si>
  <si>
    <t>Please read the notes below before looking at the data.</t>
  </si>
  <si>
    <t>3.</t>
  </si>
  <si>
    <t>6.</t>
  </si>
  <si>
    <t>Figure 2: Percentage of last six months of life spent at home or in a community setting</t>
  </si>
  <si>
    <t>Figure 2: Percentage of time in the last six months of life spent at home or in a community setting by NHS Board of residence</t>
  </si>
  <si>
    <t>Percentage of last six months of life spent at home or in a community setting</t>
  </si>
  <si>
    <t>NHS Board of Residence</t>
  </si>
  <si>
    <t>NHS Borders</t>
  </si>
  <si>
    <t>NHS Fife</t>
  </si>
  <si>
    <t>NHS Forth Valley</t>
  </si>
  <si>
    <t>NHS Grampian</t>
  </si>
  <si>
    <t>NHS Highland</t>
  </si>
  <si>
    <t>NHS Lanarkshire</t>
  </si>
  <si>
    <t>NHS Lothian</t>
  </si>
  <si>
    <t>NHS Orkney</t>
  </si>
  <si>
    <t>NHS Shetland</t>
  </si>
  <si>
    <t>NHS Tayside</t>
  </si>
  <si>
    <t>NHS Western Isles</t>
  </si>
  <si>
    <t>Figure 3: Percentage of last six months of life spent at home or in a community setting</t>
  </si>
  <si>
    <t>Age Group</t>
  </si>
  <si>
    <t>Gender</t>
  </si>
  <si>
    <t>0-54</t>
  </si>
  <si>
    <t>55-64</t>
  </si>
  <si>
    <t>65-74</t>
  </si>
  <si>
    <t>75-84</t>
  </si>
  <si>
    <t>85+</t>
  </si>
  <si>
    <t>All Ages</t>
  </si>
  <si>
    <t>Male</t>
  </si>
  <si>
    <t>Both</t>
  </si>
  <si>
    <t>Figure 3: Percentage of time in the last six months of life spent at home or in a community setting (by age and gender)</t>
  </si>
  <si>
    <r>
      <t>by Deprivation Category</t>
    </r>
    <r>
      <rPr>
        <b/>
        <vertAlign val="superscript"/>
        <sz val="12"/>
        <color indexed="12"/>
        <rFont val="Arial"/>
        <family val="2"/>
      </rPr>
      <t>2</t>
    </r>
  </si>
  <si>
    <t>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t>
  </si>
  <si>
    <t xml:space="preserve">For more information on Scottish Index of Multiple Deprivation see </t>
  </si>
  <si>
    <t>http://www.scotland.gov.uk/Topics/Statistics/SIMD/</t>
  </si>
  <si>
    <t>Deprivation Category</t>
  </si>
  <si>
    <t>Figure 4: Percentage of time in the last six months of life spent at home or in a community setting by Deprivation Category</t>
  </si>
  <si>
    <t>(by Urban/Rural Classification)</t>
  </si>
  <si>
    <t xml:space="preserve">For more information on Urban / Rural classification see </t>
  </si>
  <si>
    <t>http://www.gov.scot/Topics/Statistics/About/Methodology/UrbanRuralClassification</t>
  </si>
  <si>
    <t>Urban Rural 6-fold Classification</t>
  </si>
  <si>
    <t>Figure 5: Percentage of time in the last six months of life spent at home or in a community setting (by Urban/Rural Classification)</t>
  </si>
  <si>
    <t>index</t>
  </si>
  <si>
    <t>fy</t>
  </si>
  <si>
    <t>category</t>
  </si>
  <si>
    <t>category_split</t>
  </si>
  <si>
    <t>qom</t>
  </si>
  <si>
    <t>qom_hosp</t>
  </si>
  <si>
    <t>1 - Most Deprived</t>
  </si>
  <si>
    <t>5 - Least Deprived</t>
  </si>
  <si>
    <t>1 Large Urban Areas</t>
  </si>
  <si>
    <t>2 Other Urban Areas</t>
  </si>
  <si>
    <t>3 Accessible Small Towns</t>
  </si>
  <si>
    <t>4 Remote Small Towns</t>
  </si>
  <si>
    <t>5 Accessible Rural</t>
  </si>
  <si>
    <t>6 Remote Rural</t>
  </si>
  <si>
    <t>data rows</t>
  </si>
  <si>
    <t>data columns</t>
  </si>
  <si>
    <t>ᵖ</t>
  </si>
  <si>
    <t>superscript for provisional data</t>
  </si>
  <si>
    <t>Female</t>
  </si>
  <si>
    <t>superscript for note 1</t>
  </si>
  <si>
    <t>¹</t>
  </si>
  <si>
    <t>number of financial years</t>
  </si>
  <si>
    <t>number of previous financial years</t>
  </si>
  <si>
    <t>Health Board and Health and Social Care Partnership relate to location of residence at time of death. Health Board figures are based on the 2019 boundaries.</t>
  </si>
  <si>
    <t>For full details of the external causes of death which have been omitted, please click here.</t>
  </si>
  <si>
    <t>NHS Ayrshire and Arran</t>
  </si>
  <si>
    <t>NHS Dumfries and Galloway</t>
  </si>
  <si>
    <t>NHS Greater Glasgow and Clyde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</si>
</sst>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32" x14ac:knownFonts="1">
    <font>
      <sz val="11"/>
      <color theme="1"/>
      <name val="Calibri"/>
      <family val="2"/>
      <scheme val="minor"/>
    </font>
    <font>
      <b/>
      <sz val="12"/>
      <color indexed="12"/>
      <name val="Arial"/>
      <family val="2"/>
    </font>
    <font>
      <i/>
      <sz val="11"/>
      <color theme="1"/>
      <name val="Calibri"/>
      <family val="2"/>
      <scheme val="minor"/>
    </font>
    <font>
      <u/>
      <sz val="10"/>
      <color indexed="12"/>
      <name val="Arial"/>
      <family val="2"/>
    </font>
    <font>
      <sz val="8"/>
      <name val="Arial"/>
      <family val="2"/>
    </font>
    <font>
      <sz val="10"/>
      <name val="Arial"/>
      <family val="2"/>
    </font>
    <font>
      <b/>
      <i/>
      <sz val="10"/>
      <name val="Arial"/>
      <family val="2"/>
    </font>
    <font>
      <b/>
      <sz val="11"/>
      <name val="Arial"/>
      <family val="2"/>
    </font>
    <font>
      <b/>
      <sz val="10"/>
      <name val="Arial"/>
      <family val="2"/>
    </font>
    <font>
      <b/>
      <sz val="12"/>
      <name val="Arial"/>
      <family val="2"/>
    </font>
    <font>
      <b/>
      <sz val="10"/>
      <color indexed="10"/>
      <name val="Arial"/>
      <family val="2"/>
    </font>
    <font>
      <sz val="10"/>
      <name val="Arial"/>
      <family val="2"/>
    </font>
    <font>
      <sz val="12"/>
      <name val="Arial"/>
      <family val="2"/>
    </font>
    <font>
      <b/>
      <sz val="11"/>
      <color theme="1"/>
      <name val="Calibri"/>
      <family val="2"/>
      <scheme val="minor"/>
    </font>
    <font>
      <u/>
      <sz val="12"/>
      <color indexed="12"/>
      <name val="Arial"/>
      <family val="2"/>
    </font>
    <font>
      <i/>
      <sz val="9"/>
      <name val="Arial"/>
      <family val="2"/>
    </font>
    <font>
      <b/>
      <sz val="12"/>
      <color rgb="FFFF0000"/>
      <name val="Arial"/>
      <family val="2"/>
    </font>
    <font>
      <b/>
      <sz val="12"/>
      <color rgb="FFFF0000"/>
      <name val="Calibri"/>
      <family val="2"/>
      <scheme val="minor"/>
    </font>
    <font>
      <sz val="8"/>
      <color theme="1"/>
      <name val="Calibri"/>
      <family val="2"/>
      <scheme val="minor"/>
    </font>
    <font>
      <sz val="11"/>
      <color theme="1"/>
      <name val="Calibri"/>
      <family val="2"/>
      <scheme val="minor"/>
    </font>
    <font>
      <b/>
      <vertAlign val="superscript"/>
      <sz val="12"/>
      <color indexed="12"/>
      <name val="Arial"/>
      <family val="2"/>
    </font>
    <font>
      <sz val="10"/>
      <color theme="1"/>
      <name val="Arial"/>
      <family val="2"/>
    </font>
    <font>
      <sz val="8"/>
      <color theme="1"/>
      <name val="Arial"/>
      <family val="2"/>
    </font>
    <font>
      <u/>
      <sz val="8"/>
      <color indexed="12"/>
      <name val="Arial"/>
      <family val="2"/>
    </font>
    <font>
      <sz val="10"/>
      <name val="Arial"/>
      <family val="2"/>
    </font>
    <font>
      <sz val="11"/>
      <color theme="0"/>
      <name val="Calibri"/>
      <family val="2"/>
      <scheme val="minor"/>
    </font>
    <font>
      <vertAlign val="superscript"/>
      <sz val="11"/>
      <color theme="1"/>
      <name val="Calibri"/>
      <family val="2"/>
      <scheme val="minor"/>
    </font>
    <font>
      <sz val="11"/>
      <name val="Calibri"/>
      <family val="2"/>
      <scheme val="minor"/>
    </font>
    <font>
      <b/>
      <sz val="12"/>
      <name val="Calibri"/>
      <family val="2"/>
      <scheme val="minor"/>
    </font>
    <font>
      <b/>
      <sz val="11"/>
      <name val="Calibri"/>
      <family val="2"/>
      <scheme val="minor"/>
    </font>
    <font>
      <u/>
      <sz val="10"/>
      <name val="Arial"/>
      <family val="2"/>
    </font>
    <font>
      <sz val="8"/>
      <name val="Calibri"/>
      <family val="2"/>
      <scheme val="minor"/>
    </font>
  </fonts>
  <fills count="4">
    <fill>
      <patternFill patternType="none"/>
    </fill>
    <fill>
      <patternFill patternType="gray125"/>
    </fill>
    <fill>
      <patternFill patternType="solid">
        <fgColor indexed="9"/>
        <bgColor indexed="64"/>
      </patternFill>
    </fill>
    <fill>
      <patternFill patternType="solid">
        <fgColor theme="0"/>
        <bgColor indexed="64"/>
      </patternFill>
    </fill>
  </fills>
  <borders count="6">
    <border>
      <left/>
      <right/>
      <top/>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right/>
      <top style="thin">
        <color auto="1"/>
      </top>
      <bottom style="thin">
        <color auto="1"/>
      </bottom>
      <diagonal/>
    </border>
    <border>
      <left/>
      <right/>
      <top/>
      <bottom style="thin">
        <color indexed="8"/>
      </bottom>
      <diagonal/>
    </border>
  </borders>
  <cellStyleXfs count="14">
    <xf numFmtId="0" fontId="0" fillId="0" borderId="0"/>
    <xf numFmtId="0" fontId="3" fillId="0" borderId="0" applyNumberFormat="0" applyFill="0" applyBorder="0" applyAlignment="0" applyProtection="0">
      <alignment vertical="top"/>
      <protection locked="0"/>
    </xf>
    <xf numFmtId="0" fontId="5" fillId="0" borderId="0"/>
    <xf numFmtId="0" fontId="11" fillId="0" borderId="0"/>
    <xf numFmtId="0" fontId="19" fillId="0" borderId="0"/>
    <xf numFmtId="0" fontId="5" fillId="0" borderId="0"/>
    <xf numFmtId="0" fontId="5" fillId="0" borderId="0"/>
    <xf numFmtId="0" fontId="24" fillId="0" borderId="0"/>
    <xf numFmtId="0" fontId="3" fillId="0" borderId="0" applyNumberFormat="0" applyFill="0" applyBorder="0" applyAlignment="0" applyProtection="0">
      <alignment vertical="top"/>
      <protection locked="0"/>
    </xf>
    <xf numFmtId="0" fontId="5" fillId="0" borderId="0"/>
    <xf numFmtId="0" fontId="5" fillId="0" borderId="0"/>
    <xf numFmtId="0" fontId="5" fillId="0" borderId="0"/>
    <xf numFmtId="0" fontId="5" fillId="0" borderId="0"/>
    <xf numFmtId="0" fontId="19" fillId="0" borderId="0"/>
  </cellStyleXfs>
  <cellXfs count="121">
    <xf numFmtId="0" fontId="0" fillId="0" borderId="0" xfId="0"/>
    <xf numFmtId="0" fontId="1" fillId="2" borderId="0" xfId="0" applyFont="1" applyFill="1"/>
    <xf numFmtId="0" fontId="2" fillId="0" borderId="0" xfId="0" applyFont="1"/>
    <xf numFmtId="0" fontId="3" fillId="2" borderId="0" xfId="1" applyFill="1" applyAlignment="1" applyProtection="1"/>
    <xf numFmtId="0" fontId="0" fillId="2" borderId="0" xfId="0" applyFill="1"/>
    <xf numFmtId="0" fontId="4" fillId="2" borderId="0" xfId="0" applyFont="1" applyFill="1"/>
    <xf numFmtId="0" fontId="4" fillId="0" borderId="0" xfId="0" applyFont="1"/>
    <xf numFmtId="0" fontId="3" fillId="0" borderId="0" xfId="1" applyAlignment="1" applyProtection="1"/>
    <xf numFmtId="0" fontId="5" fillId="0" borderId="0" xfId="2"/>
    <xf numFmtId="0" fontId="5" fillId="2" borderId="0" xfId="2" applyFill="1"/>
    <xf numFmtId="0" fontId="5" fillId="2" borderId="0" xfId="2" applyFont="1" applyFill="1" applyBorder="1" applyAlignment="1">
      <alignment vertical="top" wrapText="1"/>
    </xf>
    <xf numFmtId="0" fontId="5" fillId="2" borderId="0" xfId="2" applyFont="1" applyFill="1" applyBorder="1"/>
    <xf numFmtId="0" fontId="7" fillId="2" borderId="1" xfId="2" applyFont="1" applyFill="1" applyBorder="1"/>
    <xf numFmtId="0" fontId="3" fillId="2" borderId="0" xfId="1" applyFont="1" applyFill="1" applyAlignment="1" applyProtection="1"/>
    <xf numFmtId="0" fontId="1" fillId="2" borderId="0" xfId="2" applyFont="1" applyFill="1"/>
    <xf numFmtId="0" fontId="5" fillId="2" borderId="0" xfId="2" applyFill="1" applyBorder="1"/>
    <xf numFmtId="0" fontId="8" fillId="2" borderId="0" xfId="2" applyFont="1" applyFill="1" applyBorder="1"/>
    <xf numFmtId="0" fontId="5" fillId="2" borderId="0" xfId="2" applyFont="1" applyFill="1" applyBorder="1" applyAlignment="1">
      <alignment vertical="center"/>
    </xf>
    <xf numFmtId="0" fontId="5" fillId="2" borderId="0" xfId="2" applyFont="1" applyFill="1" applyBorder="1" applyAlignment="1">
      <alignment vertical="top"/>
    </xf>
    <xf numFmtId="0" fontId="6" fillId="2" borderId="0" xfId="2" applyFont="1" applyFill="1" applyBorder="1" applyAlignment="1">
      <alignment vertical="top"/>
    </xf>
    <xf numFmtId="0" fontId="4" fillId="2" borderId="0" xfId="2" applyFont="1" applyFill="1"/>
    <xf numFmtId="0" fontId="5" fillId="0" borderId="0" xfId="2" applyBorder="1"/>
    <xf numFmtId="0" fontId="11" fillId="2" borderId="0" xfId="3" applyFill="1"/>
    <xf numFmtId="0" fontId="9" fillId="2" borderId="0" xfId="3" applyFont="1" applyFill="1"/>
    <xf numFmtId="0" fontId="11" fillId="0" borderId="0" xfId="3"/>
    <xf numFmtId="0" fontId="10" fillId="2" borderId="0" xfId="3" applyFont="1" applyFill="1"/>
    <xf numFmtId="0" fontId="11" fillId="2" borderId="0" xfId="3" applyFont="1" applyFill="1"/>
    <xf numFmtId="0" fontId="5" fillId="2" borderId="0" xfId="3" applyFont="1" applyFill="1"/>
    <xf numFmtId="0" fontId="12" fillId="2" borderId="0" xfId="3" applyFont="1" applyFill="1"/>
    <xf numFmtId="0" fontId="14" fillId="2" borderId="0" xfId="1" applyFont="1" applyFill="1" applyAlignment="1" applyProtection="1"/>
    <xf numFmtId="0" fontId="5" fillId="0" borderId="0" xfId="3" applyFont="1"/>
    <xf numFmtId="0" fontId="8" fillId="2" borderId="0" xfId="3" applyFont="1" applyFill="1"/>
    <xf numFmtId="49" fontId="11" fillId="2" borderId="0" xfId="3" applyNumberFormat="1" applyFill="1" applyAlignment="1">
      <alignment vertical="top"/>
    </xf>
    <xf numFmtId="0" fontId="11" fillId="2" borderId="0" xfId="3" applyFill="1" applyAlignment="1">
      <alignment horizontal="left" wrapText="1"/>
    </xf>
    <xf numFmtId="0" fontId="11" fillId="2" borderId="0" xfId="3" applyFill="1" applyAlignment="1">
      <alignment horizontal="left"/>
    </xf>
    <xf numFmtId="0" fontId="6" fillId="2" borderId="0" xfId="3" applyFont="1" applyFill="1" applyBorder="1" applyAlignment="1">
      <alignment vertical="top"/>
    </xf>
    <xf numFmtId="0" fontId="6" fillId="2" borderId="0" xfId="3" applyFont="1" applyFill="1" applyBorder="1" applyAlignment="1">
      <alignment vertical="top" wrapText="1"/>
    </xf>
    <xf numFmtId="0" fontId="6" fillId="2" borderId="0" xfId="3" applyFont="1" applyFill="1"/>
    <xf numFmtId="0" fontId="3" fillId="3" borderId="0" xfId="1" applyFill="1" applyAlignment="1" applyProtection="1"/>
    <xf numFmtId="0" fontId="15" fillId="0" borderId="0" xfId="0" applyFont="1" applyAlignment="1">
      <alignment horizontal="left" indent="5"/>
    </xf>
    <xf numFmtId="0" fontId="11" fillId="3" borderId="0" xfId="3" applyFill="1"/>
    <xf numFmtId="0" fontId="0" fillId="0" borderId="0" xfId="0" applyBorder="1"/>
    <xf numFmtId="0" fontId="8" fillId="2" borderId="0" xfId="0" applyFont="1" applyFill="1" applyBorder="1" applyAlignment="1">
      <alignment horizontal="right"/>
    </xf>
    <xf numFmtId="0" fontId="5" fillId="3" borderId="0" xfId="2" applyFill="1"/>
    <xf numFmtId="49" fontId="0" fillId="2" borderId="0" xfId="0" applyNumberFormat="1" applyFill="1"/>
    <xf numFmtId="49" fontId="0" fillId="0" borderId="0" xfId="0" applyNumberFormat="1"/>
    <xf numFmtId="49" fontId="6" fillId="2" borderId="0" xfId="0" applyNumberFormat="1" applyFont="1" applyFill="1" applyAlignment="1">
      <alignment vertical="top"/>
    </xf>
    <xf numFmtId="49" fontId="0" fillId="2" borderId="0" xfId="0" applyNumberFormat="1" applyFill="1" applyAlignment="1">
      <alignment vertical="top" wrapText="1"/>
    </xf>
    <xf numFmtId="49" fontId="0" fillId="2" borderId="0" xfId="0" applyNumberFormat="1" applyFill="1" applyAlignment="1">
      <alignment vertical="top"/>
    </xf>
    <xf numFmtId="0" fontId="11" fillId="3" borderId="0" xfId="3" applyFill="1" applyAlignment="1">
      <alignment wrapText="1"/>
    </xf>
    <xf numFmtId="0" fontId="17" fillId="0" borderId="0" xfId="0" applyFont="1" applyAlignment="1">
      <alignment wrapText="1"/>
    </xf>
    <xf numFmtId="0" fontId="18" fillId="0" borderId="0" xfId="0" applyFont="1"/>
    <xf numFmtId="0" fontId="8" fillId="2" borderId="0" xfId="0" applyFont="1" applyFill="1" applyBorder="1" applyAlignment="1">
      <alignment horizontal="left"/>
    </xf>
    <xf numFmtId="164" fontId="0" fillId="0" borderId="0" xfId="0" applyNumberFormat="1"/>
    <xf numFmtId="0" fontId="0" fillId="2" borderId="0" xfId="0" applyFill="1" applyAlignment="1">
      <alignment horizontal="left" wrapText="1"/>
    </xf>
    <xf numFmtId="0" fontId="3" fillId="2" borderId="0" xfId="1" applyFill="1" applyAlignment="1" applyProtection="1">
      <alignment horizontal="left"/>
    </xf>
    <xf numFmtId="0" fontId="13" fillId="0" borderId="0" xfId="0" applyFont="1" applyBorder="1"/>
    <xf numFmtId="164" fontId="0" fillId="0" borderId="0" xfId="0" applyNumberFormat="1" applyBorder="1"/>
    <xf numFmtId="164" fontId="0" fillId="0" borderId="2" xfId="0" applyNumberFormat="1" applyBorder="1"/>
    <xf numFmtId="0" fontId="22" fillId="2" borderId="0" xfId="0" applyFont="1" applyFill="1"/>
    <xf numFmtId="0" fontId="23" fillId="0" borderId="0" xfId="1" applyFont="1" applyAlignment="1" applyProtection="1"/>
    <xf numFmtId="0" fontId="0" fillId="2" borderId="0" xfId="0" applyFill="1" applyAlignment="1">
      <alignment wrapText="1"/>
    </xf>
    <xf numFmtId="0" fontId="4" fillId="2" borderId="0" xfId="0" applyFont="1" applyFill="1" applyAlignment="1"/>
    <xf numFmtId="0" fontId="0" fillId="2" borderId="0" xfId="0" applyFill="1" applyAlignment="1"/>
    <xf numFmtId="0" fontId="5" fillId="0" borderId="0" xfId="7" applyFont="1" applyFill="1" applyBorder="1"/>
    <xf numFmtId="0" fontId="24" fillId="0" borderId="0" xfId="7" applyFill="1" applyBorder="1"/>
    <xf numFmtId="164" fontId="5" fillId="0" borderId="0" xfId="7" applyNumberFormat="1" applyFont="1" applyFill="1" applyBorder="1"/>
    <xf numFmtId="2" fontId="24" fillId="0" borderId="0" xfId="7" applyNumberFormat="1" applyFill="1" applyBorder="1"/>
    <xf numFmtId="0" fontId="5" fillId="0" borderId="0" xfId="7" applyNumberFormat="1" applyFont="1" applyFill="1" applyBorder="1" applyAlignment="1" applyProtection="1">
      <alignment horizontal="left"/>
      <protection locked="0"/>
    </xf>
    <xf numFmtId="0" fontId="5" fillId="0" borderId="0" xfId="7" quotePrefix="1" applyFont="1" applyFill="1" applyBorder="1"/>
    <xf numFmtId="0" fontId="5" fillId="0" borderId="0" xfId="7" applyFont="1"/>
    <xf numFmtId="0" fontId="24" fillId="0" borderId="0" xfId="7"/>
    <xf numFmtId="164" fontId="26" fillId="0" borderId="0" xfId="0" applyNumberFormat="1" applyFont="1" applyBorder="1"/>
    <xf numFmtId="0" fontId="27" fillId="0" borderId="0" xfId="0" applyFont="1"/>
    <xf numFmtId="0" fontId="25" fillId="0" borderId="0" xfId="0" applyFont="1"/>
    <xf numFmtId="0" fontId="28" fillId="0" borderId="0" xfId="0" applyFont="1" applyAlignment="1">
      <alignment wrapText="1"/>
    </xf>
    <xf numFmtId="0" fontId="27" fillId="0" borderId="0" xfId="0" applyFont="1" applyBorder="1"/>
    <xf numFmtId="164" fontId="27" fillId="0" borderId="0" xfId="0" applyNumberFormat="1" applyFont="1"/>
    <xf numFmtId="0" fontId="30" fillId="2" borderId="0" xfId="1" applyFont="1" applyFill="1" applyAlignment="1" applyProtection="1"/>
    <xf numFmtId="0" fontId="30" fillId="0" borderId="0" xfId="1" applyFont="1" applyAlignment="1" applyProtection="1"/>
    <xf numFmtId="0" fontId="27" fillId="2" borderId="0" xfId="0" applyFont="1" applyFill="1"/>
    <xf numFmtId="0" fontId="31" fillId="0" borderId="0" xfId="0" applyFont="1"/>
    <xf numFmtId="0" fontId="5" fillId="0" borderId="0" xfId="7" applyNumberFormat="1" applyFont="1" applyFill="1" applyBorder="1"/>
    <xf numFmtId="0" fontId="5" fillId="0" borderId="0" xfId="7" quotePrefix="1" applyNumberFormat="1" applyFont="1" applyFill="1" applyBorder="1" applyAlignment="1" applyProtection="1">
      <alignment horizontal="left"/>
      <protection locked="0"/>
    </xf>
    <xf numFmtId="0" fontId="29" fillId="0" borderId="1" xfId="0" applyFont="1" applyBorder="1" applyAlignment="1">
      <alignment horizontal="left"/>
    </xf>
    <xf numFmtId="0" fontId="8" fillId="2" borderId="3" xfId="0" applyFont="1" applyFill="1" applyBorder="1" applyAlignment="1">
      <alignment horizontal="right"/>
    </xf>
    <xf numFmtId="0" fontId="5" fillId="2" borderId="3" xfId="0" applyFont="1" applyFill="1" applyBorder="1" applyAlignment="1">
      <alignment horizontal="left"/>
    </xf>
    <xf numFmtId="164" fontId="5" fillId="0" borderId="3" xfId="0" applyNumberFormat="1" applyFont="1" applyBorder="1"/>
    <xf numFmtId="0" fontId="5" fillId="2" borderId="0" xfId="0" applyFont="1" applyFill="1" applyBorder="1" applyAlignment="1">
      <alignment horizontal="left"/>
    </xf>
    <xf numFmtId="164" fontId="5" fillId="0" borderId="0" xfId="0" applyNumberFormat="1" applyFont="1" applyBorder="1"/>
    <xf numFmtId="0" fontId="5" fillId="2" borderId="2" xfId="0" applyFont="1" applyFill="1" applyBorder="1" applyAlignment="1">
      <alignment horizontal="left"/>
    </xf>
    <xf numFmtId="164" fontId="5" fillId="0" borderId="2" xfId="0" applyNumberFormat="1" applyFont="1" applyBorder="1"/>
    <xf numFmtId="0" fontId="13" fillId="0" borderId="4" xfId="0" applyFont="1" applyBorder="1"/>
    <xf numFmtId="0" fontId="13" fillId="0" borderId="3" xfId="0" applyFont="1" applyBorder="1" applyAlignment="1">
      <alignment horizontal="right"/>
    </xf>
    <xf numFmtId="0" fontId="0" fillId="0" borderId="3" xfId="0" applyBorder="1"/>
    <xf numFmtId="164" fontId="0" fillId="0" borderId="3" xfId="0" applyNumberFormat="1" applyBorder="1"/>
    <xf numFmtId="0" fontId="0" fillId="0" borderId="5" xfId="0" applyBorder="1"/>
    <xf numFmtId="164" fontId="0" fillId="0" borderId="5" xfId="0" applyNumberFormat="1" applyBorder="1"/>
    <xf numFmtId="0" fontId="13" fillId="0" borderId="2" xfId="0" applyFont="1" applyBorder="1"/>
    <xf numFmtId="0" fontId="0" fillId="0" borderId="2" xfId="0" applyFont="1" applyBorder="1"/>
    <xf numFmtId="0" fontId="0" fillId="0" borderId="2" xfId="0" applyFont="1" applyBorder="1" applyAlignment="1">
      <alignment horizontal="right"/>
    </xf>
    <xf numFmtId="0" fontId="0" fillId="0" borderId="0" xfId="0" applyFont="1" applyBorder="1"/>
    <xf numFmtId="0" fontId="8" fillId="2" borderId="4" xfId="0" applyFont="1" applyFill="1" applyBorder="1" applyAlignment="1">
      <alignment horizontal="left"/>
    </xf>
    <xf numFmtId="0" fontId="8" fillId="2" borderId="4" xfId="0" applyFont="1" applyFill="1" applyBorder="1" applyAlignment="1">
      <alignment horizontal="right"/>
    </xf>
    <xf numFmtId="0" fontId="0" fillId="2" borderId="0" xfId="0" applyFill="1" applyBorder="1" applyAlignment="1">
      <alignment horizontal="left"/>
    </xf>
    <xf numFmtId="0" fontId="0" fillId="2" borderId="2" xfId="0" applyFill="1" applyBorder="1" applyAlignment="1">
      <alignment horizontal="left"/>
    </xf>
    <xf numFmtId="0" fontId="8" fillId="2" borderId="4" xfId="0" applyFont="1" applyFill="1" applyBorder="1"/>
    <xf numFmtId="164" fontId="21" fillId="0" borderId="3" xfId="0" applyNumberFormat="1" applyFont="1" applyBorder="1"/>
    <xf numFmtId="164" fontId="21" fillId="0" borderId="0" xfId="0" applyNumberFormat="1" applyFont="1" applyBorder="1"/>
    <xf numFmtId="164" fontId="21" fillId="0" borderId="2" xfId="0" applyNumberFormat="1" applyFont="1" applyBorder="1"/>
    <xf numFmtId="0" fontId="5" fillId="2" borderId="0" xfId="3" applyFont="1" applyFill="1" applyAlignment="1">
      <alignment horizontal="left" wrapText="1"/>
    </xf>
    <xf numFmtId="0" fontId="16" fillId="3" borderId="0" xfId="3" applyFont="1" applyFill="1" applyAlignment="1">
      <alignment horizontal="left" wrapText="1"/>
    </xf>
    <xf numFmtId="0" fontId="5" fillId="2" borderId="0" xfId="0" applyFont="1" applyFill="1" applyAlignment="1">
      <alignment horizontal="left" wrapText="1"/>
    </xf>
    <xf numFmtId="0" fontId="0" fillId="2" borderId="0" xfId="0" applyFill="1" applyAlignment="1">
      <alignment horizontal="left" wrapText="1"/>
    </xf>
    <xf numFmtId="0" fontId="17" fillId="0" borderId="0" xfId="0" applyFont="1" applyAlignment="1">
      <alignment horizontal="left" wrapText="1"/>
    </xf>
    <xf numFmtId="0" fontId="8" fillId="2" borderId="1" xfId="0" applyFont="1" applyFill="1" applyBorder="1" applyAlignment="1">
      <alignment horizontal="center"/>
    </xf>
    <xf numFmtId="0" fontId="28" fillId="0" borderId="0" xfId="0" applyFont="1" applyAlignment="1">
      <alignment horizontal="left" wrapText="1"/>
    </xf>
    <xf numFmtId="0" fontId="13" fillId="0" borderId="4" xfId="0" applyFont="1" applyBorder="1" applyAlignment="1">
      <alignment horizontal="center"/>
    </xf>
    <xf numFmtId="0" fontId="4" fillId="2" borderId="0" xfId="0" applyFont="1" applyFill="1" applyAlignment="1">
      <alignment horizontal="left" wrapText="1"/>
    </xf>
    <xf numFmtId="0" fontId="5" fillId="2" borderId="0" xfId="2" applyFont="1" applyFill="1" applyBorder="1" applyAlignment="1">
      <alignment vertical="center"/>
    </xf>
    <xf numFmtId="0" fontId="8" fillId="2" borderId="0" xfId="2" applyFont="1" applyFill="1" applyBorder="1" applyAlignment="1">
      <alignment vertical="top"/>
    </xf>
  </cellXfs>
  <cellStyles count="14">
    <cellStyle name="Hyperlink" xfId="1" builtinId="8"/>
    <cellStyle name="Hyperlink 2" xfId="8"/>
    <cellStyle name="Normal" xfId="0" builtinId="0"/>
    <cellStyle name="Normal 2" xfId="2"/>
    <cellStyle name="Normal 2 2" xfId="6"/>
    <cellStyle name="Normal 2 2 2" xfId="9"/>
    <cellStyle name="Normal 2 3" xfId="10"/>
    <cellStyle name="Normal 3" xfId="3"/>
    <cellStyle name="Normal 3 2" xfId="4"/>
    <cellStyle name="Normal 3 3" xfId="11"/>
    <cellStyle name="Normal 4" xfId="5"/>
    <cellStyle name="Normal 4 2" xfId="12"/>
    <cellStyle name="Normal 4 3" xfId="13"/>
    <cellStyle name="Normal 5" xfId="7"/>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424994289506947E-2"/>
          <c:y val="2.0547204326731884E-2"/>
          <c:w val="0.64582289282805694"/>
          <c:h val="0.73729287626925832"/>
        </c:manualLayout>
      </c:layout>
      <c:barChart>
        <c:barDir val="col"/>
        <c:grouping val="stacked"/>
        <c:varyColors val="0"/>
        <c:ser>
          <c:idx val="0"/>
          <c:order val="0"/>
          <c:tx>
            <c:strRef>
              <c:f>'Figure 1 Background Data'!$C$7</c:f>
              <c:strCache>
                <c:ptCount val="1"/>
                <c:pt idx="0">
                  <c:v>Home/Community</c:v>
                </c:pt>
              </c:strCache>
            </c:strRef>
          </c:tx>
          <c:spPr>
            <a:solidFill>
              <a:schemeClr val="tx2"/>
            </a:solidFill>
          </c:spPr>
          <c:invertIfNegative val="0"/>
          <c:cat>
            <c:numRef>
              <c:f>[0]!figure1_year</c:f>
            </c:numRef>
          </c:cat>
          <c:val>
            <c:numRef>
              <c:f>[0]!figure1_home</c:f>
              <c:numCache>
                <c:formatCode>General</c:formatCode>
                <c:ptCount val="1"/>
                <c:pt idx="0">
                  <c:v>1</c:v>
                </c:pt>
              </c:numCache>
            </c:numRef>
          </c:val>
          <c:extLst>
            <c:ext xmlns:c16="http://schemas.microsoft.com/office/drawing/2014/chart" uri="{C3380CC4-5D6E-409C-BE32-E72D297353CC}">
              <c16:uniqueId val="{00000000-E20B-4686-8CDB-ED71BF4E78E9}"/>
            </c:ext>
          </c:extLst>
        </c:ser>
        <c:ser>
          <c:idx val="1"/>
          <c:order val="1"/>
          <c:tx>
            <c:strRef>
              <c:f>'Figure 1 Background Data'!$D$7</c:f>
              <c:strCache>
                <c:ptCount val="1"/>
                <c:pt idx="0">
                  <c:v>Hospital</c:v>
                </c:pt>
              </c:strCache>
            </c:strRef>
          </c:tx>
          <c:spPr>
            <a:solidFill>
              <a:srgbClr val="00B0F0"/>
            </a:solidFill>
          </c:spPr>
          <c:invertIfNegative val="0"/>
          <c:cat>
            <c:numRef>
              <c:f>[0]!figure1_year</c:f>
            </c:numRef>
          </c:cat>
          <c:val>
            <c:numRef>
              <c:f>[0]!figure1_hospital</c:f>
              <c:numCache>
                <c:formatCode>General</c:formatCode>
                <c:ptCount val="1"/>
                <c:pt idx="0">
                  <c:v>1</c:v>
                </c:pt>
              </c:numCache>
            </c:numRef>
          </c:val>
          <c:extLst>
            <c:ext xmlns:c16="http://schemas.microsoft.com/office/drawing/2014/chart" uri="{C3380CC4-5D6E-409C-BE32-E72D297353CC}">
              <c16:uniqueId val="{00000001-E20B-4686-8CDB-ED71BF4E78E9}"/>
            </c:ext>
          </c:extLst>
        </c:ser>
        <c:dLbls>
          <c:showLegendKey val="0"/>
          <c:showVal val="0"/>
          <c:showCatName val="0"/>
          <c:showSerName val="0"/>
          <c:showPercent val="0"/>
          <c:showBubbleSize val="0"/>
        </c:dLbls>
        <c:gapWidth val="150"/>
        <c:overlap val="100"/>
        <c:axId val="41980288"/>
        <c:axId val="41982208"/>
      </c:barChart>
      <c:catAx>
        <c:axId val="41980288"/>
        <c:scaling>
          <c:orientation val="minMax"/>
        </c:scaling>
        <c:delete val="0"/>
        <c:axPos val="b"/>
        <c:title>
          <c:tx>
            <c:rich>
              <a:bodyPr/>
              <a:lstStyle/>
              <a:p>
                <a:pPr>
                  <a:defRPr/>
                </a:pPr>
                <a:r>
                  <a:rPr lang="en-US"/>
                  <a:t>Financial Year</a:t>
                </a:r>
              </a:p>
            </c:rich>
          </c:tx>
          <c:overlay val="0"/>
        </c:title>
        <c:numFmt formatCode="General" sourceLinked="1"/>
        <c:majorTickMark val="out"/>
        <c:minorTickMark val="none"/>
        <c:tickLblPos val="nextTo"/>
        <c:txPr>
          <a:bodyPr rot="-2700000"/>
          <a:lstStyle/>
          <a:p>
            <a:pPr>
              <a:defRPr/>
            </a:pPr>
            <a:endParaRPr lang="en-US"/>
          </a:p>
        </c:txPr>
        <c:crossAx val="41982208"/>
        <c:crosses val="autoZero"/>
        <c:auto val="1"/>
        <c:lblAlgn val="ctr"/>
        <c:lblOffset val="100"/>
        <c:noMultiLvlLbl val="0"/>
      </c:catAx>
      <c:valAx>
        <c:axId val="41982208"/>
        <c:scaling>
          <c:orientation val="minMax"/>
          <c:max val="100"/>
          <c:min val="0"/>
        </c:scaling>
        <c:delete val="0"/>
        <c:axPos val="l"/>
        <c:title>
          <c:tx>
            <c:rich>
              <a:bodyPr rot="-5400000" vert="horz"/>
              <a:lstStyle/>
              <a:p>
                <a:pPr>
                  <a:defRPr/>
                </a:pPr>
                <a:r>
                  <a:rPr lang="en-US"/>
                  <a:t>Percentage</a:t>
                </a:r>
              </a:p>
            </c:rich>
          </c:tx>
          <c:overlay val="0"/>
        </c:title>
        <c:numFmt formatCode="0" sourceLinked="0"/>
        <c:majorTickMark val="out"/>
        <c:minorTickMark val="none"/>
        <c:tickLblPos val="nextTo"/>
        <c:crossAx val="41980288"/>
        <c:crosses val="autoZero"/>
        <c:crossBetween val="between"/>
        <c:majorUnit val="20"/>
        <c:minorUnit val="20"/>
      </c:valAx>
    </c:plotArea>
    <c:legend>
      <c:legendPos val="r"/>
      <c:overlay val="0"/>
    </c:legend>
    <c:plotVisOnly val="1"/>
    <c:dispBlanksAs val="gap"/>
    <c:showDLblsOverMax val="0"/>
  </c:chart>
  <c:spPr>
    <a:ln>
      <a:noFill/>
    </a:ln>
  </c:spPr>
  <c:printSettings>
    <c:headerFooter/>
    <c:pageMargins b="0.75000000000000644" l="0.70000000000000062" r="0.70000000000000062" t="0.750000000000006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'Figure 3 Background Data'!$B$8</c:f>
              <c:strCache>
                <c:ptCount val="1"/>
                <c:pt idx="0">
                  <c:v>Female</c:v>
                </c:pt>
              </c:strCache>
            </c:strRef>
          </c:tx>
          <c:spPr>
            <a:solidFill>
              <a:schemeClr val="tx2">
                <a:lumMod val="20000"/>
                <a:lumOff val="80000"/>
              </a:schemeClr>
            </a:solidFill>
          </c:spPr>
          <c:invertIfNegative val="0"/>
          <c:cat>
            <c:strRef>
              <c:f>'Figure 3 Background Data'!$C$7:$H$7</c:f>
              <c:strCache>
                <c:ptCount val="6"/>
                <c:pt idx="0">
                  <c:v>0-54</c:v>
                </c:pt>
                <c:pt idx="1">
                  <c:v>55-64</c:v>
                </c:pt>
                <c:pt idx="2">
                  <c:v>65-74</c:v>
                </c:pt>
                <c:pt idx="3">
                  <c:v>75-84</c:v>
                </c:pt>
                <c:pt idx="4">
                  <c:v>85+</c:v>
                </c:pt>
                <c:pt idx="5">
                  <c:v>All Ages</c:v>
                </c:pt>
              </c:strCache>
            </c:strRef>
          </c:cat>
          <c:val>
            <c:numRef>
              <c:f>'Figure 3 Background Data'!$C$8:$H$8</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53E7-4952-ABDC-ED61C3EE0075}"/>
            </c:ext>
          </c:extLst>
        </c:ser>
        <c:ser>
          <c:idx val="1"/>
          <c:order val="1"/>
          <c:tx>
            <c:strRef>
              <c:f>'Figure 3 Background Data'!$B$9</c:f>
              <c:strCache>
                <c:ptCount val="1"/>
                <c:pt idx="0">
                  <c:v>Male</c:v>
                </c:pt>
              </c:strCache>
            </c:strRef>
          </c:tx>
          <c:spPr>
            <a:solidFill>
              <a:schemeClr val="tx2">
                <a:lumMod val="60000"/>
                <a:lumOff val="40000"/>
              </a:schemeClr>
            </a:solidFill>
          </c:spPr>
          <c:invertIfNegative val="0"/>
          <c:cat>
            <c:strRef>
              <c:f>'Figure 3 Background Data'!$C$7:$H$7</c:f>
              <c:strCache>
                <c:ptCount val="6"/>
                <c:pt idx="0">
                  <c:v>0-54</c:v>
                </c:pt>
                <c:pt idx="1">
                  <c:v>55-64</c:v>
                </c:pt>
                <c:pt idx="2">
                  <c:v>65-74</c:v>
                </c:pt>
                <c:pt idx="3">
                  <c:v>75-84</c:v>
                </c:pt>
                <c:pt idx="4">
                  <c:v>85+</c:v>
                </c:pt>
                <c:pt idx="5">
                  <c:v>All Ages</c:v>
                </c:pt>
              </c:strCache>
            </c:strRef>
          </c:cat>
          <c:val>
            <c:numRef>
              <c:f>'Figure 3 Background Data'!$C$9:$H$9</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53E7-4952-ABDC-ED61C3EE0075}"/>
            </c:ext>
          </c:extLst>
        </c:ser>
        <c:dLbls>
          <c:showLegendKey val="0"/>
          <c:showVal val="0"/>
          <c:showCatName val="0"/>
          <c:showSerName val="0"/>
          <c:showPercent val="0"/>
          <c:showBubbleSize val="0"/>
        </c:dLbls>
        <c:gapWidth val="150"/>
        <c:axId val="229452416"/>
        <c:axId val="229458688"/>
      </c:barChart>
      <c:catAx>
        <c:axId val="229452416"/>
        <c:scaling>
          <c:orientation val="minMax"/>
        </c:scaling>
        <c:delete val="0"/>
        <c:axPos val="b"/>
        <c:title>
          <c:tx>
            <c:rich>
              <a:bodyPr/>
              <a:lstStyle/>
              <a:p>
                <a:pPr>
                  <a:defRPr/>
                </a:pPr>
                <a:r>
                  <a:rPr lang="en-US"/>
                  <a:t>Age group</a:t>
                </a:r>
              </a:p>
            </c:rich>
          </c:tx>
          <c:overlay val="0"/>
        </c:title>
        <c:numFmt formatCode="General" sourceLinked="1"/>
        <c:majorTickMark val="out"/>
        <c:minorTickMark val="none"/>
        <c:tickLblPos val="nextTo"/>
        <c:crossAx val="229458688"/>
        <c:crosses val="autoZero"/>
        <c:auto val="1"/>
        <c:lblAlgn val="ctr"/>
        <c:lblOffset val="100"/>
        <c:noMultiLvlLbl val="0"/>
      </c:catAx>
      <c:valAx>
        <c:axId val="229458688"/>
        <c:scaling>
          <c:orientation val="minMax"/>
          <c:max val="100"/>
          <c:min val="0"/>
        </c:scaling>
        <c:delete val="0"/>
        <c:axPos val="l"/>
        <c:title>
          <c:tx>
            <c:rich>
              <a:bodyPr rot="-5400000" vert="horz"/>
              <a:lstStyle/>
              <a:p>
                <a:pPr>
                  <a:defRPr/>
                </a:pPr>
                <a:r>
                  <a:rPr lang="en-US"/>
                  <a:t>Percentage</a:t>
                </a:r>
              </a:p>
            </c:rich>
          </c:tx>
          <c:overlay val="0"/>
        </c:title>
        <c:numFmt formatCode="0" sourceLinked="0"/>
        <c:majorTickMark val="out"/>
        <c:minorTickMark val="none"/>
        <c:tickLblPos val="nextTo"/>
        <c:crossAx val="229452416"/>
        <c:crosses val="autoZero"/>
        <c:crossBetween val="between"/>
        <c:majorUnit val="10"/>
        <c:minorUnit val="10"/>
      </c:valAx>
    </c:plotArea>
    <c:legend>
      <c:legendPos val="r"/>
      <c:overlay val="0"/>
    </c:legend>
    <c:plotVisOnly val="1"/>
    <c:dispBlanksAs val="gap"/>
    <c:showDLblsOverMax val="0"/>
  </c:chart>
  <c:spPr>
    <a:ln>
      <a:noFill/>
    </a:ln>
  </c:spPr>
  <c:printSettings>
    <c:headerFooter/>
    <c:pageMargins b="0.75000000000000611" l="0.70000000000000062" r="0.70000000000000062" t="0.750000000000006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'Figure 4 Background Data'!$B$8:$B$12</c:f>
              <c:strCache>
                <c:ptCount val="5"/>
                <c:pt idx="0">
                  <c:v>1 - Most Deprived</c:v>
                </c:pt>
                <c:pt idx="1">
                  <c:v>2</c:v>
                </c:pt>
                <c:pt idx="2">
                  <c:v>3</c:v>
                </c:pt>
                <c:pt idx="3">
                  <c:v>4</c:v>
                </c:pt>
                <c:pt idx="4">
                  <c:v>5 - Least Deprived</c:v>
                </c:pt>
              </c:strCache>
            </c:strRef>
          </c:cat>
          <c:val>
            <c:numRef>
              <c:f>'Figure 4 Background Data'!$C$8:$C$12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B5F-4783-90E1-FBCB0B3699F8}"/>
            </c:ext>
          </c:extLst>
        </c:ser>
        <c:dLbls>
          <c:showLegendKey val="0"/>
          <c:showVal val="0"/>
          <c:showCatName val="0"/>
          <c:showSerName val="0"/>
          <c:showPercent val="0"/>
          <c:showBubbleSize val="0"/>
        </c:dLbls>
        <c:gapWidth val="150"/>
        <c:axId val="231019264"/>
        <c:axId val="231021184"/>
      </c:barChart>
      <c:catAx>
        <c:axId val="231019264"/>
        <c:scaling>
          <c:orientation val="minMax"/>
        </c:scaling>
        <c:delete val="0"/>
        <c:axPos val="b"/>
        <c:title>
          <c:tx>
            <c:rich>
              <a:bodyPr/>
              <a:lstStyle/>
              <a:p>
                <a:pPr>
                  <a:defRPr b="1"/>
                </a:pPr>
                <a:r>
                  <a:rPr lang="en-US" b="1"/>
                  <a:t>Deprivation</a:t>
                </a:r>
              </a:p>
            </c:rich>
          </c:tx>
          <c:overlay val="0"/>
        </c:title>
        <c:numFmt formatCode="General" sourceLinked="1"/>
        <c:majorTickMark val="out"/>
        <c:minorTickMark val="none"/>
        <c:tickLblPos val="nextTo"/>
        <c:crossAx val="231021184"/>
        <c:crosses val="autoZero"/>
        <c:auto val="1"/>
        <c:lblAlgn val="ctr"/>
        <c:lblOffset val="100"/>
        <c:noMultiLvlLbl val="0"/>
      </c:catAx>
      <c:valAx>
        <c:axId val="231021184"/>
        <c:scaling>
          <c:orientation val="minMax"/>
          <c:max val="100"/>
          <c:min val="0"/>
        </c:scaling>
        <c:delete val="0"/>
        <c:axPos val="l"/>
        <c:title>
          <c:tx>
            <c:rich>
              <a:bodyPr rot="-5400000" vert="horz"/>
              <a:lstStyle/>
              <a:p>
                <a:pPr>
                  <a:defRPr/>
                </a:pPr>
                <a:r>
                  <a:rPr lang="en-GB"/>
                  <a:t>Percentage</a:t>
                </a:r>
              </a:p>
            </c:rich>
          </c:tx>
          <c:overlay val="0"/>
        </c:title>
        <c:numFmt formatCode="0" sourceLinked="0"/>
        <c:majorTickMark val="out"/>
        <c:minorTickMark val="none"/>
        <c:tickLblPos val="nextTo"/>
        <c:crossAx val="231019264"/>
        <c:crosses val="autoZero"/>
        <c:crossBetween val="between"/>
        <c:majorUnit val="10"/>
        <c:minorUnit val="10"/>
      </c:valAx>
    </c:plotArea>
    <c:plotVisOnly val="1"/>
    <c:dispBlanksAs val="gap"/>
    <c:showDLblsOverMax val="0"/>
  </c:chart>
  <c:spPr>
    <a:ln>
      <a:noFill/>
    </a:ln>
  </c:spPr>
  <c:printSettings>
    <c:headerFooter/>
    <c:pageMargins b="0.75000000000000766" l="0.70000000000000062" r="0.70000000000000062" t="0.750000000000007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'Figure 5 Background Data'!$B$7:$B$12</c:f>
              <c:strCache>
                <c:ptCount val="6"/>
                <c:pt idx="0">
                  <c:v>1 Large Urban Areas</c:v>
                </c:pt>
                <c:pt idx="1">
                  <c:v>2 Other Urban Areas</c:v>
                </c:pt>
                <c:pt idx="2">
                  <c:v>3 Accessible Small Towns</c:v>
                </c:pt>
                <c:pt idx="3">
                  <c:v>4 Remote Small Towns</c:v>
                </c:pt>
                <c:pt idx="4">
                  <c:v>5 Accessible Rural</c:v>
                </c:pt>
                <c:pt idx="5">
                  <c:v>6 Remote Rural</c:v>
                </c:pt>
              </c:strCache>
            </c:strRef>
          </c:cat>
          <c:val>
            <c:numRef>
              <c:f>'Figure 5 Background Data'!$C$7:$C$12</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317-493A-A982-CE9252DC5AB8}"/>
            </c:ext>
          </c:extLst>
        </c:ser>
        <c:dLbls>
          <c:showLegendKey val="0"/>
          <c:showVal val="0"/>
          <c:showCatName val="0"/>
          <c:showSerName val="0"/>
          <c:showPercent val="0"/>
          <c:showBubbleSize val="0"/>
        </c:dLbls>
        <c:gapWidth val="150"/>
        <c:axId val="231078144"/>
        <c:axId val="231489920"/>
      </c:barChart>
      <c:catAx>
        <c:axId val="231078144"/>
        <c:scaling>
          <c:orientation val="minMax"/>
        </c:scaling>
        <c:delete val="0"/>
        <c:axPos val="b"/>
        <c:title>
          <c:tx>
            <c:rich>
              <a:bodyPr/>
              <a:lstStyle/>
              <a:p>
                <a:pPr>
                  <a:defRPr/>
                </a:pPr>
                <a:r>
                  <a:rPr lang="en-GB"/>
                  <a:t>Urban / Rural Classification</a:t>
                </a:r>
              </a:p>
            </c:rich>
          </c:tx>
          <c:layout>
            <c:manualLayout>
              <c:xMode val="edge"/>
              <c:yMode val="edge"/>
              <c:x val="0.383974161935276"/>
              <c:y val="0.94493179918566317"/>
            </c:manualLayout>
          </c:layout>
          <c:overlay val="0"/>
        </c:title>
        <c:numFmt formatCode="General" sourceLinked="1"/>
        <c:majorTickMark val="out"/>
        <c:minorTickMark val="none"/>
        <c:tickLblPos val="nextTo"/>
        <c:crossAx val="231489920"/>
        <c:crosses val="autoZero"/>
        <c:auto val="1"/>
        <c:lblAlgn val="ctr"/>
        <c:lblOffset val="100"/>
        <c:noMultiLvlLbl val="0"/>
      </c:catAx>
      <c:valAx>
        <c:axId val="231489920"/>
        <c:scaling>
          <c:orientation val="minMax"/>
          <c:max val="100"/>
          <c:min val="0"/>
        </c:scaling>
        <c:delete val="0"/>
        <c:axPos val="l"/>
        <c:title>
          <c:tx>
            <c:rich>
              <a:bodyPr rot="-5400000" vert="horz"/>
              <a:lstStyle/>
              <a:p>
                <a:pPr>
                  <a:defRPr/>
                </a:pPr>
                <a:r>
                  <a:rPr lang="en-GB"/>
                  <a:t>Percentage</a:t>
                </a:r>
              </a:p>
            </c:rich>
          </c:tx>
          <c:overlay val="0"/>
        </c:title>
        <c:numFmt formatCode="0" sourceLinked="0"/>
        <c:majorTickMark val="out"/>
        <c:minorTickMark val="none"/>
        <c:tickLblPos val="nextTo"/>
        <c:crossAx val="231078144"/>
        <c:crosses val="autoZero"/>
        <c:crossBetween val="between"/>
        <c:majorUnit val="10"/>
        <c:minorUnit val="10"/>
      </c:valAx>
    </c:plotArea>
    <c:plotVisOnly val="1"/>
    <c:dispBlanksAs val="gap"/>
    <c:showDLblsOverMax val="0"/>
  </c:chart>
  <c:spPr>
    <a:ln>
      <a:noFill/>
    </a:ln>
  </c:spPr>
  <c:printSettings>
    <c:headerFooter/>
    <c:pageMargins b="0.75000000000000777" l="0.70000000000000062" r="0.70000000000000062" t="0.75000000000000777" header="0.30000000000000032" footer="0.30000000000000032"/>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38100</xdr:colOff>
      <xdr:row>21</xdr:row>
      <xdr:rowOff>28576</xdr:rowOff>
    </xdr:from>
    <xdr:to>
      <xdr:col>12</xdr:col>
      <xdr:colOff>314325</xdr:colOff>
      <xdr:row>38</xdr:row>
      <xdr:rowOff>95251</xdr:rowOff>
    </xdr:to>
    <xdr:sp macro="" textlink="">
      <xdr:nvSpPr>
        <xdr:cNvPr id="2" name="Text Box 1"/>
        <xdr:cNvSpPr txBox="1">
          <a:spLocks noChangeArrowheads="1"/>
        </xdr:cNvSpPr>
      </xdr:nvSpPr>
      <xdr:spPr bwMode="auto">
        <a:xfrm>
          <a:off x="381000" y="3219451"/>
          <a:ext cx="6372225" cy="28194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endParaRPr lang="en-GB" sz="1000" b="0" i="0" u="none" strike="noStrike" baseline="0">
            <a:solidFill>
              <a:srgbClr val="000000"/>
            </a:solidFill>
            <a:latin typeface="Arial"/>
            <a:cs typeface="Arial"/>
          </a:endParaRPr>
        </a:p>
        <a:p>
          <a:pPr algn="l" rtl="0">
            <a:defRPr sz="1000"/>
          </a:pPr>
          <a:r>
            <a:rPr lang="en-GB" sz="1000" b="0" i="0" u="sng" strike="noStrike" baseline="0">
              <a:solidFill>
                <a:srgbClr val="000000"/>
              </a:solidFill>
              <a:latin typeface="Arial"/>
              <a:cs typeface="Arial"/>
            </a:rPr>
            <a:t>Calculation of Measure</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Actual Bed days</a:t>
          </a:r>
          <a:r>
            <a:rPr lang="en-GB" sz="1000" b="0" i="0" u="none" strike="noStrike" baseline="0">
              <a:solidFill>
                <a:srgbClr val="000000"/>
              </a:solidFill>
              <a:latin typeface="Arial"/>
              <a:cs typeface="Arial"/>
            </a:rPr>
            <a:t>                =  Total bed days in hospital in the 6 months prior to death for those</a:t>
          </a:r>
        </a:p>
        <a:p>
          <a:pPr algn="l" rtl="0">
            <a:defRPr sz="1000"/>
          </a:pPr>
          <a:r>
            <a:rPr lang="en-GB" sz="1000" b="0" i="0" u="none" strike="noStrike" baseline="0">
              <a:solidFill>
                <a:srgbClr val="000000"/>
              </a:solidFill>
              <a:latin typeface="Arial"/>
              <a:cs typeface="Arial"/>
            </a:rPr>
            <a:t>                                              people who died within a specific year</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Possible bed days</a:t>
          </a:r>
          <a:r>
            <a:rPr lang="en-GB" sz="1000" b="0" i="0" u="none" strike="noStrike" baseline="0">
              <a:solidFill>
                <a:srgbClr val="000000"/>
              </a:solidFill>
              <a:latin typeface="Arial"/>
              <a:cs typeface="Arial"/>
            </a:rPr>
            <a:t>             = Total number of deaths in specified period x 182.5</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in hospital in last 6 months of life              </a:t>
          </a:r>
          <a:r>
            <a:rPr lang="en-GB" sz="1000" b="0" i="0" u="none" strike="noStrike" baseline="0">
              <a:solidFill>
                <a:srgbClr val="000000"/>
              </a:solidFill>
              <a:latin typeface="Arial"/>
              <a:cs typeface="Arial"/>
            </a:rPr>
            <a:t> = (Actual bed days / possible bed days) x 100</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at home or in a community setting in last 6 months of life</a:t>
          </a:r>
          <a:r>
            <a:rPr lang="en-GB" sz="1000" b="0" i="0" u="none" strike="noStrike" baseline="0">
              <a:solidFill>
                <a:srgbClr val="000000"/>
              </a:solidFill>
              <a:latin typeface="Arial"/>
              <a:cs typeface="Arial"/>
            </a:rPr>
            <a:t>         = 100 – % time in hospital in</a:t>
          </a:r>
        </a:p>
        <a:p>
          <a:pPr algn="l" rtl="0">
            <a:defRPr sz="1000"/>
          </a:pPr>
          <a:r>
            <a:rPr lang="en-GB" sz="1000" b="0" i="0" u="none" strike="noStrike" baseline="0">
              <a:solidFill>
                <a:srgbClr val="000000"/>
              </a:solidFill>
              <a:latin typeface="Arial"/>
              <a:cs typeface="Arial"/>
            </a:rPr>
            <a:t>                                                                                                                                   last 6 months of life</a:t>
          </a:r>
        </a:p>
        <a:p>
          <a:pPr algn="l" rtl="0">
            <a:defRPr sz="1000"/>
          </a:pPr>
          <a:endParaRPr lang="en-GB" sz="1200" b="0" i="0" u="none" strike="noStrike" baseline="0">
            <a:solidFill>
              <a:srgbClr val="000000"/>
            </a:solidFill>
            <a:latin typeface="Times New Roman"/>
            <a:cs typeface="Times New Roman"/>
          </a:endParaRPr>
        </a:p>
        <a:p>
          <a:pPr algn="l" rtl="0">
            <a:defRPr sz="1000"/>
          </a:pPr>
          <a:endParaRPr lang="en-GB" sz="1200" b="0" i="0" u="none" strike="noStrike" baseline="0">
            <a:solidFill>
              <a:srgbClr val="000000"/>
            </a:solidFill>
            <a:latin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161924</xdr:colOff>
      <xdr:row>5</xdr:row>
      <xdr:rowOff>133351</xdr:rowOff>
    </xdr:from>
    <xdr:to>
      <xdr:col>11</xdr:col>
      <xdr:colOff>171449</xdr:colOff>
      <xdr:row>25</xdr:row>
      <xdr:rowOff>95251</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161924</xdr:colOff>
      <xdr:row>5</xdr:row>
      <xdr:rowOff>133351</xdr:rowOff>
    </xdr:from>
    <xdr:to>
      <xdr:col>11</xdr:col>
      <xdr:colOff>171449</xdr:colOff>
      <xdr:row>25</xdr:row>
      <xdr:rowOff>95251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428624</xdr:colOff>
      <xdr:row>5</xdr:row>
      <xdr:rowOff>57150</xdr:rowOff>
    </xdr:from>
    <xdr:to>
      <xdr:col>13</xdr:col>
      <xdr:colOff>190499</xdr:colOff>
      <xdr:row>26</xdr:row>
      <xdr:rowOff>161925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247650</xdr:colOff>
      <xdr:row>5</xdr:row>
      <xdr:rowOff>47625</xdr:rowOff>
    </xdr:from>
    <xdr:to>
      <xdr:col>12</xdr:col>
      <xdr:colOff>247650</xdr:colOff>
      <xdr:row>28</xdr:row>
      <xdr:rowOff>95251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hyperlink" Target="http://www.scotland.gov.uk/Topics/Statistics/SIMD/"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www.scotland.gov.uk/Topics/Statistics/SIMD/"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 Id="rId4"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www.who.int/classifications/icd/en/" TargetMode="External"/><Relationship Id="rId1" Type="http://schemas.openxmlformats.org/officeDocument/2006/relationships/hyperlink" Target="http://www.who.int/classifications/icd/en/"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73"/>
  <sheetViews>
    <sheetView showGridLines="0" zoomScaleNormal="100" workbookViewId="0"/>
  </sheetViews>
  <sheetFormatPr defaultRowHeight="12.75" x14ac:dyDescent="0.2"/>
  <cols>
    <col min="1" max="1" width="2.7109375" style="40" customWidth="1"/>
    <col min="2" max="2" width="3.42578125" style="40" customWidth="1"/>
    <col min="3" max="256" width="9.140625" style="40"/>
    <col min="257" max="257" width="1.7109375" style="40" customWidth="1"/>
    <col min="258" max="258" width="3.42578125" style="40" customWidth="1"/>
    <col min="259" max="512" width="9.140625" style="40"/>
    <col min="513" max="513" width="1.7109375" style="40" customWidth="1"/>
    <col min="514" max="514" width="3.42578125" style="40" customWidth="1"/>
    <col min="515" max="768" width="9.140625" style="40"/>
    <col min="769" max="769" width="1.7109375" style="40" customWidth="1"/>
    <col min="770" max="770" width="3.42578125" style="40" customWidth="1"/>
    <col min="771" max="1024" width="9.140625" style="40"/>
    <col min="1025" max="1025" width="1.7109375" style="40" customWidth="1"/>
    <col min="1026" max="1026" width="3.42578125" style="40" customWidth="1"/>
    <col min="1027" max="1280" width="9.140625" style="40"/>
    <col min="1281" max="1281" width="1.7109375" style="40" customWidth="1"/>
    <col min="1282" max="1282" width="3.42578125" style="40" customWidth="1"/>
    <col min="1283" max="1536" width="9.140625" style="40"/>
    <col min="1537" max="1537" width="1.7109375" style="40" customWidth="1"/>
    <col min="1538" max="1538" width="3.42578125" style="40" customWidth="1"/>
    <col min="1539" max="1792" width="9.140625" style="40"/>
    <col min="1793" max="1793" width="1.7109375" style="40" customWidth="1"/>
    <col min="1794" max="1794" width="3.42578125" style="40" customWidth="1"/>
    <col min="1795" max="2048" width="9.140625" style="40"/>
    <col min="2049" max="2049" width="1.7109375" style="40" customWidth="1"/>
    <col min="2050" max="2050" width="3.42578125" style="40" customWidth="1"/>
    <col min="2051" max="2304" width="9.140625" style="40"/>
    <col min="2305" max="2305" width="1.7109375" style="40" customWidth="1"/>
    <col min="2306" max="2306" width="3.42578125" style="40" customWidth="1"/>
    <col min="2307" max="2560" width="9.140625" style="40"/>
    <col min="2561" max="2561" width="1.7109375" style="40" customWidth="1"/>
    <col min="2562" max="2562" width="3.42578125" style="40" customWidth="1"/>
    <col min="2563" max="2816" width="9.140625" style="40"/>
    <col min="2817" max="2817" width="1.7109375" style="40" customWidth="1"/>
    <col min="2818" max="2818" width="3.42578125" style="40" customWidth="1"/>
    <col min="2819" max="3072" width="9.140625" style="40"/>
    <col min="3073" max="3073" width="1.7109375" style="40" customWidth="1"/>
    <col min="3074" max="3074" width="3.42578125" style="40" customWidth="1"/>
    <col min="3075" max="3328" width="9.140625" style="40"/>
    <col min="3329" max="3329" width="1.7109375" style="40" customWidth="1"/>
    <col min="3330" max="3330" width="3.42578125" style="40" customWidth="1"/>
    <col min="3331" max="3584" width="9.140625" style="40"/>
    <col min="3585" max="3585" width="1.7109375" style="40" customWidth="1"/>
    <col min="3586" max="3586" width="3.42578125" style="40" customWidth="1"/>
    <col min="3587" max="3840" width="9.140625" style="40"/>
    <col min="3841" max="3841" width="1.7109375" style="40" customWidth="1"/>
    <col min="3842" max="3842" width="3.42578125" style="40" customWidth="1"/>
    <col min="3843" max="4096" width="9.140625" style="40"/>
    <col min="4097" max="4097" width="1.7109375" style="40" customWidth="1"/>
    <col min="4098" max="4098" width="3.42578125" style="40" customWidth="1"/>
    <col min="4099" max="4352" width="9.140625" style="40"/>
    <col min="4353" max="4353" width="1.7109375" style="40" customWidth="1"/>
    <col min="4354" max="4354" width="3.42578125" style="40" customWidth="1"/>
    <col min="4355" max="4608" width="9.140625" style="40"/>
    <col min="4609" max="4609" width="1.7109375" style="40" customWidth="1"/>
    <col min="4610" max="4610" width="3.42578125" style="40" customWidth="1"/>
    <col min="4611" max="4864" width="9.140625" style="40"/>
    <col min="4865" max="4865" width="1.7109375" style="40" customWidth="1"/>
    <col min="4866" max="4866" width="3.42578125" style="40" customWidth="1"/>
    <col min="4867" max="5120" width="9.140625" style="40"/>
    <col min="5121" max="5121" width="1.7109375" style="40" customWidth="1"/>
    <col min="5122" max="5122" width="3.42578125" style="40" customWidth="1"/>
    <col min="5123" max="5376" width="9.140625" style="40"/>
    <col min="5377" max="5377" width="1.7109375" style="40" customWidth="1"/>
    <col min="5378" max="5378" width="3.42578125" style="40" customWidth="1"/>
    <col min="5379" max="5632" width="9.140625" style="40"/>
    <col min="5633" max="5633" width="1.7109375" style="40" customWidth="1"/>
    <col min="5634" max="5634" width="3.42578125" style="40" customWidth="1"/>
    <col min="5635" max="5888" width="9.140625" style="40"/>
    <col min="5889" max="5889" width="1.7109375" style="40" customWidth="1"/>
    <col min="5890" max="5890" width="3.42578125" style="40" customWidth="1"/>
    <col min="5891" max="6144" width="9.140625" style="40"/>
    <col min="6145" max="6145" width="1.7109375" style="40" customWidth="1"/>
    <col min="6146" max="6146" width="3.42578125" style="40" customWidth="1"/>
    <col min="6147" max="6400" width="9.140625" style="40"/>
    <col min="6401" max="6401" width="1.7109375" style="40" customWidth="1"/>
    <col min="6402" max="6402" width="3.42578125" style="40" customWidth="1"/>
    <col min="6403" max="6656" width="9.140625" style="40"/>
    <col min="6657" max="6657" width="1.7109375" style="40" customWidth="1"/>
    <col min="6658" max="6658" width="3.42578125" style="40" customWidth="1"/>
    <col min="6659" max="6912" width="9.140625" style="40"/>
    <col min="6913" max="6913" width="1.7109375" style="40" customWidth="1"/>
    <col min="6914" max="6914" width="3.42578125" style="40" customWidth="1"/>
    <col min="6915" max="7168" width="9.140625" style="40"/>
    <col min="7169" max="7169" width="1.7109375" style="40" customWidth="1"/>
    <col min="7170" max="7170" width="3.42578125" style="40" customWidth="1"/>
    <col min="7171" max="7424" width="9.140625" style="40"/>
    <col min="7425" max="7425" width="1.7109375" style="40" customWidth="1"/>
    <col min="7426" max="7426" width="3.42578125" style="40" customWidth="1"/>
    <col min="7427" max="7680" width="9.140625" style="40"/>
    <col min="7681" max="7681" width="1.7109375" style="40" customWidth="1"/>
    <col min="7682" max="7682" width="3.42578125" style="40" customWidth="1"/>
    <col min="7683" max="7936" width="9.140625" style="40"/>
    <col min="7937" max="7937" width="1.7109375" style="40" customWidth="1"/>
    <col min="7938" max="7938" width="3.42578125" style="40" customWidth="1"/>
    <col min="7939" max="8192" width="9.140625" style="40"/>
    <col min="8193" max="8193" width="1.7109375" style="40" customWidth="1"/>
    <col min="8194" max="8194" width="3.42578125" style="40" customWidth="1"/>
    <col min="8195" max="8448" width="9.140625" style="40"/>
    <col min="8449" max="8449" width="1.7109375" style="40" customWidth="1"/>
    <col min="8450" max="8450" width="3.42578125" style="40" customWidth="1"/>
    <col min="8451" max="8704" width="9.140625" style="40"/>
    <col min="8705" max="8705" width="1.7109375" style="40" customWidth="1"/>
    <col min="8706" max="8706" width="3.42578125" style="40" customWidth="1"/>
    <col min="8707" max="8960" width="9.140625" style="40"/>
    <col min="8961" max="8961" width="1.7109375" style="40" customWidth="1"/>
    <col min="8962" max="8962" width="3.42578125" style="40" customWidth="1"/>
    <col min="8963" max="9216" width="9.140625" style="40"/>
    <col min="9217" max="9217" width="1.7109375" style="40" customWidth="1"/>
    <col min="9218" max="9218" width="3.42578125" style="40" customWidth="1"/>
    <col min="9219" max="9472" width="9.140625" style="40"/>
    <col min="9473" max="9473" width="1.7109375" style="40" customWidth="1"/>
    <col min="9474" max="9474" width="3.42578125" style="40" customWidth="1"/>
    <col min="9475" max="9728" width="9.140625" style="40"/>
    <col min="9729" max="9729" width="1.7109375" style="40" customWidth="1"/>
    <col min="9730" max="9730" width="3.42578125" style="40" customWidth="1"/>
    <col min="9731" max="9984" width="9.140625" style="40"/>
    <col min="9985" max="9985" width="1.7109375" style="40" customWidth="1"/>
    <col min="9986" max="9986" width="3.42578125" style="40" customWidth="1"/>
    <col min="9987" max="10240" width="9.140625" style="40"/>
    <col min="10241" max="10241" width="1.7109375" style="40" customWidth="1"/>
    <col min="10242" max="10242" width="3.42578125" style="40" customWidth="1"/>
    <col min="10243" max="10496" width="9.140625" style="40"/>
    <col min="10497" max="10497" width="1.7109375" style="40" customWidth="1"/>
    <col min="10498" max="10498" width="3.42578125" style="40" customWidth="1"/>
    <col min="10499" max="10752" width="9.140625" style="40"/>
    <col min="10753" max="10753" width="1.7109375" style="40" customWidth="1"/>
    <col min="10754" max="10754" width="3.42578125" style="40" customWidth="1"/>
    <col min="10755" max="11008" width="9.140625" style="40"/>
    <col min="11009" max="11009" width="1.7109375" style="40" customWidth="1"/>
    <col min="11010" max="11010" width="3.42578125" style="40" customWidth="1"/>
    <col min="11011" max="11264" width="9.140625" style="40"/>
    <col min="11265" max="11265" width="1.7109375" style="40" customWidth="1"/>
    <col min="11266" max="11266" width="3.42578125" style="40" customWidth="1"/>
    <col min="11267" max="11520" width="9.140625" style="40"/>
    <col min="11521" max="11521" width="1.7109375" style="40" customWidth="1"/>
    <col min="11522" max="11522" width="3.42578125" style="40" customWidth="1"/>
    <col min="11523" max="11776" width="9.140625" style="40"/>
    <col min="11777" max="11777" width="1.7109375" style="40" customWidth="1"/>
    <col min="11778" max="11778" width="3.42578125" style="40" customWidth="1"/>
    <col min="11779" max="12032" width="9.140625" style="40"/>
    <col min="12033" max="12033" width="1.7109375" style="40" customWidth="1"/>
    <col min="12034" max="12034" width="3.42578125" style="40" customWidth="1"/>
    <col min="12035" max="12288" width="9.140625" style="40"/>
    <col min="12289" max="12289" width="1.7109375" style="40" customWidth="1"/>
    <col min="12290" max="12290" width="3.42578125" style="40" customWidth="1"/>
    <col min="12291" max="12544" width="9.140625" style="40"/>
    <col min="12545" max="12545" width="1.7109375" style="40" customWidth="1"/>
    <col min="12546" max="12546" width="3.42578125" style="40" customWidth="1"/>
    <col min="12547" max="12800" width="9.140625" style="40"/>
    <col min="12801" max="12801" width="1.7109375" style="40" customWidth="1"/>
    <col min="12802" max="12802" width="3.42578125" style="40" customWidth="1"/>
    <col min="12803" max="13056" width="9.140625" style="40"/>
    <col min="13057" max="13057" width="1.7109375" style="40" customWidth="1"/>
    <col min="13058" max="13058" width="3.42578125" style="40" customWidth="1"/>
    <col min="13059" max="13312" width="9.140625" style="40"/>
    <col min="13313" max="13313" width="1.7109375" style="40" customWidth="1"/>
    <col min="13314" max="13314" width="3.42578125" style="40" customWidth="1"/>
    <col min="13315" max="13568" width="9.140625" style="40"/>
    <col min="13569" max="13569" width="1.7109375" style="40" customWidth="1"/>
    <col min="13570" max="13570" width="3.42578125" style="40" customWidth="1"/>
    <col min="13571" max="13824" width="9.140625" style="40"/>
    <col min="13825" max="13825" width="1.7109375" style="40" customWidth="1"/>
    <col min="13826" max="13826" width="3.42578125" style="40" customWidth="1"/>
    <col min="13827" max="14080" width="9.140625" style="40"/>
    <col min="14081" max="14081" width="1.7109375" style="40" customWidth="1"/>
    <col min="14082" max="14082" width="3.42578125" style="40" customWidth="1"/>
    <col min="14083" max="14336" width="9.140625" style="40"/>
    <col min="14337" max="14337" width="1.7109375" style="40" customWidth="1"/>
    <col min="14338" max="14338" width="3.42578125" style="40" customWidth="1"/>
    <col min="14339" max="14592" width="9.140625" style="40"/>
    <col min="14593" max="14593" width="1.7109375" style="40" customWidth="1"/>
    <col min="14594" max="14594" width="3.42578125" style="40" customWidth="1"/>
    <col min="14595" max="14848" width="9.140625" style="40"/>
    <col min="14849" max="14849" width="1.7109375" style="40" customWidth="1"/>
    <col min="14850" max="14850" width="3.42578125" style="40" customWidth="1"/>
    <col min="14851" max="15104" width="9.140625" style="40"/>
    <col min="15105" max="15105" width="1.7109375" style="40" customWidth="1"/>
    <col min="15106" max="15106" width="3.42578125" style="40" customWidth="1"/>
    <col min="15107" max="15360" width="9.140625" style="40"/>
    <col min="15361" max="15361" width="1.7109375" style="40" customWidth="1"/>
    <col min="15362" max="15362" width="3.42578125" style="40" customWidth="1"/>
    <col min="15363" max="15616" width="9.140625" style="40"/>
    <col min="15617" max="15617" width="1.7109375" style="40" customWidth="1"/>
    <col min="15618" max="15618" width="3.42578125" style="40" customWidth="1"/>
    <col min="15619" max="15872" width="9.140625" style="40"/>
    <col min="15873" max="15873" width="1.7109375" style="40" customWidth="1"/>
    <col min="15874" max="15874" width="3.42578125" style="40" customWidth="1"/>
    <col min="15875" max="16128" width="9.140625" style="40"/>
    <col min="16129" max="16129" width="1.7109375" style="40" customWidth="1"/>
    <col min="16130" max="16130" width="3.42578125" style="40" customWidth="1"/>
    <col min="16131" max="16384" width="9.140625" style="40"/>
  </cols>
  <sheetData>
    <row r="1" spans="1:28" s="49" customFormat="1" ht="15.75" x14ac:dyDescent="0.25">
      <c r="B1" s="111"/>
      <c r="C1" s="111"/>
      <c r="D1" s="111"/>
      <c r="E1" s="111"/>
      <c r="F1" s="111"/>
      <c r="G1" s="111"/>
      <c r="H1" s="111"/>
      <c r="I1" s="111"/>
      <c r="J1" s="111"/>
      <c r="K1" s="111"/>
      <c r="L1" s="111"/>
      <c r="M1" s="111"/>
      <c r="N1" s="111"/>
      <c r="O1" s="111"/>
    </row>
    <row r="2" spans="1:28" s="24" customFormat="1" ht="15.75" customHeight="1" x14ac:dyDescent="0.25">
      <c r="A2" s="22"/>
      <c r="B2" s="23" t="s">
        <v>73</v>
      </c>
      <c r="C2" s="22"/>
      <c r="D2" s="22"/>
      <c r="E2" s="22"/>
      <c r="F2" s="22"/>
      <c r="G2" s="22"/>
      <c r="H2" s="22"/>
      <c r="I2" s="22"/>
      <c r="J2" s="22"/>
      <c r="K2" s="22"/>
      <c r="L2" s="22"/>
      <c r="M2" s="22"/>
      <c r="N2" s="22"/>
      <c r="O2" s="22"/>
      <c r="P2" s="22"/>
      <c r="Q2" s="22"/>
      <c r="R2" s="22"/>
      <c r="S2" s="22"/>
      <c r="T2" s="22"/>
      <c r="U2" s="22"/>
      <c r="V2" s="22"/>
      <c r="W2" s="22"/>
      <c r="X2" s="22"/>
      <c r="Y2" s="22"/>
      <c r="Z2" s="22"/>
      <c r="AA2" s="22"/>
      <c r="AB2" s="22"/>
    </row>
    <row r="3" spans="1:28" s="24" customFormat="1" x14ac:dyDescent="0.2">
      <c r="A3" s="22"/>
      <c r="B3" s="22"/>
      <c r="C3" s="22"/>
      <c r="D3" s="22"/>
      <c r="E3" s="22"/>
      <c r="F3" s="22"/>
      <c r="G3" s="22"/>
      <c r="H3" s="22"/>
      <c r="I3" s="22"/>
      <c r="J3" s="22"/>
      <c r="K3" s="22"/>
      <c r="L3" s="22"/>
      <c r="M3" s="22"/>
      <c r="N3" s="22"/>
      <c r="O3" s="22"/>
      <c r="P3" s="22"/>
      <c r="Q3" s="22"/>
      <c r="R3" s="22"/>
      <c r="S3" s="22"/>
      <c r="T3" s="22"/>
      <c r="U3" s="22"/>
      <c r="V3" s="22"/>
      <c r="W3" s="22"/>
      <c r="X3" s="22"/>
      <c r="Y3" s="22"/>
      <c r="Z3" s="22"/>
      <c r="AA3" s="22"/>
      <c r="AB3" s="22"/>
    </row>
    <row r="4" spans="1:28" s="24" customFormat="1" x14ac:dyDescent="0.2">
      <c r="A4" s="22"/>
      <c r="B4" s="25" t="s">
        <v>90</v>
      </c>
      <c r="C4" s="22"/>
      <c r="D4" s="22"/>
      <c r="E4" s="22"/>
      <c r="F4" s="22"/>
      <c r="G4" s="22"/>
      <c r="H4" s="22"/>
      <c r="I4" s="22"/>
      <c r="J4" s="22"/>
      <c r="K4" s="22"/>
      <c r="L4" s="22"/>
      <c r="M4" s="22"/>
      <c r="N4" s="22"/>
      <c r="O4" s="22"/>
      <c r="P4" s="22"/>
      <c r="Q4" s="22"/>
      <c r="R4" s="22"/>
      <c r="S4" s="22"/>
      <c r="T4" s="22"/>
      <c r="U4" s="22"/>
      <c r="V4" s="22"/>
      <c r="W4" s="22"/>
      <c r="X4" s="22"/>
      <c r="Y4" s="22"/>
      <c r="Z4" s="22"/>
      <c r="AA4" s="22"/>
      <c r="AB4" s="22"/>
    </row>
    <row r="5" spans="1:28" s="24" customFormat="1" x14ac:dyDescent="0.2">
      <c r="A5" s="22"/>
      <c r="B5" s="26"/>
      <c r="C5" s="26"/>
      <c r="D5" s="26"/>
      <c r="E5" s="26"/>
      <c r="F5" s="26"/>
      <c r="G5" s="26"/>
      <c r="H5" s="26"/>
      <c r="I5" s="26"/>
      <c r="J5" s="26"/>
      <c r="K5" s="26"/>
      <c r="L5" s="26"/>
      <c r="M5" s="26"/>
      <c r="N5" s="26"/>
      <c r="O5" s="26"/>
      <c r="P5" s="26"/>
      <c r="Q5" s="22"/>
      <c r="R5" s="22"/>
      <c r="S5" s="22"/>
      <c r="T5" s="22"/>
      <c r="U5" s="22"/>
      <c r="V5" s="22"/>
      <c r="W5" s="22"/>
      <c r="X5" s="22"/>
      <c r="Y5" s="22"/>
      <c r="Z5" s="22"/>
      <c r="AA5" s="22"/>
      <c r="AB5" s="22"/>
    </row>
    <row r="6" spans="1:28" s="24" customFormat="1" x14ac:dyDescent="0.2">
      <c r="A6" s="22"/>
      <c r="B6" s="3" t="e">
        <f ca="1">"Figure 1: Percentage of time in the last six months of life spent at home or in a community setting (2010/11 - " &amp; [0]!fy_max &amp; ")"</f>
        <v>#REF!</v>
      </c>
      <c r="C6" s="3"/>
      <c r="D6" s="3"/>
      <c r="E6" s="3"/>
      <c r="F6" s="3"/>
      <c r="G6" s="3"/>
      <c r="H6" s="3"/>
      <c r="I6" s="3"/>
      <c r="J6" s="3"/>
      <c r="K6" s="3"/>
      <c r="L6" s="3"/>
      <c r="M6" s="3"/>
      <c r="N6" s="13"/>
      <c r="O6" s="13"/>
      <c r="P6" s="27"/>
      <c r="Q6" s="22"/>
      <c r="R6" s="22"/>
      <c r="S6" s="22"/>
      <c r="T6" s="22"/>
      <c r="U6" s="22"/>
      <c r="V6" s="22"/>
      <c r="W6" s="22"/>
      <c r="X6" s="22"/>
      <c r="Y6" s="22"/>
      <c r="Z6" s="22"/>
      <c r="AA6" s="22"/>
      <c r="AB6" s="22"/>
    </row>
    <row r="7" spans="1:28" s="24" customFormat="1" x14ac:dyDescent="0.2">
      <c r="A7" s="22"/>
      <c r="B7" s="3" t="s">
        <v>94</v>
      </c>
      <c r="C7" s="3"/>
      <c r="D7" s="3"/>
      <c r="E7" s="3"/>
      <c r="F7" s="3"/>
      <c r="G7" s="3"/>
      <c r="H7" s="3"/>
      <c r="I7" s="3"/>
      <c r="J7" s="3"/>
      <c r="K7" s="3"/>
      <c r="L7" s="3"/>
      <c r="M7" s="3"/>
      <c r="N7" s="13"/>
      <c r="O7" s="13"/>
      <c r="P7" s="27"/>
      <c r="Q7" s="22"/>
      <c r="R7" s="22"/>
      <c r="S7" s="22"/>
      <c r="T7" s="22"/>
      <c r="U7" s="22"/>
      <c r="V7" s="22"/>
      <c r="W7" s="22"/>
      <c r="X7" s="22"/>
      <c r="Y7" s="22"/>
      <c r="Z7" s="22"/>
      <c r="AA7" s="22"/>
      <c r="AB7" s="22"/>
    </row>
    <row r="8" spans="1:28" s="24" customFormat="1" x14ac:dyDescent="0.2">
      <c r="A8" s="22"/>
      <c r="B8" s="3" t="s">
        <v>119</v>
      </c>
      <c r="C8" s="3"/>
      <c r="D8" s="3"/>
      <c r="E8" s="3"/>
      <c r="F8" s="3"/>
      <c r="G8" s="3"/>
      <c r="H8" s="3"/>
      <c r="I8" s="3"/>
      <c r="J8" s="3"/>
      <c r="K8" s="3"/>
      <c r="L8" s="3"/>
      <c r="M8" s="3"/>
      <c r="N8" s="13"/>
      <c r="O8" s="13"/>
      <c r="P8" s="27"/>
      <c r="Q8" s="22"/>
      <c r="R8" s="22"/>
      <c r="S8" s="22"/>
      <c r="T8" s="22"/>
      <c r="U8" s="22"/>
      <c r="V8" s="22"/>
      <c r="W8" s="22"/>
      <c r="X8" s="22"/>
      <c r="Y8" s="22"/>
      <c r="Z8" s="22"/>
      <c r="AA8" s="22"/>
      <c r="AB8" s="22"/>
    </row>
    <row r="9" spans="1:28" s="24" customFormat="1" x14ac:dyDescent="0.2">
      <c r="A9" s="22"/>
      <c r="B9" s="3" t="s">
        <v>125</v>
      </c>
      <c r="C9" s="3"/>
      <c r="D9" s="3"/>
      <c r="E9" s="3"/>
      <c r="F9" s="3"/>
      <c r="G9" s="3"/>
      <c r="H9" s="3"/>
      <c r="I9" s="3"/>
      <c r="J9" s="3"/>
      <c r="K9" s="3"/>
      <c r="L9" s="3"/>
      <c r="M9" s="3"/>
      <c r="N9" s="13"/>
      <c r="O9" s="13"/>
      <c r="P9" s="27"/>
      <c r="Q9" s="22"/>
      <c r="R9" s="22"/>
      <c r="S9" s="22"/>
      <c r="T9" s="22"/>
      <c r="U9" s="22"/>
      <c r="V9" s="22"/>
      <c r="W9" s="22"/>
      <c r="X9" s="22"/>
      <c r="Y9" s="22"/>
      <c r="Z9" s="22"/>
      <c r="AA9" s="22"/>
      <c r="AB9" s="22"/>
    </row>
    <row r="10" spans="1:28" s="24" customFormat="1" x14ac:dyDescent="0.2">
      <c r="A10" s="22"/>
      <c r="B10" s="3" t="s">
        <v>130</v>
      </c>
      <c r="C10" s="3"/>
      <c r="D10" s="3"/>
      <c r="E10" s="3"/>
      <c r="F10" s="3"/>
      <c r="G10" s="3"/>
      <c r="H10" s="3"/>
      <c r="I10" s="3"/>
      <c r="J10" s="3"/>
      <c r="K10" s="3"/>
      <c r="L10" s="3"/>
      <c r="M10" s="3"/>
      <c r="N10" s="13"/>
      <c r="O10" s="13"/>
      <c r="P10" s="27"/>
      <c r="Q10" s="22"/>
      <c r="R10" s="22"/>
      <c r="S10" s="22"/>
      <c r="T10" s="22"/>
      <c r="U10" s="22"/>
      <c r="V10" s="22"/>
      <c r="W10" s="22"/>
      <c r="X10" s="22"/>
      <c r="Y10" s="22"/>
      <c r="Z10" s="22"/>
      <c r="AA10" s="22"/>
      <c r="AB10" s="22"/>
    </row>
    <row r="11" spans="1:28" s="24" customFormat="1" ht="15" x14ac:dyDescent="0.2">
      <c r="A11" s="22"/>
      <c r="B11" s="29"/>
      <c r="C11" s="29"/>
      <c r="D11" s="29"/>
      <c r="E11" s="29"/>
      <c r="F11" s="29"/>
      <c r="G11" s="29"/>
      <c r="H11" s="29"/>
      <c r="I11" s="29"/>
      <c r="J11" s="29"/>
      <c r="K11" s="29"/>
      <c r="L11" s="29"/>
      <c r="M11" s="29"/>
      <c r="N11" s="28"/>
      <c r="O11" s="22"/>
      <c r="P11" s="22"/>
      <c r="Q11" s="22"/>
      <c r="R11" s="22"/>
      <c r="S11" s="22"/>
      <c r="T11" s="22"/>
      <c r="U11" s="22"/>
      <c r="V11" s="22"/>
      <c r="W11" s="22"/>
      <c r="X11" s="22"/>
      <c r="Y11" s="22"/>
      <c r="Z11" s="22"/>
      <c r="AA11" s="22"/>
      <c r="AB11" s="22"/>
    </row>
    <row r="12" spans="1:28" s="24" customFormat="1" x14ac:dyDescent="0.2">
      <c r="A12" s="22"/>
      <c r="B12" s="27" t="s">
        <v>83</v>
      </c>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row>
    <row r="13" spans="1:28" s="24" customFormat="1" x14ac:dyDescent="0.2">
      <c r="A13" s="22"/>
      <c r="B13" s="30" t="s">
        <v>81</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row>
    <row r="14" spans="1:28" s="24" customFormat="1" x14ac:dyDescent="0.2">
      <c r="A14" s="22"/>
      <c r="B14" s="22"/>
      <c r="C14" s="22"/>
      <c r="D14" s="22"/>
      <c r="E14" s="22"/>
      <c r="F14" s="22"/>
      <c r="G14" s="22"/>
      <c r="H14" s="22"/>
      <c r="I14" s="22"/>
      <c r="J14" s="22"/>
      <c r="K14" s="22"/>
      <c r="L14" s="22"/>
      <c r="M14" s="22"/>
      <c r="N14" s="22"/>
      <c r="O14" s="22"/>
      <c r="P14" s="22"/>
      <c r="Q14" s="22"/>
      <c r="R14" s="22"/>
      <c r="S14" s="22"/>
      <c r="T14" s="22"/>
      <c r="U14" s="22"/>
      <c r="V14" s="22"/>
      <c r="W14" s="22"/>
      <c r="X14" s="22"/>
      <c r="Y14" s="22"/>
      <c r="Z14" s="22"/>
      <c r="AA14" s="22"/>
      <c r="AB14" s="22"/>
    </row>
    <row r="15" spans="1:28" s="24" customFormat="1" x14ac:dyDescent="0.2">
      <c r="A15" s="22"/>
      <c r="B15" s="31" t="s">
        <v>74</v>
      </c>
      <c r="C15" s="22"/>
      <c r="D15" s="22"/>
      <c r="E15" s="22"/>
      <c r="F15" s="22"/>
      <c r="G15" s="22"/>
      <c r="H15" s="22"/>
      <c r="I15" s="22"/>
      <c r="J15" s="22"/>
      <c r="K15" s="22"/>
      <c r="L15" s="22"/>
      <c r="M15" s="22"/>
      <c r="N15" s="22"/>
      <c r="O15" s="22"/>
      <c r="P15" s="22"/>
      <c r="Q15" s="22"/>
      <c r="R15" s="22"/>
      <c r="S15" s="22"/>
      <c r="T15" s="22"/>
      <c r="U15" s="22"/>
      <c r="V15" s="22"/>
      <c r="W15" s="22"/>
      <c r="X15" s="22"/>
      <c r="Y15" s="22"/>
      <c r="Z15" s="22"/>
      <c r="AA15" s="22"/>
      <c r="AB15" s="22"/>
    </row>
    <row r="16" spans="1:28" s="24" customFormat="1" x14ac:dyDescent="0.2">
      <c r="A16" s="22"/>
      <c r="B16" s="31"/>
      <c r="C16" s="22"/>
      <c r="D16" s="22"/>
      <c r="E16" s="22"/>
      <c r="F16" s="22"/>
      <c r="G16" s="22"/>
      <c r="H16" s="22"/>
      <c r="I16" s="22"/>
      <c r="J16" s="22"/>
      <c r="K16" s="22"/>
      <c r="L16" s="22"/>
      <c r="M16" s="22"/>
      <c r="N16" s="22"/>
      <c r="O16" s="22"/>
      <c r="P16" s="22"/>
      <c r="Q16" s="22"/>
      <c r="R16" s="22"/>
      <c r="S16" s="22"/>
      <c r="T16" s="22"/>
      <c r="U16" s="22"/>
      <c r="V16" s="22"/>
      <c r="W16" s="22"/>
      <c r="X16" s="22"/>
      <c r="Y16" s="22"/>
      <c r="Z16" s="22"/>
      <c r="AA16" s="22"/>
      <c r="AB16" s="22"/>
    </row>
    <row r="17" spans="1:28" s="24" customFormat="1" ht="42" customHeight="1" x14ac:dyDescent="0.25">
      <c r="A17" s="22"/>
      <c r="B17" s="48" t="s">
        <v>75</v>
      </c>
      <c r="C17" s="112" t="e">
        <f ca="1">"Hospital data and National Records of Scotland deaths data are provisional for " &amp; [0]!fy_max &amp; ". This publication will be updated in October 20" &amp; RIGHT([0]!fy_max, 2) &amp; " with final figures.  " &amp; "Figures for the latest year should therefore be treated with caution as there could be an undercount of hospital admissions, particularly for people who died in the last three months of the year.  " &amp; "This is not expected to have a large impact on these published figures when they are revised in subsequent updates. "</f>
        <v>#REF!</v>
      </c>
      <c r="D17" s="113"/>
      <c r="E17" s="113"/>
      <c r="F17" s="113"/>
      <c r="G17" s="113"/>
      <c r="H17" s="113"/>
      <c r="I17" s="113"/>
      <c r="J17" s="113"/>
      <c r="K17" s="113"/>
      <c r="L17" s="113"/>
      <c r="M17" s="113"/>
      <c r="N17" s="113"/>
      <c r="O17" s="113"/>
      <c r="P17" s="113"/>
      <c r="Q17" s="22"/>
      <c r="R17" s="22"/>
      <c r="S17" s="22"/>
      <c r="T17" s="22"/>
      <c r="U17" s="22"/>
      <c r="V17" s="22"/>
      <c r="W17" s="22"/>
      <c r="X17" s="22"/>
      <c r="Y17" s="22"/>
      <c r="Z17" s="22"/>
      <c r="AA17" s="22"/>
      <c r="AB17" s="22"/>
    </row>
    <row r="18" spans="1:28" s="24" customFormat="1" ht="15" x14ac:dyDescent="0.25">
      <c r="A18" s="22"/>
      <c r="B18" s="48"/>
      <c r="C18" s="55"/>
      <c r="D18" s="54"/>
      <c r="E18" s="54"/>
      <c r="F18" s="54"/>
      <c r="G18" s="54"/>
      <c r="H18" s="54"/>
      <c r="I18" s="54"/>
      <c r="J18" s="54"/>
      <c r="K18" s="54"/>
      <c r="L18" s="54"/>
      <c r="M18" s="54"/>
      <c r="N18" s="54"/>
      <c r="O18" s="54"/>
      <c r="P18" s="54"/>
      <c r="Q18" s="22"/>
      <c r="R18" s="22"/>
      <c r="S18" s="22"/>
      <c r="T18" s="22"/>
      <c r="U18" s="22"/>
      <c r="V18" s="22"/>
      <c r="W18" s="22"/>
      <c r="X18" s="22"/>
      <c r="Y18" s="22"/>
      <c r="Z18" s="22"/>
      <c r="AA18" s="22"/>
      <c r="AB18" s="22"/>
    </row>
    <row r="19" spans="1:28" s="24" customFormat="1" x14ac:dyDescent="0.2">
      <c r="A19" s="22"/>
      <c r="B19" s="22"/>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row>
    <row r="20" spans="1:28" s="22" customFormat="1" ht="24.75" customHeight="1" x14ac:dyDescent="0.2">
      <c r="B20" s="32" t="s">
        <v>76</v>
      </c>
      <c r="C20" s="110" t="s">
        <v>82</v>
      </c>
      <c r="D20" s="110"/>
      <c r="E20" s="110"/>
      <c r="F20" s="110"/>
      <c r="G20" s="110"/>
      <c r="H20" s="110"/>
      <c r="I20" s="110"/>
      <c r="J20" s="110"/>
      <c r="K20" s="110"/>
      <c r="L20" s="110"/>
      <c r="M20" s="110"/>
      <c r="N20" s="110"/>
      <c r="O20" s="110"/>
      <c r="P20" s="110"/>
    </row>
    <row r="21" spans="1:28" s="22" customFormat="1" ht="12.75" customHeight="1" x14ac:dyDescent="0.2">
      <c r="B21" s="32"/>
      <c r="C21" s="33"/>
      <c r="D21" s="33"/>
      <c r="E21" s="33"/>
      <c r="F21" s="33"/>
      <c r="G21" s="33"/>
      <c r="H21" s="33"/>
      <c r="I21" s="33"/>
      <c r="J21" s="33"/>
      <c r="K21" s="33"/>
      <c r="L21" s="33"/>
      <c r="M21" s="33"/>
      <c r="N21" s="33"/>
      <c r="O21" s="33"/>
      <c r="P21" s="33"/>
    </row>
    <row r="22" spans="1:28" s="22" customFormat="1" ht="12.75" customHeight="1" x14ac:dyDescent="0.2">
      <c r="B22" s="32"/>
      <c r="C22" s="33"/>
      <c r="D22" s="33"/>
      <c r="E22" s="33"/>
      <c r="F22" s="33"/>
      <c r="G22" s="33"/>
      <c r="H22" s="33"/>
      <c r="I22" s="33"/>
      <c r="J22" s="33"/>
      <c r="K22" s="33"/>
      <c r="L22" s="33"/>
      <c r="M22" s="33"/>
      <c r="N22" s="33"/>
      <c r="O22" s="33"/>
      <c r="P22" s="33"/>
    </row>
    <row r="23" spans="1:28" s="22" customFormat="1" ht="12.75" customHeight="1" x14ac:dyDescent="0.2">
      <c r="B23" s="32"/>
      <c r="C23" s="33"/>
      <c r="D23" s="33"/>
      <c r="E23" s="33"/>
      <c r="F23" s="33"/>
      <c r="G23" s="33"/>
      <c r="H23" s="33"/>
      <c r="I23" s="33"/>
      <c r="J23" s="33"/>
      <c r="K23" s="33"/>
      <c r="L23" s="33"/>
      <c r="M23" s="33"/>
      <c r="N23" s="33"/>
      <c r="O23" s="33"/>
      <c r="P23" s="33"/>
    </row>
    <row r="24" spans="1:28" s="22" customFormat="1" ht="12.75" customHeight="1" x14ac:dyDescent="0.2">
      <c r="B24" s="32"/>
      <c r="C24" s="33"/>
      <c r="D24" s="33"/>
      <c r="E24" s="33"/>
      <c r="F24" s="33"/>
      <c r="G24" s="33"/>
      <c r="H24" s="33"/>
      <c r="I24" s="33"/>
      <c r="J24" s="33"/>
      <c r="K24" s="33"/>
      <c r="L24" s="33"/>
      <c r="M24" s="33"/>
      <c r="N24" s="33"/>
      <c r="O24" s="33"/>
      <c r="P24" s="33"/>
    </row>
    <row r="25" spans="1:28" s="22" customFormat="1" ht="12.75" customHeight="1" x14ac:dyDescent="0.2">
      <c r="B25" s="32"/>
      <c r="C25" s="33"/>
      <c r="D25" s="33"/>
      <c r="E25" s="33"/>
      <c r="F25" s="33"/>
      <c r="G25" s="33"/>
      <c r="H25" s="33"/>
      <c r="I25" s="33"/>
      <c r="J25" s="33"/>
      <c r="K25" s="33"/>
      <c r="L25" s="33"/>
      <c r="M25" s="33"/>
      <c r="N25" s="33"/>
      <c r="O25" s="33"/>
      <c r="P25" s="33"/>
    </row>
    <row r="26" spans="1:28" s="22" customFormat="1" ht="12.75" customHeight="1" x14ac:dyDescent="0.2">
      <c r="B26" s="32"/>
      <c r="C26" s="33"/>
      <c r="D26" s="33"/>
      <c r="E26" s="33"/>
      <c r="F26" s="33"/>
      <c r="G26" s="33"/>
      <c r="H26" s="33"/>
      <c r="I26" s="33"/>
      <c r="J26" s="33"/>
      <c r="K26" s="33"/>
      <c r="L26" s="33"/>
      <c r="M26" s="33"/>
      <c r="N26" s="33"/>
      <c r="O26" s="33"/>
      <c r="P26" s="33"/>
    </row>
    <row r="27" spans="1:28" s="22" customFormat="1" ht="12.75" customHeight="1" x14ac:dyDescent="0.2">
      <c r="B27" s="32"/>
      <c r="C27" s="33"/>
      <c r="D27" s="33"/>
      <c r="E27" s="33"/>
      <c r="F27" s="33"/>
      <c r="G27" s="33"/>
      <c r="H27" s="33"/>
      <c r="I27" s="33"/>
      <c r="J27" s="33"/>
      <c r="K27" s="33"/>
      <c r="L27" s="33"/>
      <c r="M27" s="33"/>
      <c r="N27" s="33"/>
      <c r="O27" s="33"/>
      <c r="P27" s="33"/>
    </row>
    <row r="28" spans="1:28" s="22" customFormat="1" ht="12.75" customHeight="1" x14ac:dyDescent="0.2">
      <c r="B28" s="32"/>
      <c r="C28" s="33"/>
      <c r="D28" s="33"/>
      <c r="E28" s="33"/>
      <c r="F28" s="33"/>
      <c r="G28" s="33"/>
      <c r="H28" s="33"/>
      <c r="I28" s="33"/>
      <c r="J28" s="33"/>
      <c r="K28" s="33"/>
      <c r="L28" s="33"/>
      <c r="M28" s="33"/>
      <c r="N28" s="33"/>
      <c r="O28" s="33"/>
      <c r="P28" s="33"/>
    </row>
    <row r="29" spans="1:28" s="22" customFormat="1" ht="12.75" customHeight="1" x14ac:dyDescent="0.2">
      <c r="B29" s="32"/>
      <c r="C29" s="33"/>
      <c r="D29" s="33"/>
      <c r="E29" s="33"/>
      <c r="F29" s="33"/>
      <c r="G29" s="33"/>
      <c r="H29" s="33"/>
      <c r="I29" s="33"/>
      <c r="J29" s="33"/>
      <c r="K29" s="33"/>
      <c r="L29" s="33"/>
      <c r="M29" s="33"/>
      <c r="N29" s="33"/>
      <c r="O29" s="33"/>
      <c r="P29" s="33"/>
    </row>
    <row r="30" spans="1:28" s="22" customFormat="1" ht="12.75" customHeight="1" x14ac:dyDescent="0.2">
      <c r="B30" s="32"/>
      <c r="C30" s="33"/>
      <c r="D30" s="33"/>
      <c r="E30" s="33"/>
      <c r="F30" s="33"/>
      <c r="G30" s="33"/>
      <c r="H30" s="33"/>
      <c r="I30" s="33"/>
      <c r="J30" s="33"/>
      <c r="K30" s="33"/>
      <c r="L30" s="33"/>
      <c r="M30" s="33"/>
      <c r="N30" s="33"/>
      <c r="O30" s="33"/>
      <c r="P30" s="33"/>
    </row>
    <row r="31" spans="1:28" s="22" customFormat="1" ht="12.75" customHeight="1" x14ac:dyDescent="0.2">
      <c r="B31" s="32"/>
      <c r="C31" s="33"/>
      <c r="D31" s="33"/>
      <c r="E31" s="33"/>
      <c r="F31" s="33"/>
      <c r="G31" s="33"/>
      <c r="H31" s="33"/>
      <c r="I31" s="33"/>
      <c r="J31" s="33"/>
      <c r="K31" s="33"/>
      <c r="L31" s="33"/>
      <c r="M31" s="33"/>
      <c r="N31" s="33"/>
      <c r="O31" s="33"/>
      <c r="P31" s="33"/>
    </row>
    <row r="32" spans="1:28" s="22" customFormat="1" ht="12.75" customHeight="1" x14ac:dyDescent="0.2">
      <c r="B32" s="32"/>
      <c r="C32" s="33"/>
      <c r="D32" s="33"/>
      <c r="E32" s="33"/>
      <c r="F32" s="33"/>
      <c r="G32" s="33"/>
      <c r="H32" s="33"/>
      <c r="I32" s="33"/>
      <c r="J32" s="33"/>
      <c r="K32" s="33"/>
      <c r="L32" s="33"/>
      <c r="M32" s="33"/>
      <c r="N32" s="33"/>
      <c r="O32" s="33"/>
      <c r="P32" s="33"/>
    </row>
    <row r="33" spans="2:16" s="22" customFormat="1" ht="12.75" customHeight="1" x14ac:dyDescent="0.2">
      <c r="B33" s="32"/>
      <c r="C33" s="33"/>
      <c r="D33" s="33"/>
      <c r="E33" s="33"/>
      <c r="F33" s="33"/>
      <c r="G33" s="33"/>
      <c r="H33" s="33"/>
      <c r="I33" s="33"/>
      <c r="J33" s="33"/>
      <c r="K33" s="33"/>
      <c r="L33" s="33"/>
      <c r="M33" s="33"/>
      <c r="N33" s="33"/>
      <c r="O33" s="33"/>
      <c r="P33" s="33"/>
    </row>
    <row r="34" spans="2:16" s="22" customFormat="1" ht="12.75" customHeight="1" x14ac:dyDescent="0.2">
      <c r="B34" s="32"/>
      <c r="C34" s="33"/>
      <c r="D34" s="33"/>
      <c r="E34" s="33"/>
      <c r="F34" s="33"/>
      <c r="G34" s="33"/>
      <c r="H34" s="33"/>
      <c r="I34" s="33"/>
      <c r="J34" s="33"/>
      <c r="K34" s="33"/>
      <c r="L34" s="33"/>
      <c r="M34" s="33"/>
      <c r="N34" s="33"/>
      <c r="O34" s="33"/>
      <c r="P34" s="33"/>
    </row>
    <row r="35" spans="2:16" s="22" customFormat="1" ht="12.75" customHeight="1" x14ac:dyDescent="0.2">
      <c r="B35" s="32"/>
      <c r="C35" s="33"/>
      <c r="D35" s="33"/>
      <c r="E35" s="33"/>
      <c r="F35" s="33"/>
      <c r="G35" s="33"/>
      <c r="H35" s="33"/>
      <c r="I35" s="33"/>
      <c r="J35" s="33"/>
      <c r="K35" s="33"/>
      <c r="L35" s="33"/>
      <c r="M35" s="33"/>
      <c r="N35" s="33"/>
      <c r="O35" s="33"/>
      <c r="P35" s="33"/>
    </row>
    <row r="36" spans="2:16" s="22" customFormat="1" ht="12.75" customHeight="1" x14ac:dyDescent="0.2">
      <c r="B36" s="32"/>
      <c r="C36" s="33"/>
      <c r="D36" s="33"/>
      <c r="E36" s="33"/>
      <c r="F36" s="33"/>
      <c r="G36" s="33"/>
      <c r="H36" s="33"/>
      <c r="I36" s="33"/>
      <c r="J36" s="33"/>
      <c r="K36" s="33"/>
      <c r="L36" s="33"/>
      <c r="M36" s="33"/>
      <c r="N36" s="33"/>
      <c r="O36" s="33"/>
      <c r="P36" s="33"/>
    </row>
    <row r="37" spans="2:16" s="22" customFormat="1" ht="12.75" customHeight="1" x14ac:dyDescent="0.2">
      <c r="B37" s="32"/>
      <c r="C37" s="33"/>
      <c r="D37" s="33"/>
      <c r="E37" s="33"/>
      <c r="F37" s="33"/>
      <c r="G37" s="33"/>
      <c r="H37" s="33"/>
      <c r="I37" s="33"/>
      <c r="J37" s="33"/>
      <c r="K37" s="33"/>
      <c r="L37" s="33"/>
      <c r="M37" s="33"/>
      <c r="N37" s="33"/>
      <c r="O37" s="33"/>
      <c r="P37" s="33"/>
    </row>
    <row r="38" spans="2:16" s="22" customFormat="1" ht="12.75" customHeight="1" x14ac:dyDescent="0.2">
      <c r="B38" s="32"/>
      <c r="C38" s="33"/>
      <c r="D38" s="33"/>
      <c r="E38" s="33"/>
      <c r="F38" s="33"/>
      <c r="G38" s="33"/>
      <c r="H38" s="33"/>
      <c r="I38" s="33"/>
      <c r="J38" s="33"/>
      <c r="K38" s="33"/>
      <c r="L38" s="33"/>
      <c r="M38" s="33"/>
      <c r="N38" s="33"/>
      <c r="O38" s="33"/>
      <c r="P38" s="33"/>
    </row>
    <row r="39" spans="2:16" s="22" customFormat="1" ht="12.75" customHeight="1" x14ac:dyDescent="0.2">
      <c r="B39" s="32"/>
      <c r="C39" s="33"/>
      <c r="D39" s="33"/>
      <c r="E39" s="33"/>
      <c r="F39" s="33"/>
      <c r="G39" s="33"/>
      <c r="H39" s="33"/>
      <c r="I39" s="33"/>
      <c r="J39" s="33"/>
      <c r="K39" s="33"/>
      <c r="L39" s="33"/>
      <c r="M39" s="33"/>
      <c r="N39" s="33"/>
      <c r="O39" s="33"/>
      <c r="P39" s="33"/>
    </row>
    <row r="40" spans="2:16" s="22" customFormat="1" ht="12.75" customHeight="1" x14ac:dyDescent="0.2">
      <c r="B40" s="32"/>
      <c r="C40" s="33"/>
      <c r="D40" s="33"/>
      <c r="E40" s="33"/>
      <c r="F40" s="33"/>
      <c r="G40" s="33"/>
      <c r="H40" s="33"/>
      <c r="I40" s="33"/>
      <c r="J40" s="33"/>
      <c r="K40" s="33"/>
      <c r="L40" s="33"/>
      <c r="M40" s="33"/>
      <c r="N40" s="33"/>
      <c r="O40" s="33"/>
      <c r="P40" s="33"/>
    </row>
    <row r="41" spans="2:16" s="22" customFormat="1" ht="12.75" customHeight="1" x14ac:dyDescent="0.2">
      <c r="B41" s="32" t="s">
        <v>91</v>
      </c>
      <c r="C41" s="34" t="s">
        <v>77</v>
      </c>
      <c r="D41" s="33"/>
      <c r="E41" s="33"/>
      <c r="F41" s="33"/>
      <c r="G41" s="33"/>
      <c r="H41" s="33"/>
      <c r="I41" s="33"/>
      <c r="J41" s="33"/>
      <c r="K41" s="33"/>
      <c r="L41" s="33"/>
      <c r="M41" s="33"/>
      <c r="N41" s="33"/>
      <c r="O41" s="33"/>
      <c r="P41" s="33"/>
    </row>
    <row r="42" spans="2:16" s="22" customFormat="1" ht="12.75" customHeight="1" x14ac:dyDescent="0.2">
      <c r="B42" s="32"/>
      <c r="C42" s="33"/>
      <c r="D42" s="33"/>
      <c r="E42" s="33"/>
      <c r="F42" s="33"/>
      <c r="G42" s="33"/>
      <c r="H42" s="33"/>
      <c r="I42" s="33"/>
      <c r="J42" s="33"/>
      <c r="K42" s="33"/>
      <c r="L42" s="33"/>
      <c r="M42" s="33"/>
      <c r="N42" s="33"/>
      <c r="O42" s="33"/>
      <c r="P42" s="33"/>
    </row>
    <row r="43" spans="2:16" s="22" customFormat="1" ht="15" x14ac:dyDescent="0.25">
      <c r="B43" s="44" t="s">
        <v>87</v>
      </c>
      <c r="C43" s="22" t="s">
        <v>78</v>
      </c>
    </row>
    <row r="44" spans="2:16" s="22" customFormat="1" ht="15" x14ac:dyDescent="0.25">
      <c r="B44" s="45"/>
      <c r="C44" s="38" t="s">
        <v>155</v>
      </c>
      <c r="D44" s="7"/>
      <c r="E44" s="7"/>
      <c r="F44" s="7"/>
      <c r="G44" s="7"/>
      <c r="H44" s="7"/>
      <c r="I44" s="7"/>
      <c r="J44" s="7"/>
      <c r="K44" s="7"/>
    </row>
    <row r="45" spans="2:16" s="22" customFormat="1" x14ac:dyDescent="0.2">
      <c r="B45" s="46"/>
      <c r="C45" s="35" t="s">
        <v>70</v>
      </c>
      <c r="D45" s="36"/>
      <c r="E45" s="37"/>
      <c r="F45" s="37"/>
      <c r="G45" s="37"/>
      <c r="H45" s="37"/>
      <c r="I45" s="37"/>
      <c r="J45" s="37"/>
      <c r="K45" s="37"/>
      <c r="L45" s="37"/>
    </row>
    <row r="46" spans="2:16" s="22" customFormat="1" ht="15" x14ac:dyDescent="0.25">
      <c r="B46" s="44"/>
    </row>
    <row r="47" spans="2:16" s="22" customFormat="1" ht="15" x14ac:dyDescent="0.25">
      <c r="B47" s="45" t="s">
        <v>79</v>
      </c>
      <c r="C47" s="27" t="s">
        <v>154</v>
      </c>
    </row>
    <row r="48" spans="2:16" s="22" customFormat="1" ht="15" x14ac:dyDescent="0.2">
      <c r="B48" s="47"/>
      <c r="C48" s="33"/>
    </row>
    <row r="49" spans="1:16" s="22" customFormat="1" ht="25.5" customHeight="1" x14ac:dyDescent="0.2">
      <c r="A49" s="32"/>
      <c r="B49" s="48" t="s">
        <v>92</v>
      </c>
      <c r="C49" s="110" t="s">
        <v>84</v>
      </c>
      <c r="D49" s="110"/>
      <c r="E49" s="110"/>
      <c r="F49" s="110"/>
      <c r="G49" s="110"/>
      <c r="H49" s="110"/>
      <c r="I49" s="110"/>
      <c r="J49" s="110"/>
      <c r="K49" s="110"/>
      <c r="L49" s="110"/>
      <c r="M49" s="110"/>
      <c r="N49" s="110"/>
      <c r="O49" s="110"/>
      <c r="P49" s="110"/>
    </row>
    <row r="50" spans="1:16" s="22" customFormat="1" x14ac:dyDescent="0.2">
      <c r="A50" s="32"/>
      <c r="B50" s="32"/>
    </row>
    <row r="51" spans="1:16" s="22" customFormat="1" ht="15" x14ac:dyDescent="0.2">
      <c r="B51" s="48"/>
    </row>
    <row r="52" spans="1:16" s="22" customFormat="1" x14ac:dyDescent="0.2"/>
    <row r="53" spans="1:16" s="22" customFormat="1" x14ac:dyDescent="0.2"/>
    <row r="54" spans="1:16" s="22" customFormat="1" x14ac:dyDescent="0.2"/>
    <row r="55" spans="1:16" s="22" customFormat="1" x14ac:dyDescent="0.2"/>
    <row r="56" spans="1:16" s="22" customFormat="1" x14ac:dyDescent="0.2"/>
    <row r="57" spans="1:16" s="22" customFormat="1" x14ac:dyDescent="0.2"/>
    <row r="58" spans="1:16" s="22" customFormat="1" x14ac:dyDescent="0.2"/>
    <row r="59" spans="1:16" s="22" customFormat="1" x14ac:dyDescent="0.2"/>
    <row r="60" spans="1:16" s="22" customFormat="1" x14ac:dyDescent="0.2"/>
    <row r="61" spans="1:16" s="22" customFormat="1" x14ac:dyDescent="0.2"/>
    <row r="62" spans="1:16" s="22" customFormat="1" x14ac:dyDescent="0.2"/>
    <row r="63" spans="1:16" s="22" customFormat="1" x14ac:dyDescent="0.2"/>
    <row r="64" spans="1:16" s="22" customFormat="1" x14ac:dyDescent="0.2"/>
    <row r="65" s="22" customFormat="1" x14ac:dyDescent="0.2"/>
    <row r="66" s="22" customFormat="1" x14ac:dyDescent="0.2"/>
    <row r="67" s="22" customFormat="1" x14ac:dyDescent="0.2"/>
    <row r="68" s="22" customFormat="1" x14ac:dyDescent="0.2"/>
    <row r="69" s="22" customFormat="1" x14ac:dyDescent="0.2"/>
    <row r="70" s="22" customFormat="1" x14ac:dyDescent="0.2"/>
    <row r="71" s="22" customFormat="1" x14ac:dyDescent="0.2"/>
    <row r="72" s="22" customFormat="1" x14ac:dyDescent="0.2"/>
    <row r="73" s="22" customFormat="1" x14ac:dyDescent="0.2"/>
  </sheetData>
  <mergeCells count="4">
    <mergeCell ref="C20:P20"/>
    <mergeCell ref="C49:P49"/>
    <mergeCell ref="B1:O1"/>
    <mergeCell ref="C17:P17"/>
  </mergeCells>
  <hyperlinks>
    <hyperlink ref="C44" location="'External Causes of Deaths'!A1" display="For full details of the external causes of death which have been omitted, please click here. "/>
    <hyperlink ref="C44:K44" location="'External Causes of Deaths'!A1" display="For full details of the external causes of death which have been omitted, please click here. "/>
    <hyperlink ref="B6:M6" location="'Figure 1'!A1" display="Figure 1: Percentage of time in the last six months of life spent at home or in a community setting (by age and gender)"/>
    <hyperlink ref="B6" location="'Figure 1'!A1" display="Figure 1: Percentage of time in the last six months of life spent at home or in a community setting (2010/11 - 2016/17)"/>
    <hyperlink ref="B7" location="'Figure 2'!A1" display="Figure 2: Percentage of time in the last six months of life spent at home or in a community setting by NHS Board of residence"/>
    <hyperlink ref="B8" location="'Figure 3'!A1" display="Figure 3: Percentage of time in the last six months of life spent at home or in a community setting (by age and gender)"/>
    <hyperlink ref="B9" location="'Figure 4'!A1" display="Figure 4: Percentage of time in the last six months of life spent at home or in a community setting by Deprivation Category"/>
    <hyperlink ref="B10" location="'Figure 5'!A1" display="Figure 5: Percentage of time in the last six months of life spent at home or in a community setting (by Urban/Rural Classification)"/>
  </hyperlinks>
  <pageMargins left="0.74803149606299213" right="0.74803149606299213" top="0.98425196850393704" bottom="0.98425196850393704" header="0.51181102362204722" footer="0.51181102362204722"/>
  <pageSetup paperSize="9" scale="7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L34"/>
  <sheetViews>
    <sheetView showGridLines="0" zoomScaleNormal="100" workbookViewId="0"/>
  </sheetViews>
  <sheetFormatPr defaultRowHeight="15" x14ac:dyDescent="0.25"/>
  <cols>
    <col min="1" max="1" width="2.7109375" customWidth="1"/>
    <col min="7" max="7" width="4.5703125" customWidth="1"/>
  </cols>
  <sheetData>
    <row r="1" spans="2:12" ht="15.75" x14ac:dyDescent="0.25">
      <c r="B1" s="114"/>
      <c r="C1" s="114"/>
      <c r="D1" s="114"/>
      <c r="E1" s="114"/>
      <c r="F1" s="114"/>
      <c r="G1" s="114"/>
      <c r="H1" s="114"/>
      <c r="I1" s="114"/>
      <c r="J1" s="114"/>
      <c r="K1" s="114"/>
      <c r="L1" s="114"/>
    </row>
    <row r="2" spans="2:12" ht="15.75" x14ac:dyDescent="0.25">
      <c r="B2" s="1" t="s">
        <v>80</v>
      </c>
    </row>
    <row r="3" spans="2:12" ht="15.75" x14ac:dyDescent="0.25">
      <c r="B3" s="1" t="e">
        <f ca="1" xml:space="preserve"> "Scotland 2010/11 - " &amp; [0]!fy_max &amp; calculation!$B$5</f>
        <v>#REF!</v>
      </c>
    </row>
    <row r="4" spans="2:12" x14ac:dyDescent="0.25">
      <c r="J4" s="2"/>
    </row>
    <row r="27" spans="2:6" x14ac:dyDescent="0.25">
      <c r="B27" s="39"/>
    </row>
    <row r="29" spans="2:6" x14ac:dyDescent="0.25">
      <c r="B29" s="3" t="s">
        <v>0</v>
      </c>
      <c r="C29" s="7"/>
      <c r="D29" s="7"/>
      <c r="E29" s="7"/>
      <c r="F29" s="7"/>
    </row>
    <row r="30" spans="2:6" x14ac:dyDescent="0.25">
      <c r="B30" s="3"/>
    </row>
    <row r="31" spans="2:6" x14ac:dyDescent="0.25">
      <c r="B31" s="4"/>
    </row>
    <row r="32" spans="2:6" x14ac:dyDescent="0.25">
      <c r="B32" s="5" t="s">
        <v>83</v>
      </c>
    </row>
    <row r="33" spans="2:2" x14ac:dyDescent="0.25">
      <c r="B33" s="6" t="s">
        <v>81</v>
      </c>
    </row>
    <row r="34" spans="2:2" x14ac:dyDescent="0.25">
      <c r="B34" s="5" t="e">
        <f ca="1">"    1. Data for " &amp; [0]!fy_max &amp; " are incomplete and will be revised in October 20" &amp; RIGHT([0]!fy_max, 2) &amp; " publication"</f>
        <v>#REF!</v>
      </c>
    </row>
  </sheetData>
  <mergeCells count="1">
    <mergeCell ref="B1:L1"/>
  </mergeCells>
  <hyperlinks>
    <hyperlink ref="B29" location="'External Causes of Deaths'!A1" display="External causes of death excluded from analysis"/>
    <hyperlink ref="B29:F29"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94"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L23"/>
  <sheetViews>
    <sheetView showGridLines="0" zoomScaleNormal="100" workbookViewId="0"/>
  </sheetViews>
  <sheetFormatPr defaultRowHeight="15" x14ac:dyDescent="0.25"/>
  <cols>
    <col min="1" max="1" width="2.7109375" style="74" customWidth="1"/>
    <col min="2" max="2" width="19.42578125" style="73" customWidth="1"/>
    <col min="3" max="3" width="17.42578125" style="73" customWidth="1"/>
    <col min="4" max="4" width="17.42578125" style="73" bestFit="1" customWidth="1"/>
    <col min="5" max="16384" width="9.140625" style="73"/>
  </cols>
  <sheetData>
    <row r="1" spans="1:12" ht="15.75" x14ac:dyDescent="0.25">
      <c r="B1" s="116"/>
      <c r="C1" s="116"/>
      <c r="D1" s="116"/>
      <c r="E1" s="116"/>
      <c r="F1" s="116"/>
      <c r="G1" s="116"/>
      <c r="H1" s="116"/>
      <c r="I1" s="75"/>
      <c r="J1" s="75"/>
      <c r="K1" s="75"/>
      <c r="L1" s="75"/>
    </row>
    <row r="2" spans="1:12" ht="15.75" x14ac:dyDescent="0.25">
      <c r="B2" s="1" t="s">
        <v>80</v>
      </c>
    </row>
    <row r="3" spans="1:12" ht="15.75" x14ac:dyDescent="0.25">
      <c r="B3" s="1" t="e">
        <f ca="1" xml:space="preserve"> "2010/11 - " &amp; [0]!fy_max &amp; calculation!$B$4</f>
        <v>#REF!</v>
      </c>
    </row>
    <row r="5" spans="1:12" x14ac:dyDescent="0.25">
      <c r="B5" s="76"/>
      <c r="F5" s="42"/>
    </row>
    <row r="6" spans="1:12" x14ac:dyDescent="0.25">
      <c r="B6" s="76"/>
      <c r="C6" s="115" t="s">
        <v>86</v>
      </c>
      <c r="D6" s="115"/>
      <c r="E6" s="42"/>
      <c r="G6" s="42"/>
    </row>
    <row r="7" spans="1:12" x14ac:dyDescent="0.25">
      <c r="B7" s="84" t="s">
        <v>85</v>
      </c>
      <c r="C7" s="85" t="s">
        <v>89</v>
      </c>
      <c r="D7" s="85" t="s">
        <v>88</v>
      </c>
      <c r="E7" s="42"/>
      <c r="F7" s="42"/>
      <c r="G7" s="42"/>
    </row>
    <row r="8" spans="1:12" x14ac:dyDescent="0.25">
      <c r="A8" s="74" t="e">
        <f t="array" aca="1" ref="A8" ca="1">INDEX(fy_range, MATCH(0, COUNTIF($A$7:A7, fy_range), 0))</f>
        <v>#REF!</v>
      </c>
      <c r="B8" s="86" t="e">
        <f ca="1">IF($A8 = [0]!fy_max, $A8 &amp; calculation!$B$4, $A8)</f>
        <v>#REF!</v>
      </c>
      <c r="C8" s="87" t="e">
        <f ca="1">VLOOKUP(CONCATENATE(LEFT($B8, 7), "Scotland", $C$6), [0]!data_range, 5, FALSE)</f>
        <v>#REF!</v>
      </c>
      <c r="D8" s="87" t="e">
        <f ca="1">VLOOKUP(CONCATENATE(LEFT($B8, 7), "Scotland", $C$6), [0]!data_range, 6, FALSE)</f>
        <v>#REF!</v>
      </c>
      <c r="E8" s="42"/>
      <c r="F8" s="77"/>
      <c r="G8" s="77"/>
    </row>
    <row r="9" spans="1:12" x14ac:dyDescent="0.25">
      <c r="A9" s="74" t="e">
        <f t="array" aca="1" ref="A9" ca="1">INDEX(fy_range, MATCH(0, COUNTIF($A$7:A8, fy_range), 0))</f>
        <v>#REF!</v>
      </c>
      <c r="B9" s="88" t="e">
        <f ca="1">IF($A9 = [0]!fy_max, $A9 &amp; calculation!$B$4, $A9)</f>
        <v>#REF!</v>
      </c>
      <c r="C9" s="89" t="e">
        <f ca="1">VLOOKUP(CONCATENATE(LEFT($B9, 7), "Scotland", $C$6), [0]!data_range, 5, FALSE)</f>
        <v>#REF!</v>
      </c>
      <c r="D9" s="89" t="e">
        <f ca="1">VLOOKUP(CONCATENATE(LEFT($B9, 7), "Scotland", $C$6), [0]!data_range, 6, FALSE)</f>
        <v>#REF!</v>
      </c>
      <c r="E9" s="42"/>
      <c r="F9" s="77"/>
      <c r="G9" s="77"/>
      <c r="I9" s="77"/>
    </row>
    <row r="10" spans="1:12" x14ac:dyDescent="0.25">
      <c r="A10" s="74" t="e">
        <f t="array" aca="1" ref="A10" ca="1">INDEX(fy_range, MATCH(0, COUNTIF($A$7:A9, fy_range), 0))</f>
        <v>#REF!</v>
      </c>
      <c r="B10" s="88" t="e">
        <f ca="1">IF($A10 = [0]!fy_max, $A10 &amp; calculation!$B$4, $A10)</f>
        <v>#REF!</v>
      </c>
      <c r="C10" s="89" t="e">
        <f ca="1">VLOOKUP(CONCATENATE(LEFT($B10, 7), "Scotland", $C$6), [0]!data_range, 5, FALSE)</f>
        <v>#REF!</v>
      </c>
      <c r="D10" s="89" t="e">
        <f ca="1">VLOOKUP(CONCATENATE(LEFT($B10, 7), "Scotland", $C$6), [0]!data_range, 6, FALSE)</f>
        <v>#REF!</v>
      </c>
      <c r="E10" s="42"/>
      <c r="F10" s="77"/>
      <c r="G10" s="77"/>
      <c r="I10" s="77"/>
    </row>
    <row r="11" spans="1:12" x14ac:dyDescent="0.25">
      <c r="A11" s="74" t="e">
        <f t="array" aca="1" ref="A11" ca="1">INDEX(fy_range, MATCH(0, COUNTIF($A$7:A10, fy_range), 0))</f>
        <v>#REF!</v>
      </c>
      <c r="B11" s="88" t="e">
        <f ca="1">IF($A11 = [0]!fy_max, $A11 &amp; calculation!$B$4, $A11)</f>
        <v>#REF!</v>
      </c>
      <c r="C11" s="89" t="e">
        <f ca="1">VLOOKUP(CONCATENATE(LEFT($B11, 7), "Scotland", $C$6), [0]!data_range, 5, FALSE)</f>
        <v>#REF!</v>
      </c>
      <c r="D11" s="89" t="e">
        <f ca="1">VLOOKUP(CONCATENATE(LEFT($B11, 7), "Scotland", $C$6), [0]!data_range, 6, FALSE)</f>
        <v>#REF!</v>
      </c>
      <c r="E11" s="42"/>
      <c r="F11" s="77"/>
      <c r="G11" s="77"/>
      <c r="I11" s="77"/>
    </row>
    <row r="12" spans="1:12" x14ac:dyDescent="0.25">
      <c r="A12" s="74" t="e">
        <f t="array" aca="1" ref="A12" ca="1">INDEX(fy_range, MATCH(0, COUNTIF($A$7:A11, fy_range), 0))</f>
        <v>#REF!</v>
      </c>
      <c r="B12" s="88" t="e">
        <f ca="1">IF($A12 = [0]!fy_max, $A12 &amp; calculation!$B$4, $A12)</f>
        <v>#REF!</v>
      </c>
      <c r="C12" s="89" t="e">
        <f ca="1">VLOOKUP(CONCATENATE(LEFT($B12, 7), "Scotland", $C$6), [0]!data_range, 5, FALSE)</f>
        <v>#REF!</v>
      </c>
      <c r="D12" s="89" t="e">
        <f ca="1">VLOOKUP(CONCATENATE(LEFT($B12, 7), "Scotland", $C$6), [0]!data_range, 6, FALSE)</f>
        <v>#REF!</v>
      </c>
      <c r="E12" s="42"/>
      <c r="F12" s="77"/>
      <c r="G12" s="77"/>
      <c r="I12" s="77"/>
      <c r="J12" s="76"/>
    </row>
    <row r="13" spans="1:12" x14ac:dyDescent="0.25">
      <c r="A13" s="74" t="e">
        <f t="array" aca="1" ref="A13" ca="1">INDEX(fy_range, MATCH(0, COUNTIF($A$7:A12, fy_range), 0))</f>
        <v>#REF!</v>
      </c>
      <c r="B13" s="88" t="e">
        <f ca="1">IF($A13 = [0]!fy_max, $A13 &amp; calculation!$B$4, $A13)</f>
        <v>#REF!</v>
      </c>
      <c r="C13" s="89" t="e">
        <f ca="1">VLOOKUP(CONCATENATE(LEFT($B13, 7), "Scotland", $C$6), [0]!data_range, 5, FALSE)</f>
        <v>#REF!</v>
      </c>
      <c r="D13" s="89" t="e">
        <f ca="1">VLOOKUP(CONCATENATE(LEFT($B13, 7), "Scotland", $C$6), [0]!data_range, 6, FALSE)</f>
        <v>#REF!</v>
      </c>
      <c r="E13" s="52"/>
      <c r="F13" s="77"/>
      <c r="G13" s="77"/>
      <c r="I13" s="77"/>
      <c r="J13" s="76"/>
    </row>
    <row r="14" spans="1:12" x14ac:dyDescent="0.25">
      <c r="A14" s="74" t="e">
        <f t="array" aca="1" ref="A14" ca="1">INDEX(fy_range, MATCH(0, COUNTIF($A$7:A13, fy_range), 0))</f>
        <v>#REF!</v>
      </c>
      <c r="B14" s="88" t="e">
        <f ca="1">IF($A14 = [0]!fy_max, $A14 &amp; calculation!$B$4, $A14)</f>
        <v>#REF!</v>
      </c>
      <c r="C14" s="89" t="e">
        <f ca="1">VLOOKUP(CONCATENATE(LEFT($B14, 7), "Scotland", $C$6), [0]!data_range, 5, FALSE)</f>
        <v>#REF!</v>
      </c>
      <c r="D14" s="89" t="e">
        <f ca="1">VLOOKUP(CONCATENATE(LEFT($B14, 7), "Scotland", $C$6), [0]!data_range, 6, FALSE)</f>
        <v>#REF!</v>
      </c>
      <c r="E14" s="52"/>
      <c r="F14" s="77"/>
      <c r="G14" s="77"/>
      <c r="I14" s="77"/>
      <c r="J14" s="76"/>
    </row>
    <row r="15" spans="1:12" x14ac:dyDescent="0.25">
      <c r="A15" s="74" t="e">
        <f t="array" aca="1" ref="A15" ca="1">INDEX(fy_range, MATCH(0, COUNTIF($A$7:A14, fy_range), 0))</f>
        <v>#REF!</v>
      </c>
      <c r="B15" s="88" t="e">
        <f ca="1">IF($A15 = [0]!fy_max, $A15 &amp; calculation!$B$4, $A15)</f>
        <v>#REF!</v>
      </c>
      <c r="C15" s="89" t="e">
        <f ca="1">VLOOKUP(CONCATENATE(LEFT($B15, 7), "Scotland", $C$6), [0]!data_range, 5, FALSE)</f>
        <v>#REF!</v>
      </c>
      <c r="D15" s="89" t="e">
        <f ca="1">VLOOKUP(CONCATENATE(LEFT($B15, 7), "Scotland", $C$6), [0]!data_range, 6, FALSE)</f>
        <v>#REF!</v>
      </c>
      <c r="E15" s="52"/>
      <c r="F15" s="77"/>
      <c r="G15" s="77"/>
      <c r="I15" s="77"/>
      <c r="J15" s="76"/>
    </row>
    <row r="16" spans="1:12" x14ac:dyDescent="0.25">
      <c r="A16" s="74" t="e">
        <f t="array" aca="1" ref="A16" ca="1">INDEX(fy_range, MATCH(0, COUNTIF($A$7:A15, fy_range), 0))</f>
        <v>#REF!</v>
      </c>
      <c r="B16" s="90" t="e">
        <f ca="1">IF($A16 = [0]!fy_max, $A16 &amp; calculation!$B$4, $A16)</f>
        <v>#REF!</v>
      </c>
      <c r="C16" s="91" t="e">
        <f ca="1">VLOOKUP(CONCATENATE(LEFT($B16, 7), "Scotland", $C$6), [0]!data_range, 5, FALSE)</f>
        <v>#REF!</v>
      </c>
      <c r="D16" s="91" t="e">
        <f ca="1">VLOOKUP(CONCATENATE(LEFT($B16, 7), "Scotland", $C$6), [0]!data_range, 6, FALSE)</f>
        <v>#REF!</v>
      </c>
      <c r="E16" s="52"/>
      <c r="I16" s="77"/>
      <c r="J16" s="76"/>
    </row>
    <row r="17" spans="2:10" x14ac:dyDescent="0.25">
      <c r="B17" s="76"/>
      <c r="C17" s="42"/>
      <c r="D17" s="42"/>
      <c r="E17" s="42"/>
      <c r="F17" s="42"/>
      <c r="G17" s="42"/>
      <c r="H17" s="76"/>
      <c r="I17" s="76"/>
      <c r="J17" s="76"/>
    </row>
    <row r="18" spans="2:10" x14ac:dyDescent="0.25">
      <c r="B18" s="3" t="s">
        <v>0</v>
      </c>
      <c r="C18" s="79"/>
      <c r="D18" s="79"/>
    </row>
    <row r="19" spans="2:10" x14ac:dyDescent="0.25">
      <c r="B19" s="78"/>
    </row>
    <row r="20" spans="2:10" x14ac:dyDescent="0.25">
      <c r="B20" s="80"/>
    </row>
    <row r="21" spans="2:10" x14ac:dyDescent="0.25">
      <c r="B21" s="5" t="s">
        <v>83</v>
      </c>
    </row>
    <row r="22" spans="2:10" x14ac:dyDescent="0.25">
      <c r="B22" s="6" t="s">
        <v>81</v>
      </c>
    </row>
    <row r="23" spans="2:10" x14ac:dyDescent="0.25">
      <c r="B23" s="81" t="e">
        <f ca="1">'Figure 1'!B34</f>
        <v>#REF!</v>
      </c>
    </row>
  </sheetData>
  <mergeCells count="2">
    <mergeCell ref="C6:D6"/>
    <mergeCell ref="B1:H1"/>
  </mergeCells>
  <hyperlinks>
    <hyperlink ref="B18" location="'External Causes of Deaths'!A1" display="External causes of death excluded from analysis"/>
    <hyperlink ref="B18:D18"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orientation="landscape"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1:M41"/>
  <sheetViews>
    <sheetView showGridLines="0" zoomScaleNormal="100" workbookViewId="0"/>
  </sheetViews>
  <sheetFormatPr defaultRowHeight="15" x14ac:dyDescent="0.25"/>
  <cols>
    <col min="1" max="1" width="2.7109375" customWidth="1"/>
    <col min="7" max="7" width="4.5703125" customWidth="1"/>
  </cols>
  <sheetData>
    <row r="1" spans="2:13" ht="15.75" x14ac:dyDescent="0.25">
      <c r="B1" s="114"/>
      <c r="C1" s="114"/>
      <c r="D1" s="114"/>
      <c r="E1" s="114"/>
      <c r="F1" s="114"/>
      <c r="G1" s="114"/>
      <c r="H1" s="114"/>
      <c r="I1" s="114"/>
      <c r="J1" s="114"/>
      <c r="K1" s="114"/>
      <c r="L1" s="114"/>
      <c r="M1" s="114"/>
    </row>
    <row r="2" spans="2:13" ht="15.75" x14ac:dyDescent="0.25">
      <c r="B2" s="1" t="s">
        <v>93</v>
      </c>
    </row>
    <row r="3" spans="2:13" ht="15.75" x14ac:dyDescent="0.25">
      <c r="B3" s="1" t="e">
        <f ca="1" xml:space="preserve"> "by NHS Board of Residence; " &amp; [0]!fy_max &amp; calculation!$B$4</f>
        <v>#REF!</v>
      </c>
    </row>
    <row r="4" spans="2:13" x14ac:dyDescent="0.25">
      <c r="J4" s="2" t="e">
        <f ca="1" xml:space="preserve"> "Financial year ending 31st March 20" &amp; RIGHT([0]!fy_max, 2)</f>
        <v>#REF!</v>
      </c>
    </row>
    <row r="34" spans="2:6" x14ac:dyDescent="0.25">
      <c r="B34" s="3" t="s">
        <v>0</v>
      </c>
      <c r="C34" s="7"/>
      <c r="D34" s="7"/>
      <c r="E34" s="7"/>
      <c r="F34" s="7"/>
    </row>
    <row r="35" spans="2:6" x14ac:dyDescent="0.25">
      <c r="B35" s="3"/>
    </row>
    <row r="36" spans="2:6" x14ac:dyDescent="0.25">
      <c r="B36" s="4"/>
    </row>
    <row r="37" spans="2:6" x14ac:dyDescent="0.25">
      <c r="B37" s="5" t="s">
        <v>83</v>
      </c>
    </row>
    <row r="38" spans="2:6" x14ac:dyDescent="0.25">
      <c r="B38" s="6" t="s">
        <v>81</v>
      </c>
    </row>
    <row r="39" spans="2:6" x14ac:dyDescent="0.25">
      <c r="B39" s="5" t="e">
        <f ca="1">"    -Figures for " &amp; [0]!fy_max &amp;" are incomplete and will be revised in October 20" &amp; RIGHT([0]!fy_max, 2) &amp; " publication"</f>
        <v>#REF!</v>
      </c>
    </row>
    <row r="40" spans="2:6" x14ac:dyDescent="0.25">
      <c r="B40" s="5" t="str">
        <f>"    -The Health Board of Residence is the usual place of residence prior to death"</f>
        <v xml:space="preserve">    -The Health Board of Residence is the usual place of residence prior to death</v>
      </c>
    </row>
    <row r="41" spans="2:6" x14ac:dyDescent="0.25">
      <c r="B41" s="5" t="str">
        <f>"    -Health Boards are based on the NHS Board boundaries which came into effect 1st April 2019."</f>
        <v xml:space="preserve">    -Health Boards are based on the NHS Board boundaries which came into effect 1st April 2019.</v>
      </c>
    </row>
  </sheetData>
  <mergeCells count="1">
    <mergeCell ref="B1:M1"/>
  </mergeCells>
  <hyperlinks>
    <hyperlink ref="B34" location="'External Causes of Deaths'!A1" display="External causes of death excluded from analysis"/>
    <hyperlink ref="B34:F34"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7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1:K36"/>
  <sheetViews>
    <sheetView showGridLines="0" zoomScaleNormal="100" workbookViewId="0"/>
  </sheetViews>
  <sheetFormatPr defaultRowHeight="15" x14ac:dyDescent="0.25"/>
  <cols>
    <col min="1" max="1" width="2.7109375" customWidth="1"/>
    <col min="2" max="2" width="29" customWidth="1"/>
    <col min="3" max="3" width="10.5703125" customWidth="1"/>
  </cols>
  <sheetData>
    <row r="1" spans="2:11" ht="15.75" x14ac:dyDescent="0.25">
      <c r="B1" s="114"/>
      <c r="C1" s="114"/>
      <c r="D1" s="114"/>
      <c r="E1" s="114"/>
      <c r="F1" s="114"/>
      <c r="G1" s="114"/>
      <c r="H1" s="114"/>
      <c r="I1" s="114"/>
      <c r="J1" s="114"/>
      <c r="K1" s="50"/>
    </row>
    <row r="2" spans="2:11" ht="15.75" x14ac:dyDescent="0.25">
      <c r="B2" s="1" t="s">
        <v>95</v>
      </c>
    </row>
    <row r="3" spans="2:11" ht="15.75" x14ac:dyDescent="0.25">
      <c r="B3" s="1" t="e">
        <f ca="1" xml:space="preserve"> "by NHS Board of Residence " &amp; [0]!fy_max &amp; calculation!$B$4</f>
        <v>#REF!</v>
      </c>
    </row>
    <row r="4" spans="2:11" ht="15.75" x14ac:dyDescent="0.25">
      <c r="B4" s="1"/>
    </row>
    <row r="5" spans="2:11" x14ac:dyDescent="0.25">
      <c r="B5" s="92" t="s">
        <v>96</v>
      </c>
      <c r="C5" s="93" t="e">
        <f ca="1">CONCATENATE([0]!fy_max, calculation!$B$4)</f>
        <v>#REF!</v>
      </c>
      <c r="D5" s="56"/>
      <c r="E5" s="56"/>
      <c r="F5" s="56"/>
      <c r="G5" s="56"/>
      <c r="H5" s="56"/>
      <c r="I5" s="56"/>
    </row>
    <row r="6" spans="2:11" ht="17.25" x14ac:dyDescent="0.25">
      <c r="B6" s="94" t="s">
        <v>156</v>
      </c>
      <c r="C6" s="95" t="e">
        <f ca="1">VLOOKUP(CONCATENATE([0]!fy_max, "hb", $B6), [0]!data_range, 5, FALSE)</f>
        <v>#REF!</v>
      </c>
      <c r="D6" s="53"/>
      <c r="E6" s="72"/>
      <c r="F6" s="57"/>
      <c r="G6" s="57"/>
      <c r="H6" s="57"/>
      <c r="I6" s="57"/>
    </row>
    <row r="7" spans="2:11" x14ac:dyDescent="0.25">
      <c r="B7" s="41" t="s">
        <v>97</v>
      </c>
      <c r="C7" s="57" t="e">
        <f ca="1">VLOOKUP(CONCATENATE([0]!fy_max, "hb", $B7), [0]!data_range, 5, FALSE)</f>
        <v>#REF!</v>
      </c>
      <c r="D7" s="53"/>
      <c r="E7" s="57"/>
      <c r="F7" s="57"/>
      <c r="G7" s="57"/>
      <c r="H7" s="57"/>
      <c r="I7" s="57"/>
    </row>
    <row r="8" spans="2:11" x14ac:dyDescent="0.25">
      <c r="B8" s="41" t="s">
        <v>157</v>
      </c>
      <c r="C8" s="57" t="e">
        <f ca="1">VLOOKUP(CONCATENATE([0]!fy_max, "hb", $B8), [0]!data_range, 5, FALSE)</f>
        <v>#REF!</v>
      </c>
      <c r="D8" s="53"/>
      <c r="E8" s="57"/>
      <c r="F8" s="57"/>
      <c r="G8" s="57"/>
      <c r="H8" s="57"/>
      <c r="I8" s="57"/>
    </row>
    <row r="9" spans="2:11" x14ac:dyDescent="0.25">
      <c r="B9" s="41" t="s">
        <v>98</v>
      </c>
      <c r="C9" s="57" t="e">
        <f ca="1">VLOOKUP(CONCATENATE([0]!fy_max, "hb", $B9), [0]!data_range, 5, FALSE)</f>
        <v>#REF!</v>
      </c>
      <c r="D9" s="53"/>
      <c r="E9" s="57"/>
      <c r="F9" s="57"/>
      <c r="G9" s="57"/>
      <c r="H9" s="57"/>
      <c r="I9" s="57"/>
    </row>
    <row r="10" spans="2:11" x14ac:dyDescent="0.25">
      <c r="B10" s="41" t="s">
        <v>99</v>
      </c>
      <c r="C10" s="57" t="e">
        <f ca="1">VLOOKUP(CONCATENATE([0]!fy_max, "hb", $B10), [0]!data_range, 5, FALSE)</f>
        <v>#REF!</v>
      </c>
      <c r="D10" s="53"/>
      <c r="E10" s="57"/>
      <c r="F10" s="57"/>
      <c r="G10" s="57"/>
      <c r="H10" s="57"/>
      <c r="I10" s="57"/>
      <c r="K10" s="9"/>
    </row>
    <row r="11" spans="2:11" x14ac:dyDescent="0.25">
      <c r="B11" s="41" t="s">
        <v>100</v>
      </c>
      <c r="C11" s="57" t="e">
        <f ca="1">VLOOKUP(CONCATENATE([0]!fy_max, "hb", $B11), [0]!data_range, 5, FALSE)</f>
        <v>#REF!</v>
      </c>
      <c r="D11" s="53"/>
      <c r="E11" s="57"/>
      <c r="F11" s="57"/>
      <c r="G11" s="57"/>
      <c r="H11" s="57"/>
      <c r="I11" s="57"/>
      <c r="K11" s="9"/>
    </row>
    <row r="12" spans="2:11" x14ac:dyDescent="0.25">
      <c r="B12" s="41" t="s">
        <v>158</v>
      </c>
      <c r="C12" s="57" t="e">
        <f ca="1">VLOOKUP(CONCATENATE([0]!fy_max, "hb", $B12), [0]!data_range, 5, FALSE)</f>
        <v>#REF!</v>
      </c>
      <c r="D12" s="53"/>
      <c r="E12" s="57"/>
      <c r="F12" s="57"/>
      <c r="G12" s="57"/>
      <c r="H12" s="57"/>
      <c r="I12" s="57"/>
      <c r="K12" s="9"/>
    </row>
    <row r="13" spans="2:11" x14ac:dyDescent="0.25">
      <c r="B13" s="41" t="s">
        <v>101</v>
      </c>
      <c r="C13" s="57" t="e">
        <f ca="1">VLOOKUP(CONCATENATE([0]!fy_max, "hb", $B13), [0]!data_range, 5, FALSE)</f>
        <v>#REF!</v>
      </c>
      <c r="D13" s="53"/>
      <c r="E13" s="57"/>
      <c r="F13" s="57"/>
      <c r="G13" s="57"/>
      <c r="H13" s="57"/>
      <c r="I13" s="57"/>
      <c r="K13" s="9"/>
    </row>
    <row r="14" spans="2:11" x14ac:dyDescent="0.25">
      <c r="B14" s="41" t="s">
        <v>102</v>
      </c>
      <c r="C14" s="57" t="e">
        <f ca="1">VLOOKUP(CONCATENATE([0]!fy_max, "hb", $B14), [0]!data_range, 5, FALSE)</f>
        <v>#REF!</v>
      </c>
      <c r="D14" s="53"/>
      <c r="E14" s="57"/>
      <c r="F14" s="57"/>
      <c r="G14" s="57"/>
      <c r="H14" s="57"/>
      <c r="I14" s="57"/>
      <c r="K14" s="9"/>
    </row>
    <row r="15" spans="2:11" x14ac:dyDescent="0.25">
      <c r="B15" s="41" t="s">
        <v>103</v>
      </c>
      <c r="C15" s="57" t="e">
        <f ca="1">VLOOKUP(CONCATENATE([0]!fy_max, "hb", $B15), [0]!data_range, 5, FALSE)</f>
        <v>#REF!</v>
      </c>
      <c r="D15" s="53"/>
      <c r="E15" s="57"/>
      <c r="F15" s="57"/>
      <c r="G15" s="57"/>
      <c r="H15" s="57"/>
      <c r="I15" s="57"/>
      <c r="K15" s="9"/>
    </row>
    <row r="16" spans="2:11" x14ac:dyDescent="0.25">
      <c r="B16" s="41" t="s">
        <v>104</v>
      </c>
      <c r="C16" s="57" t="e">
        <f ca="1">VLOOKUP(CONCATENATE([0]!fy_max, "hb", $B16), [0]!data_range, 5, FALSE)</f>
        <v>#REF!</v>
      </c>
      <c r="D16" s="53"/>
      <c r="E16" s="57"/>
      <c r="F16" s="57"/>
      <c r="G16" s="57"/>
      <c r="H16" s="57"/>
      <c r="I16" s="57"/>
      <c r="K16" s="9"/>
    </row>
    <row r="17" spans="2:11" x14ac:dyDescent="0.25">
      <c r="B17" s="41" t="s">
        <v>105</v>
      </c>
      <c r="C17" s="57" t="e">
        <f ca="1">VLOOKUP(CONCATENATE([0]!fy_max, "hb", $B17), [0]!data_range, 5, FALSE)</f>
        <v>#REF!</v>
      </c>
      <c r="D17" s="53"/>
      <c r="E17" s="57"/>
      <c r="F17" s="57"/>
      <c r="G17" s="57"/>
      <c r="H17" s="57"/>
      <c r="I17" s="57"/>
      <c r="K17" s="9"/>
    </row>
    <row r="18" spans="2:11" x14ac:dyDescent="0.25">
      <c r="B18" s="41" t="s">
        <v>106</v>
      </c>
      <c r="C18" s="57" t="e">
        <f ca="1">VLOOKUP(CONCATENATE([0]!fy_max, "hb", $B18), [0]!data_range, 5, FALSE)</f>
        <v>#REF!</v>
      </c>
      <c r="D18" s="53"/>
      <c r="E18" s="57"/>
      <c r="F18" s="57"/>
      <c r="G18" s="57"/>
      <c r="H18" s="57"/>
      <c r="I18" s="57"/>
      <c r="K18" s="9"/>
    </row>
    <row r="19" spans="2:11" x14ac:dyDescent="0.25">
      <c r="B19" s="96" t="s">
        <v>107</v>
      </c>
      <c r="C19" s="97" t="e">
        <f ca="1">VLOOKUP(CONCATENATE([0]!fy_max, "hb", $B19), [0]!data_range, 5, FALSE)</f>
        <v>#REF!</v>
      </c>
      <c r="D19" s="53"/>
      <c r="E19" s="57"/>
      <c r="F19" s="57"/>
      <c r="G19" s="57"/>
      <c r="H19" s="57"/>
      <c r="I19" s="57"/>
      <c r="K19" s="9"/>
    </row>
    <row r="20" spans="2:11" x14ac:dyDescent="0.25">
      <c r="D20" s="41"/>
      <c r="E20" s="41"/>
      <c r="F20" s="41"/>
      <c r="G20" s="41"/>
      <c r="H20" s="41"/>
      <c r="I20" s="41"/>
      <c r="J20" s="9"/>
      <c r="K20" s="9"/>
    </row>
    <row r="21" spans="2:11" x14ac:dyDescent="0.25">
      <c r="B21" s="3" t="s">
        <v>0</v>
      </c>
      <c r="C21" s="7"/>
      <c r="D21" s="7"/>
      <c r="E21" s="7"/>
      <c r="J21" s="9"/>
      <c r="K21" s="9"/>
    </row>
    <row r="22" spans="2:11" x14ac:dyDescent="0.25">
      <c r="B22" s="3"/>
      <c r="J22" s="9"/>
      <c r="K22" s="9"/>
    </row>
    <row r="23" spans="2:11" x14ac:dyDescent="0.25">
      <c r="B23" s="5" t="s">
        <v>83</v>
      </c>
      <c r="J23" s="9"/>
      <c r="K23" s="9"/>
    </row>
    <row r="24" spans="2:11" x14ac:dyDescent="0.25">
      <c r="B24" s="6" t="s">
        <v>81</v>
      </c>
      <c r="J24" s="9"/>
      <c r="K24" s="9"/>
    </row>
    <row r="25" spans="2:11" x14ac:dyDescent="0.25">
      <c r="B25" s="51" t="e">
        <f ca="1">'Figure 2'!B39</f>
        <v>#REF!</v>
      </c>
      <c r="J25" s="9"/>
      <c r="K25" s="9"/>
    </row>
    <row r="26" spans="2:11" x14ac:dyDescent="0.25">
      <c r="B26" s="51" t="str">
        <f>'Figure 2'!B40</f>
        <v xml:space="preserve">    -The Health Board of Residence is the usual place of residence prior to death</v>
      </c>
      <c r="J26" s="9"/>
      <c r="K26" s="9"/>
    </row>
    <row r="27" spans="2:11" x14ac:dyDescent="0.25">
      <c r="B27" s="51" t="str">
        <f>'Figure 2'!B41</f>
        <v xml:space="preserve">    -Health Boards are based on the NHS Board boundaries which came into effect 1st April 2019.</v>
      </c>
      <c r="J27" s="9"/>
      <c r="K27" s="9"/>
    </row>
    <row r="28" spans="2:11" x14ac:dyDescent="0.25">
      <c r="J28" s="9"/>
      <c r="K28" s="9"/>
    </row>
    <row r="29" spans="2:11" x14ac:dyDescent="0.25">
      <c r="J29" s="9"/>
      <c r="K29" s="9"/>
    </row>
    <row r="30" spans="2:11" x14ac:dyDescent="0.25">
      <c r="J30" s="9"/>
      <c r="K30" s="9"/>
    </row>
    <row r="31" spans="2:11" x14ac:dyDescent="0.25">
      <c r="J31" s="9"/>
      <c r="K31" s="9"/>
    </row>
    <row r="32" spans="2:11" x14ac:dyDescent="0.25">
      <c r="J32" s="9"/>
      <c r="K32" s="9"/>
    </row>
    <row r="33" spans="10:11" x14ac:dyDescent="0.25">
      <c r="J33" s="9"/>
      <c r="K33" s="9"/>
    </row>
    <row r="34" spans="10:11" x14ac:dyDescent="0.25">
      <c r="J34" s="9"/>
      <c r="K34" s="9"/>
    </row>
    <row r="35" spans="10:11" x14ac:dyDescent="0.25">
      <c r="J35" s="9"/>
      <c r="K35" s="9"/>
    </row>
    <row r="36" spans="10:11" x14ac:dyDescent="0.25">
      <c r="J36" s="9"/>
      <c r="K36" s="9"/>
    </row>
  </sheetData>
  <mergeCells count="1">
    <mergeCell ref="B1:J1"/>
  </mergeCells>
  <hyperlinks>
    <hyperlink ref="B21" location="'External Causes of Deaths'!A1" display="External causes of death excluded from analysis"/>
    <hyperlink ref="B21:E21"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orientation="landscape"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B1:M34"/>
  <sheetViews>
    <sheetView showGridLines="0" zoomScaleNormal="100" workbookViewId="0"/>
  </sheetViews>
  <sheetFormatPr defaultRowHeight="15" x14ac:dyDescent="0.25"/>
  <cols>
    <col min="1" max="1" width="2.7109375" customWidth="1"/>
    <col min="7" max="7" width="4.5703125" customWidth="1"/>
  </cols>
  <sheetData>
    <row r="1" spans="2:13" ht="15.75" x14ac:dyDescent="0.25">
      <c r="B1" s="114"/>
      <c r="C1" s="114"/>
      <c r="D1" s="114"/>
      <c r="E1" s="114"/>
      <c r="F1" s="114"/>
      <c r="G1" s="114"/>
      <c r="H1" s="114"/>
      <c r="I1" s="114"/>
      <c r="J1" s="114"/>
      <c r="K1" s="114"/>
      <c r="L1" s="114"/>
      <c r="M1" s="114"/>
    </row>
    <row r="2" spans="2:13" ht="15.75" x14ac:dyDescent="0.25">
      <c r="B2" s="1" t="s">
        <v>108</v>
      </c>
    </row>
    <row r="3" spans="2:13" ht="15.75" x14ac:dyDescent="0.25">
      <c r="B3" s="1" t="e">
        <f ca="1" xml:space="preserve"> "(by age and gender); " &amp; [0]!fy_max &amp; calculation!$B$4</f>
        <v>#REF!</v>
      </c>
    </row>
    <row r="4" spans="2:13" x14ac:dyDescent="0.25">
      <c r="J4" s="2" t="e">
        <f ca="1" xml:space="preserve"> "Financial year ending 31st March 20" &amp; RIGHT([0]!fy_max, 2)</f>
        <v>#REF!</v>
      </c>
    </row>
    <row r="27" spans="2:6" x14ac:dyDescent="0.25">
      <c r="B27" s="39"/>
    </row>
    <row r="29" spans="2:6" x14ac:dyDescent="0.25">
      <c r="B29" s="3" t="s">
        <v>0</v>
      </c>
      <c r="C29" s="7"/>
      <c r="D29" s="7"/>
      <c r="E29" s="7"/>
      <c r="F29" s="7"/>
    </row>
    <row r="30" spans="2:6" x14ac:dyDescent="0.25">
      <c r="B30" s="3"/>
    </row>
    <row r="31" spans="2:6" x14ac:dyDescent="0.25">
      <c r="B31" s="4"/>
    </row>
    <row r="32" spans="2:6" x14ac:dyDescent="0.25">
      <c r="B32" s="5" t="s">
        <v>83</v>
      </c>
    </row>
    <row r="33" spans="2:2" x14ac:dyDescent="0.25">
      <c r="B33" s="6" t="s">
        <v>81</v>
      </c>
    </row>
    <row r="34" spans="2:2" x14ac:dyDescent="0.25">
      <c r="B34" s="5" t="e">
        <f ca="1">"    -Data for " &amp; [0]!fy_max &amp; " are incomplete and will be revised in October 20" &amp; RIGHT([0]!fy_max, 2) &amp; " publication"</f>
        <v>#REF!</v>
      </c>
    </row>
  </sheetData>
  <mergeCells count="1">
    <mergeCell ref="B1:M1"/>
  </mergeCells>
  <hyperlinks>
    <hyperlink ref="B29" location="'External Causes of Deaths'!A1" display="External causes of death excluded from analysis"/>
    <hyperlink ref="B29:F29"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94"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B1:Q28"/>
  <sheetViews>
    <sheetView showGridLines="0" zoomScaleNormal="100" workbookViewId="0"/>
  </sheetViews>
  <sheetFormatPr defaultRowHeight="15" x14ac:dyDescent="0.25"/>
  <cols>
    <col min="1" max="1" width="2.7109375" customWidth="1"/>
    <col min="2" max="2" width="14" customWidth="1"/>
    <col min="3" max="3" width="10.5703125" customWidth="1"/>
  </cols>
  <sheetData>
    <row r="1" spans="2:17" ht="15.75" x14ac:dyDescent="0.25">
      <c r="B1" s="114"/>
      <c r="C1" s="114"/>
      <c r="D1" s="114"/>
      <c r="E1" s="114"/>
      <c r="F1" s="114"/>
      <c r="G1" s="114"/>
      <c r="H1" s="114"/>
      <c r="I1" s="114"/>
      <c r="J1" s="114"/>
      <c r="K1" s="50"/>
      <c r="L1" s="50"/>
      <c r="M1" s="50"/>
    </row>
    <row r="2" spans="2:17" ht="15.75" x14ac:dyDescent="0.25">
      <c r="B2" s="1" t="s">
        <v>95</v>
      </c>
    </row>
    <row r="3" spans="2:17" ht="15.75" x14ac:dyDescent="0.25">
      <c r="B3" s="1" t="e">
        <f ca="1" xml:space="preserve"> "(by age and gender); " &amp; [0]!fy_max &amp; calculation!$B$4</f>
        <v>#REF!</v>
      </c>
    </row>
    <row r="5" spans="2:17" x14ac:dyDescent="0.25">
      <c r="J5" s="9"/>
      <c r="K5" s="9"/>
      <c r="L5" s="9"/>
      <c r="M5" s="9"/>
      <c r="N5" s="9"/>
      <c r="O5" s="9"/>
    </row>
    <row r="6" spans="2:17" x14ac:dyDescent="0.25">
      <c r="B6" s="41"/>
      <c r="C6" s="117" t="s">
        <v>109</v>
      </c>
      <c r="D6" s="117"/>
      <c r="E6" s="117"/>
      <c r="F6" s="117"/>
      <c r="G6" s="117"/>
      <c r="H6" s="117"/>
      <c r="J6" s="9"/>
      <c r="K6" s="9"/>
      <c r="Q6" s="53"/>
    </row>
    <row r="7" spans="2:17" x14ac:dyDescent="0.25">
      <c r="B7" s="98" t="s">
        <v>110</v>
      </c>
      <c r="C7" s="100" t="s">
        <v>111</v>
      </c>
      <c r="D7" s="100" t="s">
        <v>112</v>
      </c>
      <c r="E7" s="100" t="s">
        <v>113</v>
      </c>
      <c r="F7" s="100" t="s">
        <v>114</v>
      </c>
      <c r="G7" s="100" t="s">
        <v>115</v>
      </c>
      <c r="H7" s="100" t="s">
        <v>116</v>
      </c>
      <c r="J7" s="9"/>
      <c r="K7" s="9"/>
      <c r="Q7" s="53"/>
    </row>
    <row r="8" spans="2:17" x14ac:dyDescent="0.25">
      <c r="B8" s="101" t="s">
        <v>149</v>
      </c>
      <c r="C8" s="57" t="e">
        <f ca="1">VLOOKUP(CONCATENATE([0]!fy_max, "age/sex", C$7, " ", $B8), [0]!data_range, 5, FALSE)</f>
        <v>#REF!</v>
      </c>
      <c r="D8" s="57" t="e">
        <f ca="1">VLOOKUP(CONCATENATE([0]!fy_max, "age/sex", D$7, " ", $B8), [0]!data_range, 5, FALSE)</f>
        <v>#REF!</v>
      </c>
      <c r="E8" s="57" t="e">
        <f ca="1">VLOOKUP(CONCATENATE([0]!fy_max, "age/sex", E$7, " ", $B8), [0]!data_range, 5, FALSE)</f>
        <v>#REF!</v>
      </c>
      <c r="F8" s="57" t="e">
        <f ca="1">VLOOKUP(CONCATENATE([0]!fy_max, "age/sex", F$7, " ", $B8), [0]!data_range, 5, FALSE)</f>
        <v>#REF!</v>
      </c>
      <c r="G8" s="57" t="e">
        <f ca="1">VLOOKUP(CONCATENATE([0]!fy_max, "age/sex", G$7, " ", $B8), [0]!data_range, 5, FALSE)</f>
        <v>#REF!</v>
      </c>
      <c r="H8" s="57" t="e">
        <f ca="1">VLOOKUP(CONCATENATE([0]!fy_max, "age/sex", H$7, " ", $B8), [0]!data_range, 5, FALSE)</f>
        <v>#REF!</v>
      </c>
      <c r="J8" s="9"/>
      <c r="K8" s="9"/>
      <c r="Q8" s="53"/>
    </row>
    <row r="9" spans="2:17" x14ac:dyDescent="0.25">
      <c r="B9" s="101" t="s">
        <v>117</v>
      </c>
      <c r="C9" s="57" t="e">
        <f ca="1">VLOOKUP(CONCATENATE([0]!fy_max, "age/sex", C$7, " ", $B9), [0]!data_range, 5, FALSE)</f>
        <v>#REF!</v>
      </c>
      <c r="D9" s="57" t="e">
        <f ca="1">VLOOKUP(CONCATENATE([0]!fy_max, "age/sex", D$7, " ", $B9), [0]!data_range, 5, FALSE)</f>
        <v>#REF!</v>
      </c>
      <c r="E9" s="57" t="e">
        <f ca="1">VLOOKUP(CONCATENATE([0]!fy_max, "age/sex", E$7, " ", $B9), [0]!data_range, 5, FALSE)</f>
        <v>#REF!</v>
      </c>
      <c r="F9" s="57" t="e">
        <f ca="1">VLOOKUP(CONCATENATE([0]!fy_max, "age/sex", F$7, " ", $B9), [0]!data_range, 5, FALSE)</f>
        <v>#REF!</v>
      </c>
      <c r="G9" s="57" t="e">
        <f ca="1">VLOOKUP(CONCATENATE([0]!fy_max, "age/sex", G$7, " ", $B9), [0]!data_range, 5, FALSE)</f>
        <v>#REF!</v>
      </c>
      <c r="H9" s="57" t="e">
        <f ca="1">VLOOKUP(CONCATENATE([0]!fy_max, "age/sex", H$7, " ", $B9), [0]!data_range, 5, FALSE)</f>
        <v>#REF!</v>
      </c>
      <c r="J9" s="53"/>
      <c r="K9" s="53"/>
      <c r="Q9" s="53"/>
    </row>
    <row r="10" spans="2:17" x14ac:dyDescent="0.25">
      <c r="B10" s="99" t="s">
        <v>118</v>
      </c>
      <c r="C10" s="58" t="e">
        <f ca="1">VLOOKUP(CONCATENATE([0]!fy_max, "age/sex", C$7, " ", $B10), [0]!data_range, 5, FALSE)</f>
        <v>#REF!</v>
      </c>
      <c r="D10" s="58" t="e">
        <f ca="1">VLOOKUP(CONCATENATE([0]!fy_max, "age/sex", D$7, " ", $B10), [0]!data_range, 5, FALSE)</f>
        <v>#REF!</v>
      </c>
      <c r="E10" s="58" t="e">
        <f ca="1">VLOOKUP(CONCATENATE([0]!fy_max, "age/sex", E$7, " ", $B10), [0]!data_range, 5, FALSE)</f>
        <v>#REF!</v>
      </c>
      <c r="F10" s="58" t="e">
        <f ca="1">VLOOKUP(CONCATENATE([0]!fy_max, "age/sex", F$7, " ", $B10), [0]!data_range, 5, FALSE)</f>
        <v>#REF!</v>
      </c>
      <c r="G10" s="58" t="e">
        <f ca="1">VLOOKUP(CONCATENATE([0]!fy_max, "age/sex", G$7, " ", $B10), [0]!data_range, 5, FALSE)</f>
        <v>#REF!</v>
      </c>
      <c r="H10" s="58" t="e">
        <f ca="1">VLOOKUP(CONCATENATE([0]!fy_max, "age/sex", H$7, " ", $B10), [0]!data_range, 5, FALSE)</f>
        <v>#REF!</v>
      </c>
      <c r="J10" s="53"/>
      <c r="Q10" s="53"/>
    </row>
    <row r="11" spans="2:17" x14ac:dyDescent="0.25">
      <c r="J11" s="9"/>
      <c r="K11" s="9"/>
      <c r="Q11" s="53"/>
    </row>
    <row r="12" spans="2:17" x14ac:dyDescent="0.25">
      <c r="B12" s="3" t="s">
        <v>0</v>
      </c>
      <c r="C12" s="7"/>
      <c r="D12" s="7"/>
      <c r="E12" s="7"/>
      <c r="J12" s="9"/>
      <c r="K12" s="9"/>
      <c r="Q12" s="53"/>
    </row>
    <row r="13" spans="2:17" x14ac:dyDescent="0.25">
      <c r="B13" s="3"/>
      <c r="J13" s="9"/>
      <c r="K13" s="9"/>
      <c r="Q13" s="53"/>
    </row>
    <row r="14" spans="2:17" x14ac:dyDescent="0.25">
      <c r="B14" s="4"/>
      <c r="J14" s="9"/>
      <c r="K14" s="9"/>
      <c r="Q14" s="53"/>
    </row>
    <row r="15" spans="2:17" x14ac:dyDescent="0.25">
      <c r="B15" s="5" t="s">
        <v>83</v>
      </c>
      <c r="J15" s="9"/>
      <c r="K15" s="9"/>
      <c r="Q15" s="53"/>
    </row>
    <row r="16" spans="2:17" x14ac:dyDescent="0.25">
      <c r="B16" s="6" t="s">
        <v>81</v>
      </c>
      <c r="J16" s="9"/>
      <c r="K16" s="9"/>
      <c r="Q16" s="53"/>
    </row>
    <row r="17" spans="2:17" x14ac:dyDescent="0.25">
      <c r="B17" s="51" t="e">
        <f ca="1">'Figure 3'!B34</f>
        <v>#REF!</v>
      </c>
      <c r="J17" s="9"/>
      <c r="K17" s="9"/>
      <c r="Q17" s="53"/>
    </row>
    <row r="18" spans="2:17" x14ac:dyDescent="0.25">
      <c r="J18" s="9"/>
      <c r="K18" s="9"/>
      <c r="Q18" s="53"/>
    </row>
    <row r="19" spans="2:17" x14ac:dyDescent="0.25">
      <c r="J19" s="9"/>
      <c r="K19" s="9"/>
      <c r="Q19" s="53"/>
    </row>
    <row r="20" spans="2:17" x14ac:dyDescent="0.25">
      <c r="J20" s="9"/>
      <c r="K20" s="9"/>
      <c r="Q20" s="53"/>
    </row>
    <row r="21" spans="2:17" x14ac:dyDescent="0.25">
      <c r="J21" s="9"/>
      <c r="K21" s="9"/>
      <c r="Q21" s="53"/>
    </row>
    <row r="22" spans="2:17" x14ac:dyDescent="0.25">
      <c r="J22" s="9"/>
      <c r="K22" s="9"/>
      <c r="Q22" s="53"/>
    </row>
    <row r="23" spans="2:17" x14ac:dyDescent="0.25">
      <c r="J23" s="9"/>
      <c r="K23" s="9"/>
      <c r="Q23" s="53"/>
    </row>
    <row r="24" spans="2:17" x14ac:dyDescent="0.25">
      <c r="J24" s="9"/>
      <c r="K24" s="9"/>
      <c r="L24" s="9"/>
    </row>
    <row r="25" spans="2:17" x14ac:dyDescent="0.25">
      <c r="J25" s="9"/>
      <c r="K25" s="9"/>
      <c r="L25" s="9"/>
    </row>
    <row r="26" spans="2:17" x14ac:dyDescent="0.25">
      <c r="J26" s="9"/>
      <c r="K26" s="9"/>
      <c r="L26" s="9"/>
    </row>
    <row r="27" spans="2:17" x14ac:dyDescent="0.25">
      <c r="J27" s="9"/>
      <c r="K27" s="9"/>
      <c r="L27" s="9"/>
    </row>
    <row r="28" spans="2:17" x14ac:dyDescent="0.25">
      <c r="J28" s="9"/>
      <c r="K28" s="9"/>
      <c r="L28" s="9"/>
    </row>
  </sheetData>
  <mergeCells count="2">
    <mergeCell ref="B1:J1"/>
    <mergeCell ref="C6:H6"/>
  </mergeCells>
  <hyperlinks>
    <hyperlink ref="B12" location="'External Causes of Deaths'!A1" display="External causes of death excluded from analysis"/>
    <hyperlink ref="B12:E12"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orientation="landscape" horizontalDpi="90" verticalDpi="9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M43"/>
  <sheetViews>
    <sheetView showGridLines="0" workbookViewId="0"/>
  </sheetViews>
  <sheetFormatPr defaultRowHeight="15" x14ac:dyDescent="0.25"/>
  <cols>
    <col min="1" max="1" width="2.7109375" customWidth="1"/>
    <col min="8" max="8" width="5.28515625" customWidth="1"/>
  </cols>
  <sheetData>
    <row r="1" spans="2:13" ht="15.75" x14ac:dyDescent="0.25">
      <c r="B1" s="114"/>
      <c r="C1" s="114"/>
      <c r="D1" s="114"/>
      <c r="E1" s="114"/>
      <c r="F1" s="114"/>
      <c r="G1" s="114"/>
      <c r="H1" s="114"/>
      <c r="I1" s="114"/>
      <c r="J1" s="114"/>
      <c r="K1" s="114"/>
      <c r="L1" s="114"/>
      <c r="M1" s="114"/>
    </row>
    <row r="2" spans="2:13" ht="15.75" x14ac:dyDescent="0.25">
      <c r="B2" s="1" t="e">
        <f ca="1" xml:space="preserve"> "Figure 4: Percentage of last six months of life spent at home or in a community setting " &amp; [0]!fy_max &amp; calculation!$B$5</f>
        <v>#REF!</v>
      </c>
    </row>
    <row r="3" spans="2:13" ht="18.75" x14ac:dyDescent="0.25">
      <c r="B3" s="1" t="s">
        <v>120</v>
      </c>
    </row>
    <row r="4" spans="2:13" x14ac:dyDescent="0.25">
      <c r="J4" s="2" t="e">
        <f ca="1" xml:space="preserve"> "Financial year ending 31st March 20" &amp; RIGHT([0]!fy_max, 2)</f>
        <v>#REF!</v>
      </c>
    </row>
    <row r="28" spans="2:6" x14ac:dyDescent="0.25">
      <c r="B28" s="39"/>
    </row>
    <row r="30" spans="2:6" x14ac:dyDescent="0.25">
      <c r="B30" s="3" t="s">
        <v>0</v>
      </c>
      <c r="C30" s="7"/>
      <c r="D30" s="7"/>
      <c r="E30" s="7"/>
      <c r="F30" s="7"/>
    </row>
    <row r="31" spans="2:6" x14ac:dyDescent="0.25">
      <c r="B31" s="3"/>
      <c r="C31" s="7"/>
      <c r="D31" s="7"/>
      <c r="E31" s="7"/>
      <c r="F31" s="7"/>
    </row>
    <row r="32" spans="2:6" x14ac:dyDescent="0.25">
      <c r="B32" s="5" t="s">
        <v>83</v>
      </c>
      <c r="C32" s="7"/>
      <c r="D32" s="7"/>
      <c r="E32" s="7"/>
      <c r="F32" s="7"/>
    </row>
    <row r="33" spans="2:13" x14ac:dyDescent="0.25">
      <c r="B33" s="6" t="s">
        <v>81</v>
      </c>
      <c r="C33" s="7"/>
      <c r="D33" s="7"/>
      <c r="E33" s="7"/>
      <c r="F33" s="7"/>
    </row>
    <row r="34" spans="2:13" x14ac:dyDescent="0.25">
      <c r="B34" s="6"/>
      <c r="C34" s="7"/>
      <c r="D34" s="7"/>
      <c r="E34" s="7"/>
      <c r="F34" s="7"/>
    </row>
    <row r="35" spans="2:13" x14ac:dyDescent="0.25">
      <c r="B35" s="5" t="e">
        <f ca="1">"1. Data for " &amp; [0]!fy_max &amp; " are incomplete and will be revised in October 20" &amp; RIGHT([0]!fy_max, 2) &amp; " publication"</f>
        <v>#REF!</v>
      </c>
    </row>
    <row r="36" spans="2:13" ht="28.5" customHeight="1" x14ac:dyDescent="0.25">
      <c r="B36" s="118" t="s">
        <v>121</v>
      </c>
      <c r="C36" s="118"/>
      <c r="D36" s="118"/>
      <c r="E36" s="118"/>
      <c r="F36" s="118"/>
      <c r="G36" s="118"/>
      <c r="H36" s="118"/>
      <c r="I36" s="118"/>
      <c r="J36" s="118"/>
      <c r="K36" s="118"/>
      <c r="L36" s="118"/>
      <c r="M36" s="118"/>
    </row>
    <row r="37" spans="2:13" x14ac:dyDescent="0.25">
      <c r="B37" s="59" t="s">
        <v>122</v>
      </c>
      <c r="G37" s="60" t="s">
        <v>123</v>
      </c>
    </row>
    <row r="38" spans="2:13" x14ac:dyDescent="0.25">
      <c r="B38" s="4"/>
    </row>
    <row r="39" spans="2:13" x14ac:dyDescent="0.25">
      <c r="B39" s="5"/>
    </row>
    <row r="40" spans="2:13" x14ac:dyDescent="0.25">
      <c r="B40" s="6"/>
    </row>
    <row r="41" spans="2:13" x14ac:dyDescent="0.25">
      <c r="B41" s="5"/>
    </row>
    <row r="42" spans="2:13" x14ac:dyDescent="0.25">
      <c r="B42" s="5"/>
    </row>
    <row r="43" spans="2:13" x14ac:dyDescent="0.25">
      <c r="B43" s="5"/>
    </row>
  </sheetData>
  <mergeCells count="2">
    <mergeCell ref="B1:M1"/>
    <mergeCell ref="B36:M36"/>
  </mergeCells>
  <hyperlinks>
    <hyperlink ref="B30" location="'External Causes of Deaths'!A1" display="External causes of death excluded from analysis"/>
    <hyperlink ref="G37" r:id="rId1"/>
    <hyperlink ref="B30:F30"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89" orientation="landscape" horizontalDpi="90" verticalDpi="90"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1:T21"/>
  <sheetViews>
    <sheetView showGridLines="0" workbookViewId="0"/>
  </sheetViews>
  <sheetFormatPr defaultRowHeight="15" x14ac:dyDescent="0.25"/>
  <cols>
    <col min="1" max="1" width="2.7109375" customWidth="1"/>
    <col min="2" max="2" width="20.7109375" customWidth="1"/>
    <col min="3" max="3" width="16.85546875" customWidth="1"/>
    <col min="4" max="4" width="8.5703125" customWidth="1"/>
    <col min="5" max="5" width="14.28515625" customWidth="1"/>
    <col min="6" max="6" width="14.85546875" customWidth="1"/>
    <col min="7" max="7" width="12.85546875" customWidth="1"/>
    <col min="8" max="8" width="12.140625" customWidth="1"/>
    <col min="9" max="9" width="12" customWidth="1"/>
    <col min="10" max="10" width="12.140625" customWidth="1"/>
  </cols>
  <sheetData>
    <row r="1" spans="2:20" ht="15.75" x14ac:dyDescent="0.25">
      <c r="B1" s="114"/>
      <c r="C1" s="114"/>
      <c r="D1" s="114"/>
      <c r="E1" s="114"/>
      <c r="F1" s="114"/>
      <c r="G1" s="114"/>
      <c r="H1" s="114"/>
      <c r="I1" s="114"/>
      <c r="J1" s="114"/>
      <c r="K1" s="114"/>
      <c r="L1" s="114"/>
      <c r="M1" s="114"/>
      <c r="N1" s="114"/>
      <c r="O1" s="114"/>
      <c r="P1" s="114"/>
      <c r="Q1" s="50"/>
      <c r="R1" s="50"/>
      <c r="S1" s="50"/>
      <c r="T1" s="50"/>
    </row>
    <row r="2" spans="2:20" ht="15.75" x14ac:dyDescent="0.25">
      <c r="B2" s="1" t="e">
        <f ca="1" xml:space="preserve"> "Percentage of last six months of life spent at home or in a community setting " &amp; [0]!fy_max &amp; calculation!$B$5</f>
        <v>#REF!</v>
      </c>
      <c r="C2" s="1"/>
      <c r="D2" s="1"/>
      <c r="E2" s="1"/>
      <c r="F2" s="1"/>
      <c r="G2" s="1"/>
      <c r="H2" s="1"/>
      <c r="I2" s="1"/>
    </row>
    <row r="3" spans="2:20" ht="18.75" x14ac:dyDescent="0.25">
      <c r="B3" s="1" t="s">
        <v>120</v>
      </c>
      <c r="C3" s="1"/>
      <c r="D3" s="1"/>
      <c r="E3" s="1"/>
      <c r="F3" s="1"/>
      <c r="G3" s="1"/>
      <c r="H3" s="1"/>
      <c r="I3" s="1"/>
    </row>
    <row r="6" spans="2:20" x14ac:dyDescent="0.25">
      <c r="D6" s="61"/>
      <c r="E6" s="61"/>
      <c r="F6" s="61"/>
      <c r="G6" s="61"/>
      <c r="H6" s="61"/>
      <c r="I6" s="61"/>
    </row>
    <row r="7" spans="2:20" x14ac:dyDescent="0.25">
      <c r="B7" s="102" t="s">
        <v>124</v>
      </c>
      <c r="C7" s="103" t="e">
        <f ca="1">CONCATENATE([0]!fy_max, calculation!$B$4)</f>
        <v>#REF!</v>
      </c>
      <c r="D7" s="61"/>
      <c r="E7" s="61"/>
      <c r="F7" s="61"/>
      <c r="G7" s="61"/>
      <c r="H7" s="61"/>
      <c r="I7" s="61"/>
    </row>
    <row r="8" spans="2:20" x14ac:dyDescent="0.25">
      <c r="B8" s="104" t="s">
        <v>137</v>
      </c>
      <c r="C8" s="57" t="e">
        <f ca="1">VLOOKUP(CONCATENATE([0]!fy_max, "simd quintile", $B8), [0]!data_range, 5, FALSE)</f>
        <v>#REF!</v>
      </c>
      <c r="D8" s="61"/>
      <c r="E8" s="61"/>
      <c r="F8" s="61"/>
      <c r="G8" s="61"/>
      <c r="H8" s="61"/>
      <c r="I8" s="61"/>
    </row>
    <row r="9" spans="2:20" x14ac:dyDescent="0.25">
      <c r="B9" s="104">
        <v>2</v>
      </c>
      <c r="C9" s="57" t="e">
        <f ca="1">VLOOKUP(CONCATENATE([0]!fy_max, "simd quintile", $B9), [0]!data_range, 5, FALSE)</f>
        <v>#REF!</v>
      </c>
      <c r="D9" s="61"/>
      <c r="E9" s="61"/>
      <c r="F9" s="61"/>
      <c r="G9" s="61"/>
      <c r="H9" s="61"/>
      <c r="I9" s="61"/>
    </row>
    <row r="10" spans="2:20" x14ac:dyDescent="0.25">
      <c r="B10" s="104">
        <v>3</v>
      </c>
      <c r="C10" s="57" t="e">
        <f ca="1">VLOOKUP(CONCATENATE([0]!fy_max, "simd quintile", $B10), [0]!data_range, 5, FALSE)</f>
        <v>#REF!</v>
      </c>
      <c r="D10" s="61"/>
      <c r="E10" s="61"/>
      <c r="F10" s="61"/>
      <c r="G10" s="61"/>
      <c r="H10" s="61"/>
      <c r="I10" s="61"/>
    </row>
    <row r="11" spans="2:20" x14ac:dyDescent="0.25">
      <c r="B11" s="104">
        <v>4</v>
      </c>
      <c r="C11" s="57" t="e">
        <f ca="1">VLOOKUP(CONCATENATE([0]!fy_max, "simd quintile", $B11), [0]!data_range, 5, FALSE)</f>
        <v>#REF!</v>
      </c>
      <c r="D11" s="61"/>
      <c r="E11" s="61"/>
      <c r="F11" s="61"/>
      <c r="G11" s="61"/>
      <c r="H11" s="61"/>
      <c r="I11" s="61"/>
    </row>
    <row r="12" spans="2:20" x14ac:dyDescent="0.25">
      <c r="B12" s="105" t="s">
        <v>138</v>
      </c>
      <c r="C12" s="58" t="e">
        <f ca="1">VLOOKUP(CONCATENATE([0]!fy_max, "simd quintile", $B12), [0]!data_range, 5, FALSE)</f>
        <v>#REF!</v>
      </c>
      <c r="D12" s="61"/>
      <c r="E12" s="61"/>
      <c r="F12" s="61"/>
      <c r="G12" s="61"/>
      <c r="H12" s="61"/>
      <c r="I12" s="61"/>
    </row>
    <row r="13" spans="2:20" x14ac:dyDescent="0.25">
      <c r="D13" s="61"/>
      <c r="E13" s="61"/>
      <c r="F13" s="61"/>
      <c r="G13" s="61"/>
      <c r="H13" s="61"/>
      <c r="I13" s="61"/>
    </row>
    <row r="14" spans="2:20" x14ac:dyDescent="0.25">
      <c r="B14" s="3" t="s">
        <v>0</v>
      </c>
      <c r="C14" s="3"/>
      <c r="D14" s="3"/>
      <c r="E14" s="3"/>
      <c r="F14" s="3"/>
      <c r="G14" s="3"/>
      <c r="H14" s="3"/>
      <c r="I14" s="3"/>
      <c r="J14" s="7"/>
      <c r="K14" s="7"/>
      <c r="L14" s="7"/>
    </row>
    <row r="15" spans="2:20" x14ac:dyDescent="0.25">
      <c r="B15" s="3"/>
      <c r="C15" s="3"/>
      <c r="D15" s="3"/>
      <c r="E15" s="3"/>
      <c r="F15" s="3"/>
      <c r="G15" s="3"/>
      <c r="H15" s="3"/>
      <c r="I15" s="3"/>
    </row>
    <row r="16" spans="2:20" x14ac:dyDescent="0.25">
      <c r="B16" s="5" t="s">
        <v>83</v>
      </c>
      <c r="C16" s="7"/>
      <c r="D16" s="7"/>
      <c r="E16" s="7"/>
      <c r="F16" s="7"/>
    </row>
    <row r="17" spans="2:13" x14ac:dyDescent="0.25">
      <c r="B17" s="6" t="s">
        <v>81</v>
      </c>
      <c r="C17" s="7"/>
      <c r="D17" s="7"/>
      <c r="E17" s="7"/>
      <c r="F17" s="7"/>
    </row>
    <row r="18" spans="2:13" x14ac:dyDescent="0.25">
      <c r="B18" s="6"/>
      <c r="C18" s="7"/>
      <c r="D18" s="7"/>
      <c r="E18" s="7"/>
      <c r="F18" s="7"/>
    </row>
    <row r="19" spans="2:13" x14ac:dyDescent="0.25">
      <c r="B19" s="5" t="e">
        <f ca="1">'Figure 4'!B35</f>
        <v>#REF!</v>
      </c>
    </row>
    <row r="20" spans="2:13" ht="38.25" customHeight="1" x14ac:dyDescent="0.25">
      <c r="B20" s="118" t="str">
        <f>'Figure 4'!B36:M36</f>
        <v>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v>
      </c>
      <c r="C20" s="118"/>
      <c r="D20" s="118"/>
      <c r="E20" s="118"/>
      <c r="F20" s="118"/>
      <c r="G20" s="118"/>
      <c r="H20" s="62"/>
      <c r="I20" s="62"/>
      <c r="J20" s="62"/>
      <c r="K20" s="62"/>
      <c r="L20" s="62"/>
      <c r="M20" s="62"/>
    </row>
    <row r="21" spans="2:13" x14ac:dyDescent="0.25">
      <c r="B21" s="59" t="str">
        <f>'Figure 4'!B37</f>
        <v xml:space="preserve">For more information on Scottish Index of Multiple Deprivation see </v>
      </c>
      <c r="E21" s="60" t="s">
        <v>123</v>
      </c>
    </row>
  </sheetData>
  <mergeCells count="2">
    <mergeCell ref="B1:P1"/>
    <mergeCell ref="B20:G20"/>
  </mergeCells>
  <hyperlinks>
    <hyperlink ref="B14" location="'External Causes of Deaths'!A1" display="External causes of death excluded from analysis"/>
    <hyperlink ref="B14:L14" location="'External Causes of Deaths'!A1" display="External causes of death excluded from analysis"/>
    <hyperlink ref="E21" r:id="rId1"/>
  </hyperlinks>
  <pageMargins left="0.70866141732283472" right="0.70866141732283472" top="0.74803149606299213" bottom="0.74803149606299213" header="0.31496062992125984" footer="0.31496062992125984"/>
  <pageSetup paperSize="9"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B1:O38"/>
  <sheetViews>
    <sheetView showGridLines="0" workbookViewId="0"/>
  </sheetViews>
  <sheetFormatPr defaultRowHeight="15" x14ac:dyDescent="0.25"/>
  <cols>
    <col min="1" max="1" width="2.7109375" customWidth="1"/>
    <col min="7" max="7" width="4.5703125" customWidth="1"/>
  </cols>
  <sheetData>
    <row r="1" spans="2:12" ht="15.75" x14ac:dyDescent="0.25">
      <c r="B1" s="114"/>
      <c r="C1" s="114"/>
      <c r="D1" s="114"/>
      <c r="E1" s="114"/>
      <c r="F1" s="114"/>
      <c r="G1" s="114"/>
      <c r="H1" s="114"/>
      <c r="I1" s="114"/>
      <c r="J1" s="114"/>
      <c r="K1" s="114"/>
      <c r="L1" s="114"/>
    </row>
    <row r="2" spans="2:12" ht="15.75" x14ac:dyDescent="0.25">
      <c r="B2" s="1" t="e">
        <f ca="1" xml:space="preserve"> "Figure 5: Percentage of last six months of life spent at home or in a community setting " &amp; [0]!fy_max &amp; calculation!$B$4</f>
        <v>#REF!</v>
      </c>
    </row>
    <row r="3" spans="2:12" ht="15.75" x14ac:dyDescent="0.25">
      <c r="B3" s="1" t="s">
        <v>126</v>
      </c>
    </row>
    <row r="4" spans="2:12" x14ac:dyDescent="0.25">
      <c r="J4" s="2" t="e">
        <f ca="1" xml:space="preserve"> "Financial year ending 31st March 20" &amp; RIGHT([0]!fy_max, 2)</f>
        <v>#REF!</v>
      </c>
    </row>
    <row r="30" spans="2:6" x14ac:dyDescent="0.25">
      <c r="B30" s="39"/>
    </row>
    <row r="32" spans="2:6" x14ac:dyDescent="0.25">
      <c r="B32" s="3" t="s">
        <v>0</v>
      </c>
      <c r="C32" s="7"/>
      <c r="D32" s="7"/>
      <c r="E32" s="7"/>
      <c r="F32" s="7"/>
    </row>
    <row r="33" spans="2:15" x14ac:dyDescent="0.25">
      <c r="B33" s="3"/>
    </row>
    <row r="34" spans="2:15" x14ac:dyDescent="0.25">
      <c r="B34" s="4" t="s">
        <v>127</v>
      </c>
      <c r="H34" s="7" t="s">
        <v>128</v>
      </c>
      <c r="I34" s="7"/>
      <c r="J34" s="7"/>
      <c r="K34" s="7"/>
      <c r="L34" s="7"/>
      <c r="M34" s="7"/>
      <c r="N34" s="7"/>
      <c r="O34" s="7"/>
    </row>
    <row r="35" spans="2:15" x14ac:dyDescent="0.25">
      <c r="B35" s="4"/>
    </row>
    <row r="36" spans="2:15" x14ac:dyDescent="0.25">
      <c r="B36" s="5" t="s">
        <v>83</v>
      </c>
    </row>
    <row r="37" spans="2:15" x14ac:dyDescent="0.25">
      <c r="B37" s="6" t="s">
        <v>81</v>
      </c>
    </row>
    <row r="38" spans="2:15" x14ac:dyDescent="0.25">
      <c r="B38" s="5" t="e">
        <f ca="1">"    -Data for " &amp; [0]!fy_max &amp; " are incomplete and will be revised in October 20" &amp; RIGHT([0]!fy_max, 2) &amp; " publication"</f>
        <v>#REF!</v>
      </c>
    </row>
  </sheetData>
  <mergeCells count="1">
    <mergeCell ref="B1:L1"/>
  </mergeCells>
  <hyperlinks>
    <hyperlink ref="B32" location="'External Causes of Deaths'!A1" display="External causes of death excluded from analysis"/>
    <hyperlink ref="H34" r:id="rId1"/>
    <hyperlink ref="B32:F32" location="'External Causes of Deaths'!A1" display="External causes of death excluded from analysis"/>
    <hyperlink ref="H34:O34" r:id="rId2" display="http://www.gov.scot/Topics/Statistics/About/Methodology/UrbanRuralClassification"/>
  </hyperlinks>
  <pageMargins left="0.70866141732283472" right="0.70866141732283472" top="0.74803149606299213" bottom="0.74803149606299213" header="0.31496062992125984" footer="0.31496062992125984"/>
  <pageSetup paperSize="9" scale="90" orientation="landscape" r:id="rId3"/>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S20"/>
  <sheetViews>
    <sheetView showGridLines="0" workbookViewId="0"/>
  </sheetViews>
  <sheetFormatPr defaultRowHeight="15" x14ac:dyDescent="0.25"/>
  <cols>
    <col min="1" max="1" width="2.7109375" customWidth="1"/>
    <col min="2" max="2" width="34" customWidth="1"/>
    <col min="3" max="3" width="16" customWidth="1"/>
    <col min="4" max="4" width="14.28515625" customWidth="1"/>
    <col min="5" max="5" width="12.28515625" customWidth="1"/>
    <col min="6" max="6" width="14.5703125" customWidth="1"/>
    <col min="7" max="7" width="12" customWidth="1"/>
    <col min="8" max="9" width="13.140625" customWidth="1"/>
    <col min="10" max="10" width="12.42578125" customWidth="1"/>
  </cols>
  <sheetData>
    <row r="1" spans="2:19" ht="15.75" x14ac:dyDescent="0.25">
      <c r="B1" s="114"/>
      <c r="C1" s="114"/>
      <c r="D1" s="114"/>
      <c r="E1" s="114"/>
      <c r="F1" s="114"/>
      <c r="G1" s="114"/>
      <c r="H1" s="114"/>
      <c r="I1" s="114"/>
      <c r="J1" s="114"/>
      <c r="K1" s="114"/>
      <c r="L1" s="114"/>
      <c r="M1" s="114"/>
      <c r="N1" s="114"/>
      <c r="O1" s="50"/>
      <c r="P1" s="50"/>
      <c r="Q1" s="50"/>
      <c r="R1" s="50"/>
      <c r="S1" s="50"/>
    </row>
    <row r="2" spans="2:19" ht="15.75" x14ac:dyDescent="0.25">
      <c r="B2" s="1" t="e">
        <f ca="1" xml:space="preserve"> "Percentage of last six months of life spent at home or in a community setting " &amp; [0]!fy_max &amp; calculation!$B$4</f>
        <v>#REF!</v>
      </c>
      <c r="C2" s="1"/>
      <c r="D2" s="1"/>
      <c r="E2" s="1"/>
      <c r="F2" s="1"/>
      <c r="G2" s="1"/>
      <c r="H2" s="1"/>
      <c r="I2" s="1"/>
    </row>
    <row r="3" spans="2:19" ht="15.75" x14ac:dyDescent="0.25">
      <c r="B3" s="1" t="s">
        <v>126</v>
      </c>
      <c r="C3" s="1"/>
      <c r="D3" s="1"/>
      <c r="E3" s="1"/>
      <c r="F3" s="1"/>
      <c r="G3" s="1"/>
      <c r="H3" s="1"/>
      <c r="I3" s="1"/>
    </row>
    <row r="6" spans="2:19" x14ac:dyDescent="0.25">
      <c r="B6" s="106" t="s">
        <v>129</v>
      </c>
      <c r="C6" s="85" t="e">
        <f ca="1">CONCATENATE([0]!fy_max, calculation!$B$4)</f>
        <v>#REF!</v>
      </c>
    </row>
    <row r="7" spans="2:19" x14ac:dyDescent="0.25">
      <c r="B7" s="87" t="s">
        <v>139</v>
      </c>
      <c r="C7" s="107" t="e">
        <f ca="1">VLOOKUP(CONCATENATE([0]!fy_max, "urban rural 6", $B7), [0]!data_range, 5, FALSE)</f>
        <v>#REF!</v>
      </c>
    </row>
    <row r="8" spans="2:19" x14ac:dyDescent="0.25">
      <c r="B8" s="89" t="s">
        <v>140</v>
      </c>
      <c r="C8" s="108" t="e">
        <f ca="1">VLOOKUP(CONCATENATE([0]!fy_max, "urban rural 6", $B8), [0]!data_range, 5, FALSE)</f>
        <v>#REF!</v>
      </c>
    </row>
    <row r="9" spans="2:19" x14ac:dyDescent="0.25">
      <c r="B9" s="89" t="s">
        <v>141</v>
      </c>
      <c r="C9" s="108" t="e">
        <f ca="1">VLOOKUP(CONCATENATE([0]!fy_max, "urban rural 6", $B9), [0]!data_range, 5, FALSE)</f>
        <v>#REF!</v>
      </c>
    </row>
    <row r="10" spans="2:19" x14ac:dyDescent="0.25">
      <c r="B10" s="89" t="s">
        <v>142</v>
      </c>
      <c r="C10" s="108" t="e">
        <f ca="1">VLOOKUP(CONCATENATE([0]!fy_max, "urban rural 6", $B10), [0]!data_range, 5, FALSE)</f>
        <v>#REF!</v>
      </c>
    </row>
    <row r="11" spans="2:19" x14ac:dyDescent="0.25">
      <c r="B11" s="89" t="s">
        <v>143</v>
      </c>
      <c r="C11" s="108" t="e">
        <f ca="1">VLOOKUP(CONCATENATE([0]!fy_max, "urban rural 6", $B11), [0]!data_range, 5, FALSE)</f>
        <v>#REF!</v>
      </c>
    </row>
    <row r="12" spans="2:19" x14ac:dyDescent="0.25">
      <c r="B12" s="91" t="s">
        <v>144</v>
      </c>
      <c r="C12" s="109" t="e">
        <f ca="1">VLOOKUP(CONCATENATE([0]!fy_max, "urban rural 6", $B12), [0]!data_range, 5, FALSE)</f>
        <v>#REF!</v>
      </c>
    </row>
    <row r="14" spans="2:19" x14ac:dyDescent="0.25">
      <c r="B14" s="3" t="s">
        <v>0</v>
      </c>
      <c r="C14" s="3"/>
      <c r="D14" s="3"/>
      <c r="E14" s="3"/>
      <c r="F14" s="3"/>
      <c r="G14" s="3"/>
      <c r="H14" s="3"/>
      <c r="I14" s="3"/>
      <c r="J14" s="7"/>
    </row>
    <row r="15" spans="2:19" x14ac:dyDescent="0.25">
      <c r="B15" s="3"/>
      <c r="C15" s="3"/>
      <c r="D15" s="3"/>
      <c r="E15" s="3"/>
      <c r="F15" s="3"/>
      <c r="G15" s="3"/>
      <c r="H15" s="3"/>
      <c r="I15" s="3"/>
    </row>
    <row r="16" spans="2:19" x14ac:dyDescent="0.25">
      <c r="B16" s="63" t="s">
        <v>127</v>
      </c>
      <c r="C16" s="63"/>
      <c r="D16" s="7" t="s">
        <v>128</v>
      </c>
      <c r="E16" s="63"/>
      <c r="F16" s="63"/>
      <c r="G16" s="63"/>
      <c r="H16" s="63"/>
      <c r="I16" s="63"/>
      <c r="J16" s="63"/>
      <c r="K16" s="63"/>
      <c r="M16" s="3"/>
      <c r="N16" s="3"/>
      <c r="O16" s="3"/>
      <c r="P16" s="3"/>
      <c r="Q16" s="7"/>
      <c r="R16" s="7"/>
      <c r="S16" s="7"/>
    </row>
    <row r="17" spans="2:9" x14ac:dyDescent="0.25">
      <c r="B17" s="4"/>
      <c r="C17" s="4"/>
      <c r="D17" s="4"/>
      <c r="E17" s="4"/>
      <c r="F17" s="4"/>
      <c r="G17" s="4"/>
      <c r="H17" s="4"/>
      <c r="I17" s="4"/>
    </row>
    <row r="18" spans="2:9" x14ac:dyDescent="0.25">
      <c r="B18" s="5" t="s">
        <v>83</v>
      </c>
      <c r="C18" s="5"/>
      <c r="D18" s="5"/>
      <c r="E18" s="5"/>
      <c r="F18" s="5"/>
      <c r="G18" s="5"/>
      <c r="H18" s="5"/>
      <c r="I18" s="5"/>
    </row>
    <row r="19" spans="2:9" x14ac:dyDescent="0.25">
      <c r="B19" s="6" t="s">
        <v>81</v>
      </c>
      <c r="C19" s="6"/>
      <c r="D19" s="6"/>
      <c r="E19" s="6"/>
      <c r="F19" s="6"/>
      <c r="G19" s="6"/>
      <c r="H19" s="6"/>
      <c r="I19" s="6"/>
    </row>
    <row r="20" spans="2:9" x14ac:dyDescent="0.25">
      <c r="B20" s="51" t="e">
        <f ca="1">'Figure 5'!B38</f>
        <v>#REF!</v>
      </c>
      <c r="C20" s="51"/>
      <c r="D20" s="51"/>
      <c r="E20" s="51"/>
      <c r="F20" s="51"/>
      <c r="G20" s="51"/>
      <c r="H20" s="51"/>
      <c r="I20" s="51"/>
    </row>
  </sheetData>
  <mergeCells count="1">
    <mergeCell ref="B1:N1"/>
  </mergeCells>
  <hyperlinks>
    <hyperlink ref="B14" location="'External Causes of Deaths'!A1" display="External causes of death excluded from analysis"/>
    <hyperlink ref="D16" r:id="rId1"/>
    <hyperlink ref="B14:J14" location="'External Causes of Deaths'!A1" display="External causes of death excluded from analysis"/>
    <hyperlink ref="D16:S16" r:id="rId2" display="http://www.gov.scot/Topics/Statistics/About/Methodology/UrbanRuralClassification"/>
  </hyperlinks>
  <pageMargins left="0.70866141732283472" right="0.70866141732283472" top="0.74803149606299213" bottom="0.74803149606299213" header="0.31496062992125984" footer="0.31496062992125984"/>
  <pageSetup paperSize="9" scale="92" orientation="landscape"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M172"/>
  <sheetViews>
    <sheetView showGridLines="0" workbookViewId="0"/>
  </sheetViews>
  <sheetFormatPr defaultRowHeight="12.75" x14ac:dyDescent="0.2"/>
  <cols>
    <col min="1" max="1" width="2.28515625" style="43" customWidth="1"/>
    <col min="2" max="2" width="20.140625" style="8" customWidth="1"/>
    <col min="3" max="3" width="92.140625" style="8" customWidth="1"/>
    <col min="4" max="4" width="8.28515625" style="21" customWidth="1"/>
    <col min="5" max="5" width="3.5703125" style="8" customWidth="1"/>
    <col min="6" max="11" width="9.140625" style="8"/>
    <col min="12" max="39" width="9.140625" style="9"/>
    <col min="40" max="256" width="9.140625" style="8"/>
    <col min="257" max="257" width="2.28515625" style="8" customWidth="1"/>
    <col min="258" max="258" width="20.140625" style="8" customWidth="1"/>
    <col min="259" max="259" width="92.140625" style="8" customWidth="1"/>
    <col min="260" max="260" width="8.28515625" style="8" customWidth="1"/>
    <col min="261" max="261" width="3.5703125" style="8" customWidth="1"/>
    <col min="262" max="512" width="9.140625" style="8"/>
    <col min="513" max="513" width="2.28515625" style="8" customWidth="1"/>
    <col min="514" max="514" width="20.140625" style="8" customWidth="1"/>
    <col min="515" max="515" width="92.140625" style="8" customWidth="1"/>
    <col min="516" max="516" width="8.28515625" style="8" customWidth="1"/>
    <col min="517" max="517" width="3.5703125" style="8" customWidth="1"/>
    <col min="518" max="768" width="9.140625" style="8"/>
    <col min="769" max="769" width="2.28515625" style="8" customWidth="1"/>
    <col min="770" max="770" width="20.140625" style="8" customWidth="1"/>
    <col min="771" max="771" width="92.140625" style="8" customWidth="1"/>
    <col min="772" max="772" width="8.28515625" style="8" customWidth="1"/>
    <col min="773" max="773" width="3.5703125" style="8" customWidth="1"/>
    <col min="774" max="1024" width="9.140625" style="8"/>
    <col min="1025" max="1025" width="2.28515625" style="8" customWidth="1"/>
    <col min="1026" max="1026" width="20.140625" style="8" customWidth="1"/>
    <col min="1027" max="1027" width="92.140625" style="8" customWidth="1"/>
    <col min="1028" max="1028" width="8.28515625" style="8" customWidth="1"/>
    <col min="1029" max="1029" width="3.5703125" style="8" customWidth="1"/>
    <col min="1030" max="1280" width="9.140625" style="8"/>
    <col min="1281" max="1281" width="2.28515625" style="8" customWidth="1"/>
    <col min="1282" max="1282" width="20.140625" style="8" customWidth="1"/>
    <col min="1283" max="1283" width="92.140625" style="8" customWidth="1"/>
    <col min="1284" max="1284" width="8.28515625" style="8" customWidth="1"/>
    <col min="1285" max="1285" width="3.5703125" style="8" customWidth="1"/>
    <col min="1286" max="1536" width="9.140625" style="8"/>
    <col min="1537" max="1537" width="2.28515625" style="8" customWidth="1"/>
    <col min="1538" max="1538" width="20.140625" style="8" customWidth="1"/>
    <col min="1539" max="1539" width="92.140625" style="8" customWidth="1"/>
    <col min="1540" max="1540" width="8.28515625" style="8" customWidth="1"/>
    <col min="1541" max="1541" width="3.5703125" style="8" customWidth="1"/>
    <col min="1542" max="1792" width="9.140625" style="8"/>
    <col min="1793" max="1793" width="2.28515625" style="8" customWidth="1"/>
    <col min="1794" max="1794" width="20.140625" style="8" customWidth="1"/>
    <col min="1795" max="1795" width="92.140625" style="8" customWidth="1"/>
    <col min="1796" max="1796" width="8.28515625" style="8" customWidth="1"/>
    <col min="1797" max="1797" width="3.5703125" style="8" customWidth="1"/>
    <col min="1798" max="2048" width="9.140625" style="8"/>
    <col min="2049" max="2049" width="2.28515625" style="8" customWidth="1"/>
    <col min="2050" max="2050" width="20.140625" style="8" customWidth="1"/>
    <col min="2051" max="2051" width="92.140625" style="8" customWidth="1"/>
    <col min="2052" max="2052" width="8.28515625" style="8" customWidth="1"/>
    <col min="2053" max="2053" width="3.5703125" style="8" customWidth="1"/>
    <col min="2054" max="2304" width="9.140625" style="8"/>
    <col min="2305" max="2305" width="2.28515625" style="8" customWidth="1"/>
    <col min="2306" max="2306" width="20.140625" style="8" customWidth="1"/>
    <col min="2307" max="2307" width="92.140625" style="8" customWidth="1"/>
    <col min="2308" max="2308" width="8.28515625" style="8" customWidth="1"/>
    <col min="2309" max="2309" width="3.5703125" style="8" customWidth="1"/>
    <col min="2310" max="2560" width="9.140625" style="8"/>
    <col min="2561" max="2561" width="2.28515625" style="8" customWidth="1"/>
    <col min="2562" max="2562" width="20.140625" style="8" customWidth="1"/>
    <col min="2563" max="2563" width="92.140625" style="8" customWidth="1"/>
    <col min="2564" max="2564" width="8.28515625" style="8" customWidth="1"/>
    <col min="2565" max="2565" width="3.5703125" style="8" customWidth="1"/>
    <col min="2566" max="2816" width="9.140625" style="8"/>
    <col min="2817" max="2817" width="2.28515625" style="8" customWidth="1"/>
    <col min="2818" max="2818" width="20.140625" style="8" customWidth="1"/>
    <col min="2819" max="2819" width="92.140625" style="8" customWidth="1"/>
    <col min="2820" max="2820" width="8.28515625" style="8" customWidth="1"/>
    <col min="2821" max="2821" width="3.5703125" style="8" customWidth="1"/>
    <col min="2822" max="3072" width="9.140625" style="8"/>
    <col min="3073" max="3073" width="2.28515625" style="8" customWidth="1"/>
    <col min="3074" max="3074" width="20.140625" style="8" customWidth="1"/>
    <col min="3075" max="3075" width="92.140625" style="8" customWidth="1"/>
    <col min="3076" max="3076" width="8.28515625" style="8" customWidth="1"/>
    <col min="3077" max="3077" width="3.5703125" style="8" customWidth="1"/>
    <col min="3078" max="3328" width="9.140625" style="8"/>
    <col min="3329" max="3329" width="2.28515625" style="8" customWidth="1"/>
    <col min="3330" max="3330" width="20.140625" style="8" customWidth="1"/>
    <col min="3331" max="3331" width="92.140625" style="8" customWidth="1"/>
    <col min="3332" max="3332" width="8.28515625" style="8" customWidth="1"/>
    <col min="3333" max="3333" width="3.5703125" style="8" customWidth="1"/>
    <col min="3334" max="3584" width="9.140625" style="8"/>
    <col min="3585" max="3585" width="2.28515625" style="8" customWidth="1"/>
    <col min="3586" max="3586" width="20.140625" style="8" customWidth="1"/>
    <col min="3587" max="3587" width="92.140625" style="8" customWidth="1"/>
    <col min="3588" max="3588" width="8.28515625" style="8" customWidth="1"/>
    <col min="3589" max="3589" width="3.5703125" style="8" customWidth="1"/>
    <col min="3590" max="3840" width="9.140625" style="8"/>
    <col min="3841" max="3841" width="2.28515625" style="8" customWidth="1"/>
    <col min="3842" max="3842" width="20.140625" style="8" customWidth="1"/>
    <col min="3843" max="3843" width="92.140625" style="8" customWidth="1"/>
    <col min="3844" max="3844" width="8.28515625" style="8" customWidth="1"/>
    <col min="3845" max="3845" width="3.5703125" style="8" customWidth="1"/>
    <col min="3846" max="4096" width="9.140625" style="8"/>
    <col min="4097" max="4097" width="2.28515625" style="8" customWidth="1"/>
    <col min="4098" max="4098" width="20.140625" style="8" customWidth="1"/>
    <col min="4099" max="4099" width="92.140625" style="8" customWidth="1"/>
    <col min="4100" max="4100" width="8.28515625" style="8" customWidth="1"/>
    <col min="4101" max="4101" width="3.5703125" style="8" customWidth="1"/>
    <col min="4102" max="4352" width="9.140625" style="8"/>
    <col min="4353" max="4353" width="2.28515625" style="8" customWidth="1"/>
    <col min="4354" max="4354" width="20.140625" style="8" customWidth="1"/>
    <col min="4355" max="4355" width="92.140625" style="8" customWidth="1"/>
    <col min="4356" max="4356" width="8.28515625" style="8" customWidth="1"/>
    <col min="4357" max="4357" width="3.5703125" style="8" customWidth="1"/>
    <col min="4358" max="4608" width="9.140625" style="8"/>
    <col min="4609" max="4609" width="2.28515625" style="8" customWidth="1"/>
    <col min="4610" max="4610" width="20.140625" style="8" customWidth="1"/>
    <col min="4611" max="4611" width="92.140625" style="8" customWidth="1"/>
    <col min="4612" max="4612" width="8.28515625" style="8" customWidth="1"/>
    <col min="4613" max="4613" width="3.5703125" style="8" customWidth="1"/>
    <col min="4614" max="4864" width="9.140625" style="8"/>
    <col min="4865" max="4865" width="2.28515625" style="8" customWidth="1"/>
    <col min="4866" max="4866" width="20.140625" style="8" customWidth="1"/>
    <col min="4867" max="4867" width="92.140625" style="8" customWidth="1"/>
    <col min="4868" max="4868" width="8.28515625" style="8" customWidth="1"/>
    <col min="4869" max="4869" width="3.5703125" style="8" customWidth="1"/>
    <col min="4870" max="5120" width="9.140625" style="8"/>
    <col min="5121" max="5121" width="2.28515625" style="8" customWidth="1"/>
    <col min="5122" max="5122" width="20.140625" style="8" customWidth="1"/>
    <col min="5123" max="5123" width="92.140625" style="8" customWidth="1"/>
    <col min="5124" max="5124" width="8.28515625" style="8" customWidth="1"/>
    <col min="5125" max="5125" width="3.5703125" style="8" customWidth="1"/>
    <col min="5126" max="5376" width="9.140625" style="8"/>
    <col min="5377" max="5377" width="2.28515625" style="8" customWidth="1"/>
    <col min="5378" max="5378" width="20.140625" style="8" customWidth="1"/>
    <col min="5379" max="5379" width="92.140625" style="8" customWidth="1"/>
    <col min="5380" max="5380" width="8.28515625" style="8" customWidth="1"/>
    <col min="5381" max="5381" width="3.5703125" style="8" customWidth="1"/>
    <col min="5382" max="5632" width="9.140625" style="8"/>
    <col min="5633" max="5633" width="2.28515625" style="8" customWidth="1"/>
    <col min="5634" max="5634" width="20.140625" style="8" customWidth="1"/>
    <col min="5635" max="5635" width="92.140625" style="8" customWidth="1"/>
    <col min="5636" max="5636" width="8.28515625" style="8" customWidth="1"/>
    <col min="5637" max="5637" width="3.5703125" style="8" customWidth="1"/>
    <col min="5638" max="5888" width="9.140625" style="8"/>
    <col min="5889" max="5889" width="2.28515625" style="8" customWidth="1"/>
    <col min="5890" max="5890" width="20.140625" style="8" customWidth="1"/>
    <col min="5891" max="5891" width="92.140625" style="8" customWidth="1"/>
    <col min="5892" max="5892" width="8.28515625" style="8" customWidth="1"/>
    <col min="5893" max="5893" width="3.5703125" style="8" customWidth="1"/>
    <col min="5894" max="6144" width="9.140625" style="8"/>
    <col min="6145" max="6145" width="2.28515625" style="8" customWidth="1"/>
    <col min="6146" max="6146" width="20.140625" style="8" customWidth="1"/>
    <col min="6147" max="6147" width="92.140625" style="8" customWidth="1"/>
    <col min="6148" max="6148" width="8.28515625" style="8" customWidth="1"/>
    <col min="6149" max="6149" width="3.5703125" style="8" customWidth="1"/>
    <col min="6150" max="6400" width="9.140625" style="8"/>
    <col min="6401" max="6401" width="2.28515625" style="8" customWidth="1"/>
    <col min="6402" max="6402" width="20.140625" style="8" customWidth="1"/>
    <col min="6403" max="6403" width="92.140625" style="8" customWidth="1"/>
    <col min="6404" max="6404" width="8.28515625" style="8" customWidth="1"/>
    <col min="6405" max="6405" width="3.5703125" style="8" customWidth="1"/>
    <col min="6406" max="6656" width="9.140625" style="8"/>
    <col min="6657" max="6657" width="2.28515625" style="8" customWidth="1"/>
    <col min="6658" max="6658" width="20.140625" style="8" customWidth="1"/>
    <col min="6659" max="6659" width="92.140625" style="8" customWidth="1"/>
    <col min="6660" max="6660" width="8.28515625" style="8" customWidth="1"/>
    <col min="6661" max="6661" width="3.5703125" style="8" customWidth="1"/>
    <col min="6662" max="6912" width="9.140625" style="8"/>
    <col min="6913" max="6913" width="2.28515625" style="8" customWidth="1"/>
    <col min="6914" max="6914" width="20.140625" style="8" customWidth="1"/>
    <col min="6915" max="6915" width="92.140625" style="8" customWidth="1"/>
    <col min="6916" max="6916" width="8.28515625" style="8" customWidth="1"/>
    <col min="6917" max="6917" width="3.5703125" style="8" customWidth="1"/>
    <col min="6918" max="7168" width="9.140625" style="8"/>
    <col min="7169" max="7169" width="2.28515625" style="8" customWidth="1"/>
    <col min="7170" max="7170" width="20.140625" style="8" customWidth="1"/>
    <col min="7171" max="7171" width="92.140625" style="8" customWidth="1"/>
    <col min="7172" max="7172" width="8.28515625" style="8" customWidth="1"/>
    <col min="7173" max="7173" width="3.5703125" style="8" customWidth="1"/>
    <col min="7174" max="7424" width="9.140625" style="8"/>
    <col min="7425" max="7425" width="2.28515625" style="8" customWidth="1"/>
    <col min="7426" max="7426" width="20.140625" style="8" customWidth="1"/>
    <col min="7427" max="7427" width="92.140625" style="8" customWidth="1"/>
    <col min="7428" max="7428" width="8.28515625" style="8" customWidth="1"/>
    <col min="7429" max="7429" width="3.5703125" style="8" customWidth="1"/>
    <col min="7430" max="7680" width="9.140625" style="8"/>
    <col min="7681" max="7681" width="2.28515625" style="8" customWidth="1"/>
    <col min="7682" max="7682" width="20.140625" style="8" customWidth="1"/>
    <col min="7683" max="7683" width="92.140625" style="8" customWidth="1"/>
    <col min="7684" max="7684" width="8.28515625" style="8" customWidth="1"/>
    <col min="7685" max="7685" width="3.5703125" style="8" customWidth="1"/>
    <col min="7686" max="7936" width="9.140625" style="8"/>
    <col min="7937" max="7937" width="2.28515625" style="8" customWidth="1"/>
    <col min="7938" max="7938" width="20.140625" style="8" customWidth="1"/>
    <col min="7939" max="7939" width="92.140625" style="8" customWidth="1"/>
    <col min="7940" max="7940" width="8.28515625" style="8" customWidth="1"/>
    <col min="7941" max="7941" width="3.5703125" style="8" customWidth="1"/>
    <col min="7942" max="8192" width="9.140625" style="8"/>
    <col min="8193" max="8193" width="2.28515625" style="8" customWidth="1"/>
    <col min="8194" max="8194" width="20.140625" style="8" customWidth="1"/>
    <col min="8195" max="8195" width="92.140625" style="8" customWidth="1"/>
    <col min="8196" max="8196" width="8.28515625" style="8" customWidth="1"/>
    <col min="8197" max="8197" width="3.5703125" style="8" customWidth="1"/>
    <col min="8198" max="8448" width="9.140625" style="8"/>
    <col min="8449" max="8449" width="2.28515625" style="8" customWidth="1"/>
    <col min="8450" max="8450" width="20.140625" style="8" customWidth="1"/>
    <col min="8451" max="8451" width="92.140625" style="8" customWidth="1"/>
    <col min="8452" max="8452" width="8.28515625" style="8" customWidth="1"/>
    <col min="8453" max="8453" width="3.5703125" style="8" customWidth="1"/>
    <col min="8454" max="8704" width="9.140625" style="8"/>
    <col min="8705" max="8705" width="2.28515625" style="8" customWidth="1"/>
    <col min="8706" max="8706" width="20.140625" style="8" customWidth="1"/>
    <col min="8707" max="8707" width="92.140625" style="8" customWidth="1"/>
    <col min="8708" max="8708" width="8.28515625" style="8" customWidth="1"/>
    <col min="8709" max="8709" width="3.5703125" style="8" customWidth="1"/>
    <col min="8710" max="8960" width="9.140625" style="8"/>
    <col min="8961" max="8961" width="2.28515625" style="8" customWidth="1"/>
    <col min="8962" max="8962" width="20.140625" style="8" customWidth="1"/>
    <col min="8963" max="8963" width="92.140625" style="8" customWidth="1"/>
    <col min="8964" max="8964" width="8.28515625" style="8" customWidth="1"/>
    <col min="8965" max="8965" width="3.5703125" style="8" customWidth="1"/>
    <col min="8966" max="9216" width="9.140625" style="8"/>
    <col min="9217" max="9217" width="2.28515625" style="8" customWidth="1"/>
    <col min="9218" max="9218" width="20.140625" style="8" customWidth="1"/>
    <col min="9219" max="9219" width="92.140625" style="8" customWidth="1"/>
    <col min="9220" max="9220" width="8.28515625" style="8" customWidth="1"/>
    <col min="9221" max="9221" width="3.5703125" style="8" customWidth="1"/>
    <col min="9222" max="9472" width="9.140625" style="8"/>
    <col min="9473" max="9473" width="2.28515625" style="8" customWidth="1"/>
    <col min="9474" max="9474" width="20.140625" style="8" customWidth="1"/>
    <col min="9475" max="9475" width="92.140625" style="8" customWidth="1"/>
    <col min="9476" max="9476" width="8.28515625" style="8" customWidth="1"/>
    <col min="9477" max="9477" width="3.5703125" style="8" customWidth="1"/>
    <col min="9478" max="9728" width="9.140625" style="8"/>
    <col min="9729" max="9729" width="2.28515625" style="8" customWidth="1"/>
    <col min="9730" max="9730" width="20.140625" style="8" customWidth="1"/>
    <col min="9731" max="9731" width="92.140625" style="8" customWidth="1"/>
    <col min="9732" max="9732" width="8.28515625" style="8" customWidth="1"/>
    <col min="9733" max="9733" width="3.5703125" style="8" customWidth="1"/>
    <col min="9734" max="9984" width="9.140625" style="8"/>
    <col min="9985" max="9985" width="2.28515625" style="8" customWidth="1"/>
    <col min="9986" max="9986" width="20.140625" style="8" customWidth="1"/>
    <col min="9987" max="9987" width="92.140625" style="8" customWidth="1"/>
    <col min="9988" max="9988" width="8.28515625" style="8" customWidth="1"/>
    <col min="9989" max="9989" width="3.5703125" style="8" customWidth="1"/>
    <col min="9990" max="10240" width="9.140625" style="8"/>
    <col min="10241" max="10241" width="2.28515625" style="8" customWidth="1"/>
    <col min="10242" max="10242" width="20.140625" style="8" customWidth="1"/>
    <col min="10243" max="10243" width="92.140625" style="8" customWidth="1"/>
    <col min="10244" max="10244" width="8.28515625" style="8" customWidth="1"/>
    <col min="10245" max="10245" width="3.5703125" style="8" customWidth="1"/>
    <col min="10246" max="10496" width="9.140625" style="8"/>
    <col min="10497" max="10497" width="2.28515625" style="8" customWidth="1"/>
    <col min="10498" max="10498" width="20.140625" style="8" customWidth="1"/>
    <col min="10499" max="10499" width="92.140625" style="8" customWidth="1"/>
    <col min="10500" max="10500" width="8.28515625" style="8" customWidth="1"/>
    <col min="10501" max="10501" width="3.5703125" style="8" customWidth="1"/>
    <col min="10502" max="10752" width="9.140625" style="8"/>
    <col min="10753" max="10753" width="2.28515625" style="8" customWidth="1"/>
    <col min="10754" max="10754" width="20.140625" style="8" customWidth="1"/>
    <col min="10755" max="10755" width="92.140625" style="8" customWidth="1"/>
    <col min="10756" max="10756" width="8.28515625" style="8" customWidth="1"/>
    <col min="10757" max="10757" width="3.5703125" style="8" customWidth="1"/>
    <col min="10758" max="11008" width="9.140625" style="8"/>
    <col min="11009" max="11009" width="2.28515625" style="8" customWidth="1"/>
    <col min="11010" max="11010" width="20.140625" style="8" customWidth="1"/>
    <col min="11011" max="11011" width="92.140625" style="8" customWidth="1"/>
    <col min="11012" max="11012" width="8.28515625" style="8" customWidth="1"/>
    <col min="11013" max="11013" width="3.5703125" style="8" customWidth="1"/>
    <col min="11014" max="11264" width="9.140625" style="8"/>
    <col min="11265" max="11265" width="2.28515625" style="8" customWidth="1"/>
    <col min="11266" max="11266" width="20.140625" style="8" customWidth="1"/>
    <col min="11267" max="11267" width="92.140625" style="8" customWidth="1"/>
    <col min="11268" max="11268" width="8.28515625" style="8" customWidth="1"/>
    <col min="11269" max="11269" width="3.5703125" style="8" customWidth="1"/>
    <col min="11270" max="11520" width="9.140625" style="8"/>
    <col min="11521" max="11521" width="2.28515625" style="8" customWidth="1"/>
    <col min="11522" max="11522" width="20.140625" style="8" customWidth="1"/>
    <col min="11523" max="11523" width="92.140625" style="8" customWidth="1"/>
    <col min="11524" max="11524" width="8.28515625" style="8" customWidth="1"/>
    <col min="11525" max="11525" width="3.5703125" style="8" customWidth="1"/>
    <col min="11526" max="11776" width="9.140625" style="8"/>
    <col min="11777" max="11777" width="2.28515625" style="8" customWidth="1"/>
    <col min="11778" max="11778" width="20.140625" style="8" customWidth="1"/>
    <col min="11779" max="11779" width="92.140625" style="8" customWidth="1"/>
    <col min="11780" max="11780" width="8.28515625" style="8" customWidth="1"/>
    <col min="11781" max="11781" width="3.5703125" style="8" customWidth="1"/>
    <col min="11782" max="12032" width="9.140625" style="8"/>
    <col min="12033" max="12033" width="2.28515625" style="8" customWidth="1"/>
    <col min="12034" max="12034" width="20.140625" style="8" customWidth="1"/>
    <col min="12035" max="12035" width="92.140625" style="8" customWidth="1"/>
    <col min="12036" max="12036" width="8.28515625" style="8" customWidth="1"/>
    <col min="12037" max="12037" width="3.5703125" style="8" customWidth="1"/>
    <col min="12038" max="12288" width="9.140625" style="8"/>
    <col min="12289" max="12289" width="2.28515625" style="8" customWidth="1"/>
    <col min="12290" max="12290" width="20.140625" style="8" customWidth="1"/>
    <col min="12291" max="12291" width="92.140625" style="8" customWidth="1"/>
    <col min="12292" max="12292" width="8.28515625" style="8" customWidth="1"/>
    <col min="12293" max="12293" width="3.5703125" style="8" customWidth="1"/>
    <col min="12294" max="12544" width="9.140625" style="8"/>
    <col min="12545" max="12545" width="2.28515625" style="8" customWidth="1"/>
    <col min="12546" max="12546" width="20.140625" style="8" customWidth="1"/>
    <col min="12547" max="12547" width="92.140625" style="8" customWidth="1"/>
    <col min="12548" max="12548" width="8.28515625" style="8" customWidth="1"/>
    <col min="12549" max="12549" width="3.5703125" style="8" customWidth="1"/>
    <col min="12550" max="12800" width="9.140625" style="8"/>
    <col min="12801" max="12801" width="2.28515625" style="8" customWidth="1"/>
    <col min="12802" max="12802" width="20.140625" style="8" customWidth="1"/>
    <col min="12803" max="12803" width="92.140625" style="8" customWidth="1"/>
    <col min="12804" max="12804" width="8.28515625" style="8" customWidth="1"/>
    <col min="12805" max="12805" width="3.5703125" style="8" customWidth="1"/>
    <col min="12806" max="13056" width="9.140625" style="8"/>
    <col min="13057" max="13057" width="2.28515625" style="8" customWidth="1"/>
    <col min="13058" max="13058" width="20.140625" style="8" customWidth="1"/>
    <col min="13059" max="13059" width="92.140625" style="8" customWidth="1"/>
    <col min="13060" max="13060" width="8.28515625" style="8" customWidth="1"/>
    <col min="13061" max="13061" width="3.5703125" style="8" customWidth="1"/>
    <col min="13062" max="13312" width="9.140625" style="8"/>
    <col min="13313" max="13313" width="2.28515625" style="8" customWidth="1"/>
    <col min="13314" max="13314" width="20.140625" style="8" customWidth="1"/>
    <col min="13315" max="13315" width="92.140625" style="8" customWidth="1"/>
    <col min="13316" max="13316" width="8.28515625" style="8" customWidth="1"/>
    <col min="13317" max="13317" width="3.5703125" style="8" customWidth="1"/>
    <col min="13318" max="13568" width="9.140625" style="8"/>
    <col min="13569" max="13569" width="2.28515625" style="8" customWidth="1"/>
    <col min="13570" max="13570" width="20.140625" style="8" customWidth="1"/>
    <col min="13571" max="13571" width="92.140625" style="8" customWidth="1"/>
    <col min="13572" max="13572" width="8.28515625" style="8" customWidth="1"/>
    <col min="13573" max="13573" width="3.5703125" style="8" customWidth="1"/>
    <col min="13574" max="13824" width="9.140625" style="8"/>
    <col min="13825" max="13825" width="2.28515625" style="8" customWidth="1"/>
    <col min="13826" max="13826" width="20.140625" style="8" customWidth="1"/>
    <col min="13827" max="13827" width="92.140625" style="8" customWidth="1"/>
    <col min="13828" max="13828" width="8.28515625" style="8" customWidth="1"/>
    <col min="13829" max="13829" width="3.5703125" style="8" customWidth="1"/>
    <col min="13830" max="14080" width="9.140625" style="8"/>
    <col min="14081" max="14081" width="2.28515625" style="8" customWidth="1"/>
    <col min="14082" max="14082" width="20.140625" style="8" customWidth="1"/>
    <col min="14083" max="14083" width="92.140625" style="8" customWidth="1"/>
    <col min="14084" max="14084" width="8.28515625" style="8" customWidth="1"/>
    <col min="14085" max="14085" width="3.5703125" style="8" customWidth="1"/>
    <col min="14086" max="14336" width="9.140625" style="8"/>
    <col min="14337" max="14337" width="2.28515625" style="8" customWidth="1"/>
    <col min="14338" max="14338" width="20.140625" style="8" customWidth="1"/>
    <col min="14339" max="14339" width="92.140625" style="8" customWidth="1"/>
    <col min="14340" max="14340" width="8.28515625" style="8" customWidth="1"/>
    <col min="14341" max="14341" width="3.5703125" style="8" customWidth="1"/>
    <col min="14342" max="14592" width="9.140625" style="8"/>
    <col min="14593" max="14593" width="2.28515625" style="8" customWidth="1"/>
    <col min="14594" max="14594" width="20.140625" style="8" customWidth="1"/>
    <col min="14595" max="14595" width="92.140625" style="8" customWidth="1"/>
    <col min="14596" max="14596" width="8.28515625" style="8" customWidth="1"/>
    <col min="14597" max="14597" width="3.5703125" style="8" customWidth="1"/>
    <col min="14598" max="14848" width="9.140625" style="8"/>
    <col min="14849" max="14849" width="2.28515625" style="8" customWidth="1"/>
    <col min="14850" max="14850" width="20.140625" style="8" customWidth="1"/>
    <col min="14851" max="14851" width="92.140625" style="8" customWidth="1"/>
    <col min="14852" max="14852" width="8.28515625" style="8" customWidth="1"/>
    <col min="14853" max="14853" width="3.5703125" style="8" customWidth="1"/>
    <col min="14854" max="15104" width="9.140625" style="8"/>
    <col min="15105" max="15105" width="2.28515625" style="8" customWidth="1"/>
    <col min="15106" max="15106" width="20.140625" style="8" customWidth="1"/>
    <col min="15107" max="15107" width="92.140625" style="8" customWidth="1"/>
    <col min="15108" max="15108" width="8.28515625" style="8" customWidth="1"/>
    <col min="15109" max="15109" width="3.5703125" style="8" customWidth="1"/>
    <col min="15110" max="15360" width="9.140625" style="8"/>
    <col min="15361" max="15361" width="2.28515625" style="8" customWidth="1"/>
    <col min="15362" max="15362" width="20.140625" style="8" customWidth="1"/>
    <col min="15363" max="15363" width="92.140625" style="8" customWidth="1"/>
    <col min="15364" max="15364" width="8.28515625" style="8" customWidth="1"/>
    <col min="15365" max="15365" width="3.5703125" style="8" customWidth="1"/>
    <col min="15366" max="15616" width="9.140625" style="8"/>
    <col min="15617" max="15617" width="2.28515625" style="8" customWidth="1"/>
    <col min="15618" max="15618" width="20.140625" style="8" customWidth="1"/>
    <col min="15619" max="15619" width="92.140625" style="8" customWidth="1"/>
    <col min="15620" max="15620" width="8.28515625" style="8" customWidth="1"/>
    <col min="15621" max="15621" width="3.5703125" style="8" customWidth="1"/>
    <col min="15622" max="15872" width="9.140625" style="8"/>
    <col min="15873" max="15873" width="2.28515625" style="8" customWidth="1"/>
    <col min="15874" max="15874" width="20.140625" style="8" customWidth="1"/>
    <col min="15875" max="15875" width="92.140625" style="8" customWidth="1"/>
    <col min="15876" max="15876" width="8.28515625" style="8" customWidth="1"/>
    <col min="15877" max="15877" width="3.5703125" style="8" customWidth="1"/>
    <col min="15878" max="16128" width="9.140625" style="8"/>
    <col min="16129" max="16129" width="2.28515625" style="8" customWidth="1"/>
    <col min="16130" max="16130" width="20.140625" style="8" customWidth="1"/>
    <col min="16131" max="16131" width="92.140625" style="8" customWidth="1"/>
    <col min="16132" max="16132" width="8.28515625" style="8" customWidth="1"/>
    <col min="16133" max="16133" width="3.5703125" style="8" customWidth="1"/>
    <col min="16134" max="16384" width="9.140625" style="8"/>
  </cols>
  <sheetData>
    <row r="1" spans="1:11" ht="15.75" x14ac:dyDescent="0.25">
      <c r="B1" s="14" t="s">
        <v>0</v>
      </c>
      <c r="C1" s="9"/>
      <c r="D1" s="15"/>
      <c r="E1" s="9"/>
      <c r="F1" s="9"/>
      <c r="G1" s="9"/>
      <c r="H1" s="9"/>
      <c r="I1" s="9"/>
      <c r="J1" s="9"/>
      <c r="K1" s="9"/>
    </row>
    <row r="2" spans="1:11" ht="15.75" x14ac:dyDescent="0.25">
      <c r="B2" s="14"/>
      <c r="C2" s="9"/>
      <c r="D2" s="15"/>
      <c r="E2" s="9"/>
      <c r="F2" s="9"/>
      <c r="G2" s="9"/>
      <c r="H2" s="9"/>
      <c r="I2" s="9"/>
      <c r="J2" s="9"/>
      <c r="K2" s="9"/>
    </row>
    <row r="3" spans="1:11" ht="12.75" customHeight="1" x14ac:dyDescent="0.2">
      <c r="B3" s="3"/>
      <c r="C3" s="3"/>
      <c r="D3" s="15"/>
      <c r="E3" s="9"/>
      <c r="F3" s="9"/>
      <c r="G3" s="9"/>
      <c r="H3" s="9"/>
      <c r="I3" s="9"/>
      <c r="J3" s="9"/>
      <c r="K3" s="9"/>
    </row>
    <row r="4" spans="1:11" ht="11.25" customHeight="1" x14ac:dyDescent="0.2">
      <c r="B4" s="9"/>
      <c r="C4" s="9"/>
      <c r="D4" s="15"/>
      <c r="E4" s="9"/>
      <c r="F4" s="9"/>
      <c r="G4" s="9"/>
      <c r="H4" s="9"/>
      <c r="I4" s="9"/>
      <c r="J4" s="9"/>
      <c r="K4" s="9"/>
    </row>
    <row r="5" spans="1:11" x14ac:dyDescent="0.2">
      <c r="B5" s="9"/>
      <c r="C5" s="9"/>
      <c r="D5" s="15"/>
      <c r="E5" s="9"/>
      <c r="F5" s="9"/>
      <c r="G5" s="9"/>
      <c r="H5" s="9"/>
      <c r="I5" s="9"/>
      <c r="J5" s="9"/>
      <c r="K5" s="9"/>
    </row>
    <row r="6" spans="1:11" ht="15" x14ac:dyDescent="0.25">
      <c r="B6" s="12" t="s">
        <v>1</v>
      </c>
      <c r="C6" s="12" t="s">
        <v>2</v>
      </c>
      <c r="D6" s="15"/>
      <c r="E6" s="9"/>
      <c r="F6" s="9"/>
      <c r="G6" s="9"/>
      <c r="H6" s="9"/>
      <c r="I6" s="9"/>
      <c r="J6" s="9"/>
      <c r="K6" s="9"/>
    </row>
    <row r="7" spans="1:11" x14ac:dyDescent="0.2">
      <c r="B7" s="16"/>
      <c r="C7" s="11"/>
      <c r="D7" s="11"/>
      <c r="E7" s="11"/>
      <c r="F7" s="11"/>
      <c r="G7" s="11"/>
      <c r="H7" s="9"/>
      <c r="I7" s="9"/>
      <c r="J7" s="9"/>
      <c r="K7" s="9"/>
    </row>
    <row r="8" spans="1:11" ht="12.75" customHeight="1" x14ac:dyDescent="0.2">
      <c r="B8" s="17" t="s">
        <v>3</v>
      </c>
      <c r="C8" s="11"/>
      <c r="D8" s="11"/>
      <c r="E8" s="11"/>
      <c r="F8" s="11"/>
      <c r="G8" s="11"/>
      <c r="H8" s="9"/>
      <c r="I8" s="9"/>
      <c r="J8" s="9"/>
      <c r="K8" s="9"/>
    </row>
    <row r="9" spans="1:11" ht="12.75" customHeight="1" x14ac:dyDescent="0.2">
      <c r="B9" s="17"/>
      <c r="C9" s="11"/>
      <c r="D9" s="11"/>
      <c r="E9" s="11"/>
      <c r="F9" s="11"/>
      <c r="G9" s="11"/>
      <c r="H9" s="9"/>
      <c r="I9" s="9"/>
      <c r="J9" s="9"/>
      <c r="K9" s="9"/>
    </row>
    <row r="10" spans="1:11" ht="12.75" customHeight="1" x14ac:dyDescent="0.2">
      <c r="B10" s="18" t="s">
        <v>4</v>
      </c>
      <c r="C10" s="10" t="s">
        <v>5</v>
      </c>
      <c r="D10" s="11"/>
      <c r="E10" s="11"/>
      <c r="F10" s="11"/>
      <c r="G10" s="11"/>
      <c r="H10" s="9"/>
      <c r="I10" s="9"/>
      <c r="J10" s="9"/>
      <c r="K10" s="9"/>
    </row>
    <row r="11" spans="1:11" ht="12.75" customHeight="1" x14ac:dyDescent="0.2">
      <c r="B11" s="18" t="s">
        <v>6</v>
      </c>
      <c r="C11" s="10" t="s">
        <v>7</v>
      </c>
      <c r="D11" s="11"/>
      <c r="E11" s="11"/>
      <c r="F11" s="11"/>
      <c r="G11" s="11"/>
      <c r="H11" s="9"/>
      <c r="I11" s="9"/>
      <c r="J11" s="9"/>
      <c r="K11" s="9"/>
    </row>
    <row r="12" spans="1:11" s="9" customFormat="1" ht="12.75" customHeight="1" x14ac:dyDescent="0.2">
      <c r="A12" s="43"/>
      <c r="B12" s="18" t="s">
        <v>8</v>
      </c>
      <c r="C12" s="10" t="s">
        <v>9</v>
      </c>
      <c r="D12" s="11"/>
      <c r="E12" s="11"/>
      <c r="F12" s="11"/>
      <c r="G12" s="11"/>
    </row>
    <row r="13" spans="1:11" s="9" customFormat="1" ht="12.75" customHeight="1" x14ac:dyDescent="0.2">
      <c r="A13" s="43"/>
      <c r="B13" s="18" t="s">
        <v>10</v>
      </c>
      <c r="C13" s="10" t="s">
        <v>11</v>
      </c>
      <c r="D13" s="11"/>
      <c r="E13" s="11"/>
      <c r="F13" s="11"/>
      <c r="G13" s="11"/>
    </row>
    <row r="14" spans="1:11" s="9" customFormat="1" ht="12.75" customHeight="1" x14ac:dyDescent="0.2">
      <c r="A14" s="43"/>
      <c r="B14" s="18" t="s">
        <v>12</v>
      </c>
      <c r="C14" s="10" t="s">
        <v>13</v>
      </c>
      <c r="D14" s="11"/>
      <c r="E14" s="11"/>
      <c r="F14" s="11"/>
      <c r="G14" s="11"/>
    </row>
    <row r="15" spans="1:11" s="9" customFormat="1" ht="12.75" customHeight="1" x14ac:dyDescent="0.2">
      <c r="A15" s="43"/>
      <c r="B15" s="18" t="s">
        <v>14</v>
      </c>
      <c r="C15" s="10" t="s">
        <v>15</v>
      </c>
      <c r="D15" s="15"/>
    </row>
    <row r="16" spans="1:11" s="9" customFormat="1" ht="12.75" customHeight="1" x14ac:dyDescent="0.2">
      <c r="A16" s="43"/>
      <c r="B16" s="18" t="s">
        <v>16</v>
      </c>
      <c r="C16" s="10" t="s">
        <v>17</v>
      </c>
      <c r="D16" s="15"/>
    </row>
    <row r="17" spans="1:4" s="9" customFormat="1" ht="12.75" customHeight="1" x14ac:dyDescent="0.2">
      <c r="A17" s="43"/>
      <c r="B17" s="18" t="s">
        <v>18</v>
      </c>
      <c r="C17" s="10" t="s">
        <v>19</v>
      </c>
      <c r="D17" s="15"/>
    </row>
    <row r="18" spans="1:4" s="9" customFormat="1" ht="12.75" customHeight="1" x14ac:dyDescent="0.2">
      <c r="A18" s="43"/>
      <c r="B18" s="18" t="s">
        <v>20</v>
      </c>
      <c r="C18" s="10" t="s">
        <v>21</v>
      </c>
      <c r="D18" s="15"/>
    </row>
    <row r="19" spans="1:4" s="9" customFormat="1" ht="12.75" customHeight="1" x14ac:dyDescent="0.2">
      <c r="A19" s="43"/>
      <c r="B19" s="18" t="s">
        <v>22</v>
      </c>
      <c r="C19" s="10" t="s">
        <v>23</v>
      </c>
      <c r="D19" s="15"/>
    </row>
    <row r="20" spans="1:4" s="9" customFormat="1" ht="12.75" customHeight="1" x14ac:dyDescent="0.2">
      <c r="A20" s="43"/>
      <c r="B20" s="18" t="s">
        <v>24</v>
      </c>
      <c r="C20" s="10" t="s">
        <v>25</v>
      </c>
      <c r="D20" s="15"/>
    </row>
    <row r="21" spans="1:4" s="9" customFormat="1" ht="12.75" customHeight="1" x14ac:dyDescent="0.2">
      <c r="A21" s="43"/>
      <c r="B21" s="18" t="s">
        <v>26</v>
      </c>
      <c r="C21" s="10" t="s">
        <v>27</v>
      </c>
      <c r="D21" s="15"/>
    </row>
    <row r="22" spans="1:4" s="9" customFormat="1" ht="12.75" customHeight="1" x14ac:dyDescent="0.2">
      <c r="A22" s="43"/>
      <c r="B22" s="18"/>
      <c r="C22" s="10"/>
      <c r="D22" s="15"/>
    </row>
    <row r="23" spans="1:4" s="9" customFormat="1" x14ac:dyDescent="0.2">
      <c r="A23" s="43"/>
      <c r="B23" s="15"/>
      <c r="C23" s="15"/>
      <c r="D23" s="15"/>
    </row>
    <row r="24" spans="1:4" s="9" customFormat="1" ht="12.75" customHeight="1" x14ac:dyDescent="0.2">
      <c r="A24" s="43"/>
      <c r="B24" s="119" t="s">
        <v>28</v>
      </c>
      <c r="C24" s="119"/>
      <c r="D24" s="15"/>
    </row>
    <row r="25" spans="1:4" s="9" customFormat="1" ht="12.75" customHeight="1" x14ac:dyDescent="0.2">
      <c r="A25" s="43"/>
      <c r="B25" s="17"/>
      <c r="C25" s="17"/>
      <c r="D25" s="15"/>
    </row>
    <row r="26" spans="1:4" s="9" customFormat="1" x14ac:dyDescent="0.2">
      <c r="A26" s="43"/>
      <c r="B26" s="18" t="s">
        <v>29</v>
      </c>
      <c r="C26" s="10" t="s">
        <v>30</v>
      </c>
      <c r="D26" s="15"/>
    </row>
    <row r="27" spans="1:4" s="9" customFormat="1" x14ac:dyDescent="0.2">
      <c r="A27" s="43"/>
      <c r="B27" s="18" t="s">
        <v>31</v>
      </c>
      <c r="C27" s="10" t="s">
        <v>32</v>
      </c>
      <c r="D27" s="15"/>
    </row>
    <row r="28" spans="1:4" s="9" customFormat="1" x14ac:dyDescent="0.2">
      <c r="A28" s="43"/>
      <c r="B28" s="18" t="s">
        <v>33</v>
      </c>
      <c r="C28" s="10" t="s">
        <v>34</v>
      </c>
      <c r="D28" s="15"/>
    </row>
    <row r="29" spans="1:4" s="9" customFormat="1" x14ac:dyDescent="0.2">
      <c r="A29" s="43"/>
      <c r="B29" s="18" t="s">
        <v>35</v>
      </c>
      <c r="C29" s="10" t="s">
        <v>36</v>
      </c>
      <c r="D29" s="15"/>
    </row>
    <row r="30" spans="1:4" s="9" customFormat="1" ht="12.75" customHeight="1" x14ac:dyDescent="0.2">
      <c r="A30" s="43"/>
      <c r="B30" s="18" t="s">
        <v>37</v>
      </c>
      <c r="C30" s="10" t="s">
        <v>38</v>
      </c>
      <c r="D30" s="15"/>
    </row>
    <row r="31" spans="1:4" s="9" customFormat="1" x14ac:dyDescent="0.2">
      <c r="A31" s="43"/>
      <c r="B31" s="18" t="s">
        <v>39</v>
      </c>
      <c r="C31" s="10" t="s">
        <v>40</v>
      </c>
      <c r="D31" s="15"/>
    </row>
    <row r="32" spans="1:4" s="9" customFormat="1" x14ac:dyDescent="0.2">
      <c r="A32" s="43"/>
      <c r="B32" s="18" t="s">
        <v>41</v>
      </c>
      <c r="C32" s="10" t="s">
        <v>42</v>
      </c>
      <c r="D32" s="15"/>
    </row>
    <row r="33" spans="1:4" s="9" customFormat="1" x14ac:dyDescent="0.2">
      <c r="A33" s="43"/>
      <c r="B33" s="18" t="s">
        <v>43</v>
      </c>
      <c r="C33" s="10" t="s">
        <v>44</v>
      </c>
      <c r="D33" s="15"/>
    </row>
    <row r="34" spans="1:4" s="9" customFormat="1" x14ac:dyDescent="0.2">
      <c r="A34" s="43"/>
      <c r="B34" s="18" t="s">
        <v>45</v>
      </c>
      <c r="C34" s="10" t="s">
        <v>46</v>
      </c>
      <c r="D34" s="15"/>
    </row>
    <row r="35" spans="1:4" s="9" customFormat="1" ht="12.75" customHeight="1" x14ac:dyDescent="0.2">
      <c r="A35" s="43"/>
      <c r="B35" s="18" t="s">
        <v>47</v>
      </c>
      <c r="C35" s="10" t="s">
        <v>48</v>
      </c>
      <c r="D35" s="15"/>
    </row>
    <row r="36" spans="1:4" s="9" customFormat="1" x14ac:dyDescent="0.2">
      <c r="A36" s="43"/>
      <c r="B36" s="18" t="s">
        <v>49</v>
      </c>
      <c r="C36" s="10" t="s">
        <v>50</v>
      </c>
      <c r="D36" s="15"/>
    </row>
    <row r="37" spans="1:4" s="9" customFormat="1" x14ac:dyDescent="0.2">
      <c r="A37" s="43"/>
      <c r="B37" s="18" t="s">
        <v>51</v>
      </c>
      <c r="C37" s="10" t="s">
        <v>52</v>
      </c>
      <c r="D37" s="15"/>
    </row>
    <row r="38" spans="1:4" s="9" customFormat="1" x14ac:dyDescent="0.2">
      <c r="A38" s="43"/>
      <c r="B38" s="18" t="s">
        <v>53</v>
      </c>
      <c r="C38" s="10" t="s">
        <v>54</v>
      </c>
      <c r="D38" s="15"/>
    </row>
    <row r="39" spans="1:4" s="9" customFormat="1" x14ac:dyDescent="0.2">
      <c r="A39" s="43"/>
      <c r="B39" s="18" t="s">
        <v>55</v>
      </c>
      <c r="C39" s="10" t="s">
        <v>56</v>
      </c>
      <c r="D39" s="15"/>
    </row>
    <row r="40" spans="1:4" s="9" customFormat="1" x14ac:dyDescent="0.2">
      <c r="A40" s="43"/>
      <c r="B40" s="18" t="s">
        <v>57</v>
      </c>
      <c r="C40" s="10" t="s">
        <v>58</v>
      </c>
      <c r="D40" s="15"/>
    </row>
    <row r="41" spans="1:4" s="9" customFormat="1" x14ac:dyDescent="0.2">
      <c r="A41" s="43"/>
      <c r="B41" s="18" t="s">
        <v>59</v>
      </c>
      <c r="C41" s="10" t="s">
        <v>60</v>
      </c>
      <c r="D41" s="15"/>
    </row>
    <row r="42" spans="1:4" s="9" customFormat="1" x14ac:dyDescent="0.2">
      <c r="A42" s="43"/>
      <c r="B42" s="18"/>
      <c r="C42" s="10"/>
      <c r="D42" s="15"/>
    </row>
    <row r="43" spans="1:4" s="9" customFormat="1" x14ac:dyDescent="0.2">
      <c r="A43" s="43"/>
      <c r="B43" s="120"/>
      <c r="C43" s="120"/>
      <c r="D43" s="15"/>
    </row>
    <row r="44" spans="1:4" s="9" customFormat="1" ht="12.75" customHeight="1" x14ac:dyDescent="0.2">
      <c r="A44" s="43"/>
      <c r="B44" s="119" t="s">
        <v>61</v>
      </c>
      <c r="C44" s="119"/>
      <c r="D44" s="15"/>
    </row>
    <row r="45" spans="1:4" s="9" customFormat="1" ht="12.75" customHeight="1" x14ac:dyDescent="0.2">
      <c r="A45" s="43"/>
      <c r="B45" s="17"/>
      <c r="C45" s="17"/>
      <c r="D45" s="15"/>
    </row>
    <row r="46" spans="1:4" s="9" customFormat="1" ht="12.75" customHeight="1" x14ac:dyDescent="0.2">
      <c r="A46" s="43"/>
      <c r="B46" s="18" t="s">
        <v>62</v>
      </c>
      <c r="C46" s="10" t="s">
        <v>63</v>
      </c>
      <c r="D46" s="15"/>
    </row>
    <row r="47" spans="1:4" s="9" customFormat="1" ht="12.75" customHeight="1" x14ac:dyDescent="0.2">
      <c r="A47" s="43"/>
      <c r="B47" s="18" t="s">
        <v>64</v>
      </c>
      <c r="C47" s="10" t="s">
        <v>65</v>
      </c>
      <c r="D47" s="15"/>
    </row>
    <row r="48" spans="1:4" s="9" customFormat="1" ht="12.75" customHeight="1" x14ac:dyDescent="0.2">
      <c r="A48" s="43"/>
      <c r="B48" s="18" t="s">
        <v>66</v>
      </c>
      <c r="C48" s="10" t="s">
        <v>67</v>
      </c>
      <c r="D48" s="15"/>
    </row>
    <row r="49" spans="1:4" s="9" customFormat="1" ht="25.5" customHeight="1" x14ac:dyDescent="0.2">
      <c r="A49" s="43"/>
      <c r="B49" s="18" t="s">
        <v>68</v>
      </c>
      <c r="C49" s="10" t="s">
        <v>69</v>
      </c>
      <c r="D49" s="15"/>
    </row>
    <row r="50" spans="1:4" s="9" customFormat="1" x14ac:dyDescent="0.2">
      <c r="A50" s="43"/>
      <c r="D50" s="15"/>
    </row>
    <row r="51" spans="1:4" s="9" customFormat="1" x14ac:dyDescent="0.2">
      <c r="A51" s="43"/>
      <c r="D51" s="15"/>
    </row>
    <row r="52" spans="1:4" s="9" customFormat="1" x14ac:dyDescent="0.2">
      <c r="A52" s="43"/>
      <c r="B52" s="19" t="s">
        <v>70</v>
      </c>
      <c r="D52" s="15"/>
    </row>
    <row r="53" spans="1:4" s="9" customFormat="1" x14ac:dyDescent="0.2">
      <c r="A53" s="43"/>
      <c r="D53" s="15"/>
    </row>
    <row r="54" spans="1:4" s="9" customFormat="1" x14ac:dyDescent="0.2">
      <c r="A54" s="43"/>
      <c r="B54" s="20" t="s">
        <v>71</v>
      </c>
      <c r="D54" s="15"/>
    </row>
    <row r="55" spans="1:4" s="9" customFormat="1" x14ac:dyDescent="0.2">
      <c r="A55" s="43"/>
      <c r="B55" s="7" t="s">
        <v>72</v>
      </c>
      <c r="C55" s="3"/>
      <c r="D55" s="15"/>
    </row>
    <row r="56" spans="1:4" s="9" customFormat="1" x14ac:dyDescent="0.2">
      <c r="A56" s="43"/>
      <c r="D56" s="15"/>
    </row>
    <row r="57" spans="1:4" s="9" customFormat="1" x14ac:dyDescent="0.2">
      <c r="A57" s="43"/>
      <c r="D57" s="15"/>
    </row>
    <row r="58" spans="1:4" s="9" customFormat="1" x14ac:dyDescent="0.2">
      <c r="A58" s="43"/>
      <c r="D58" s="15"/>
    </row>
    <row r="59" spans="1:4" s="9" customFormat="1" x14ac:dyDescent="0.2">
      <c r="A59" s="43"/>
      <c r="D59" s="15"/>
    </row>
    <row r="60" spans="1:4" s="9" customFormat="1" x14ac:dyDescent="0.2">
      <c r="A60" s="43"/>
      <c r="D60" s="15"/>
    </row>
    <row r="61" spans="1:4" s="9" customFormat="1" x14ac:dyDescent="0.2">
      <c r="A61" s="43"/>
      <c r="D61" s="15"/>
    </row>
    <row r="62" spans="1:4" s="9" customFormat="1" x14ac:dyDescent="0.2">
      <c r="A62" s="43"/>
      <c r="D62" s="15"/>
    </row>
    <row r="63" spans="1:4" s="9" customFormat="1" x14ac:dyDescent="0.2">
      <c r="A63" s="43"/>
      <c r="D63" s="15"/>
    </row>
    <row r="64" spans="1:4" s="9" customFormat="1" x14ac:dyDescent="0.2">
      <c r="A64" s="43"/>
      <c r="D64" s="15"/>
    </row>
    <row r="65" spans="1:4" s="9" customFormat="1" x14ac:dyDescent="0.2">
      <c r="A65" s="43"/>
      <c r="D65" s="15"/>
    </row>
    <row r="66" spans="1:4" s="9" customFormat="1" x14ac:dyDescent="0.2">
      <c r="A66" s="43"/>
      <c r="D66" s="15"/>
    </row>
    <row r="67" spans="1:4" s="9" customFormat="1" x14ac:dyDescent="0.2">
      <c r="A67" s="43"/>
      <c r="D67" s="15"/>
    </row>
    <row r="68" spans="1:4" s="9" customFormat="1" x14ac:dyDescent="0.2">
      <c r="A68" s="43"/>
      <c r="D68" s="15"/>
    </row>
    <row r="69" spans="1:4" s="9" customFormat="1" x14ac:dyDescent="0.2">
      <c r="A69" s="43"/>
      <c r="D69" s="15"/>
    </row>
    <row r="70" spans="1:4" s="9" customFormat="1" x14ac:dyDescent="0.2">
      <c r="A70" s="43"/>
      <c r="D70" s="15"/>
    </row>
    <row r="71" spans="1:4" s="9" customFormat="1" x14ac:dyDescent="0.2">
      <c r="A71" s="43"/>
      <c r="D71" s="15"/>
    </row>
    <row r="72" spans="1:4" s="9" customFormat="1" x14ac:dyDescent="0.2">
      <c r="A72" s="43"/>
      <c r="D72" s="15"/>
    </row>
    <row r="73" spans="1:4" s="9" customFormat="1" x14ac:dyDescent="0.2">
      <c r="A73" s="43"/>
      <c r="D73" s="15"/>
    </row>
    <row r="74" spans="1:4" s="9" customFormat="1" x14ac:dyDescent="0.2">
      <c r="A74" s="43"/>
      <c r="D74" s="15"/>
    </row>
    <row r="75" spans="1:4" s="9" customFormat="1" x14ac:dyDescent="0.2">
      <c r="A75" s="43"/>
      <c r="D75" s="15"/>
    </row>
    <row r="76" spans="1:4" s="9" customFormat="1" x14ac:dyDescent="0.2">
      <c r="A76" s="43"/>
      <c r="D76" s="15"/>
    </row>
    <row r="77" spans="1:4" s="9" customFormat="1" x14ac:dyDescent="0.2">
      <c r="A77" s="43"/>
      <c r="D77" s="15"/>
    </row>
    <row r="78" spans="1:4" s="9" customFormat="1" x14ac:dyDescent="0.2">
      <c r="A78" s="43"/>
      <c r="D78" s="15"/>
    </row>
    <row r="79" spans="1:4" s="9" customFormat="1" x14ac:dyDescent="0.2">
      <c r="A79" s="43"/>
      <c r="D79" s="15"/>
    </row>
    <row r="80" spans="1:4" s="9" customFormat="1" x14ac:dyDescent="0.2">
      <c r="A80" s="43"/>
      <c r="D80" s="15"/>
    </row>
    <row r="81" spans="1:4" s="9" customFormat="1" x14ac:dyDescent="0.2">
      <c r="A81" s="43"/>
      <c r="D81" s="15"/>
    </row>
    <row r="82" spans="1:4" s="9" customFormat="1" x14ac:dyDescent="0.2">
      <c r="A82" s="43"/>
      <c r="D82" s="15"/>
    </row>
    <row r="83" spans="1:4" s="9" customFormat="1" x14ac:dyDescent="0.2">
      <c r="A83" s="43"/>
      <c r="D83" s="15"/>
    </row>
    <row r="84" spans="1:4" s="9" customFormat="1" x14ac:dyDescent="0.2">
      <c r="A84" s="43"/>
      <c r="D84" s="15"/>
    </row>
    <row r="85" spans="1:4" s="9" customFormat="1" x14ac:dyDescent="0.2">
      <c r="A85" s="43"/>
      <c r="D85" s="15"/>
    </row>
    <row r="86" spans="1:4" s="9" customFormat="1" x14ac:dyDescent="0.2">
      <c r="A86" s="43"/>
      <c r="D86" s="15"/>
    </row>
    <row r="87" spans="1:4" s="9" customFormat="1" x14ac:dyDescent="0.2">
      <c r="A87" s="43"/>
      <c r="D87" s="15"/>
    </row>
    <row r="88" spans="1:4" s="9" customFormat="1" x14ac:dyDescent="0.2">
      <c r="A88" s="43"/>
      <c r="D88" s="15"/>
    </row>
    <row r="89" spans="1:4" s="9" customFormat="1" x14ac:dyDescent="0.2">
      <c r="A89" s="43"/>
      <c r="D89" s="15"/>
    </row>
    <row r="90" spans="1:4" s="9" customFormat="1" x14ac:dyDescent="0.2">
      <c r="A90" s="43"/>
      <c r="D90" s="15"/>
    </row>
    <row r="91" spans="1:4" s="9" customFormat="1" x14ac:dyDescent="0.2">
      <c r="A91" s="43"/>
      <c r="D91" s="15"/>
    </row>
    <row r="92" spans="1:4" s="9" customFormat="1" x14ac:dyDescent="0.2">
      <c r="A92" s="43"/>
      <c r="D92" s="15"/>
    </row>
    <row r="93" spans="1:4" s="9" customFormat="1" x14ac:dyDescent="0.2">
      <c r="A93" s="43"/>
      <c r="D93" s="15"/>
    </row>
    <row r="94" spans="1:4" s="9" customFormat="1" x14ac:dyDescent="0.2">
      <c r="A94" s="43"/>
      <c r="D94" s="15"/>
    </row>
    <row r="95" spans="1:4" s="9" customFormat="1" x14ac:dyDescent="0.2">
      <c r="A95" s="43"/>
      <c r="D95" s="15"/>
    </row>
    <row r="96" spans="1:4" s="9" customFormat="1" x14ac:dyDescent="0.2">
      <c r="A96" s="43"/>
      <c r="D96" s="15"/>
    </row>
    <row r="97" spans="1:4" s="9" customFormat="1" x14ac:dyDescent="0.2">
      <c r="A97" s="43"/>
      <c r="D97" s="15"/>
    </row>
    <row r="98" spans="1:4" s="9" customFormat="1" x14ac:dyDescent="0.2">
      <c r="A98" s="43"/>
      <c r="D98" s="15"/>
    </row>
    <row r="99" spans="1:4" s="9" customFormat="1" x14ac:dyDescent="0.2">
      <c r="A99" s="43"/>
      <c r="D99" s="15"/>
    </row>
    <row r="100" spans="1:4" s="9" customFormat="1" x14ac:dyDescent="0.2">
      <c r="A100" s="43"/>
      <c r="D100" s="15"/>
    </row>
    <row r="101" spans="1:4" s="9" customFormat="1" x14ac:dyDescent="0.2">
      <c r="A101" s="43"/>
      <c r="D101" s="15"/>
    </row>
    <row r="102" spans="1:4" s="9" customFormat="1" x14ac:dyDescent="0.2">
      <c r="A102" s="43"/>
      <c r="D102" s="15"/>
    </row>
    <row r="103" spans="1:4" s="9" customFormat="1" x14ac:dyDescent="0.2">
      <c r="A103" s="43"/>
      <c r="D103" s="15"/>
    </row>
    <row r="104" spans="1:4" s="9" customFormat="1" x14ac:dyDescent="0.2">
      <c r="A104" s="43"/>
      <c r="D104" s="15"/>
    </row>
    <row r="105" spans="1:4" s="9" customFormat="1" x14ac:dyDescent="0.2">
      <c r="A105" s="43"/>
      <c r="D105" s="15"/>
    </row>
    <row r="106" spans="1:4" s="9" customFormat="1" x14ac:dyDescent="0.2">
      <c r="A106" s="43"/>
      <c r="D106" s="15"/>
    </row>
    <row r="107" spans="1:4" s="9" customFormat="1" x14ac:dyDescent="0.2">
      <c r="A107" s="43"/>
      <c r="D107" s="15"/>
    </row>
    <row r="108" spans="1:4" s="9" customFormat="1" x14ac:dyDescent="0.2">
      <c r="A108" s="43"/>
      <c r="D108" s="15"/>
    </row>
    <row r="109" spans="1:4" s="9" customFormat="1" x14ac:dyDescent="0.2">
      <c r="A109" s="43"/>
      <c r="D109" s="15"/>
    </row>
    <row r="110" spans="1:4" s="9" customFormat="1" x14ac:dyDescent="0.2">
      <c r="A110" s="43"/>
      <c r="D110" s="15"/>
    </row>
    <row r="111" spans="1:4" s="9" customFormat="1" x14ac:dyDescent="0.2">
      <c r="A111" s="43"/>
      <c r="D111" s="15"/>
    </row>
    <row r="112" spans="1:4" s="9" customFormat="1" x14ac:dyDescent="0.2">
      <c r="A112" s="43"/>
      <c r="D112" s="15"/>
    </row>
    <row r="113" spans="1:4" s="9" customFormat="1" x14ac:dyDescent="0.2">
      <c r="A113" s="43"/>
      <c r="D113" s="15"/>
    </row>
    <row r="114" spans="1:4" s="9" customFormat="1" x14ac:dyDescent="0.2">
      <c r="A114" s="43"/>
      <c r="D114" s="15"/>
    </row>
    <row r="115" spans="1:4" s="9" customFormat="1" x14ac:dyDescent="0.2">
      <c r="A115" s="43"/>
      <c r="D115" s="15"/>
    </row>
    <row r="116" spans="1:4" s="9" customFormat="1" x14ac:dyDescent="0.2">
      <c r="A116" s="43"/>
      <c r="D116" s="15"/>
    </row>
    <row r="117" spans="1:4" s="9" customFormat="1" x14ac:dyDescent="0.2">
      <c r="A117" s="43"/>
      <c r="D117" s="15"/>
    </row>
    <row r="118" spans="1:4" s="9" customFormat="1" x14ac:dyDescent="0.2">
      <c r="A118" s="43"/>
      <c r="D118" s="15"/>
    </row>
    <row r="119" spans="1:4" s="9" customFormat="1" x14ac:dyDescent="0.2">
      <c r="A119" s="43"/>
      <c r="D119" s="15"/>
    </row>
    <row r="120" spans="1:4" s="9" customFormat="1" x14ac:dyDescent="0.2">
      <c r="A120" s="43"/>
      <c r="D120" s="15"/>
    </row>
    <row r="121" spans="1:4" s="9" customFormat="1" x14ac:dyDescent="0.2">
      <c r="A121" s="43"/>
      <c r="D121" s="15"/>
    </row>
    <row r="122" spans="1:4" s="9" customFormat="1" x14ac:dyDescent="0.2">
      <c r="A122" s="43"/>
      <c r="D122" s="15"/>
    </row>
    <row r="123" spans="1:4" s="9" customFormat="1" x14ac:dyDescent="0.2">
      <c r="A123" s="43"/>
      <c r="D123" s="15"/>
    </row>
    <row r="124" spans="1:4" s="9" customFormat="1" x14ac:dyDescent="0.2">
      <c r="A124" s="43"/>
      <c r="D124" s="15"/>
    </row>
    <row r="125" spans="1:4" s="9" customFormat="1" x14ac:dyDescent="0.2">
      <c r="A125" s="43"/>
      <c r="D125" s="15"/>
    </row>
    <row r="126" spans="1:4" s="9" customFormat="1" x14ac:dyDescent="0.2">
      <c r="A126" s="43"/>
      <c r="D126" s="15"/>
    </row>
    <row r="127" spans="1:4" s="9" customFormat="1" x14ac:dyDescent="0.2">
      <c r="A127" s="43"/>
      <c r="D127" s="15"/>
    </row>
    <row r="128" spans="1:4" s="9" customFormat="1" x14ac:dyDescent="0.2">
      <c r="A128" s="43"/>
      <c r="D128" s="15"/>
    </row>
    <row r="129" spans="1:4" s="9" customFormat="1" x14ac:dyDescent="0.2">
      <c r="A129" s="43"/>
      <c r="D129" s="15"/>
    </row>
    <row r="130" spans="1:4" s="9" customFormat="1" x14ac:dyDescent="0.2">
      <c r="A130" s="43"/>
      <c r="D130" s="15"/>
    </row>
    <row r="131" spans="1:4" s="9" customFormat="1" x14ac:dyDescent="0.2">
      <c r="A131" s="43"/>
      <c r="D131" s="15"/>
    </row>
    <row r="132" spans="1:4" s="9" customFormat="1" x14ac:dyDescent="0.2">
      <c r="A132" s="43"/>
      <c r="D132" s="15"/>
    </row>
    <row r="133" spans="1:4" s="9" customFormat="1" x14ac:dyDescent="0.2">
      <c r="A133" s="43"/>
      <c r="D133" s="15"/>
    </row>
    <row r="134" spans="1:4" s="9" customFormat="1" x14ac:dyDescent="0.2">
      <c r="A134" s="43"/>
      <c r="D134" s="15"/>
    </row>
    <row r="135" spans="1:4" s="9" customFormat="1" x14ac:dyDescent="0.2">
      <c r="A135" s="43"/>
      <c r="D135" s="15"/>
    </row>
    <row r="136" spans="1:4" s="9" customFormat="1" x14ac:dyDescent="0.2">
      <c r="A136" s="43"/>
      <c r="D136" s="15"/>
    </row>
    <row r="137" spans="1:4" s="9" customFormat="1" x14ac:dyDescent="0.2">
      <c r="A137" s="43"/>
      <c r="D137" s="15"/>
    </row>
    <row r="138" spans="1:4" s="9" customFormat="1" x14ac:dyDescent="0.2">
      <c r="A138" s="43"/>
      <c r="D138" s="15"/>
    </row>
    <row r="139" spans="1:4" s="9" customFormat="1" x14ac:dyDescent="0.2">
      <c r="A139" s="43"/>
      <c r="D139" s="15"/>
    </row>
    <row r="140" spans="1:4" s="9" customFormat="1" x14ac:dyDescent="0.2">
      <c r="A140" s="43"/>
      <c r="D140" s="15"/>
    </row>
    <row r="141" spans="1:4" s="9" customFormat="1" x14ac:dyDescent="0.2">
      <c r="A141" s="43"/>
      <c r="D141" s="15"/>
    </row>
    <row r="142" spans="1:4" s="9" customFormat="1" x14ac:dyDescent="0.2">
      <c r="A142" s="43"/>
      <c r="D142" s="15"/>
    </row>
    <row r="143" spans="1:4" s="9" customFormat="1" x14ac:dyDescent="0.2">
      <c r="A143" s="43"/>
      <c r="D143" s="15"/>
    </row>
    <row r="144" spans="1:4" s="9" customFormat="1" x14ac:dyDescent="0.2">
      <c r="A144" s="43"/>
      <c r="D144" s="15"/>
    </row>
    <row r="145" spans="1:4" s="9" customFormat="1" x14ac:dyDescent="0.2">
      <c r="A145" s="43"/>
      <c r="D145" s="15"/>
    </row>
    <row r="146" spans="1:4" s="9" customFormat="1" x14ac:dyDescent="0.2">
      <c r="A146" s="43"/>
      <c r="D146" s="15"/>
    </row>
    <row r="147" spans="1:4" s="9" customFormat="1" x14ac:dyDescent="0.2">
      <c r="A147" s="43"/>
      <c r="D147" s="15"/>
    </row>
    <row r="148" spans="1:4" s="9" customFormat="1" x14ac:dyDescent="0.2">
      <c r="A148" s="43"/>
      <c r="D148" s="15"/>
    </row>
    <row r="149" spans="1:4" s="9" customFormat="1" x14ac:dyDescent="0.2">
      <c r="A149" s="43"/>
      <c r="D149" s="15"/>
    </row>
    <row r="150" spans="1:4" s="9" customFormat="1" x14ac:dyDescent="0.2">
      <c r="A150" s="43"/>
      <c r="D150" s="15"/>
    </row>
    <row r="151" spans="1:4" s="9" customFormat="1" x14ac:dyDescent="0.2">
      <c r="A151" s="43"/>
      <c r="D151" s="15"/>
    </row>
    <row r="152" spans="1:4" s="9" customFormat="1" x14ac:dyDescent="0.2">
      <c r="A152" s="43"/>
      <c r="D152" s="15"/>
    </row>
    <row r="153" spans="1:4" s="9" customFormat="1" x14ac:dyDescent="0.2">
      <c r="A153" s="43"/>
      <c r="D153" s="15"/>
    </row>
    <row r="154" spans="1:4" s="9" customFormat="1" x14ac:dyDescent="0.2">
      <c r="A154" s="43"/>
      <c r="D154" s="15"/>
    </row>
    <row r="155" spans="1:4" s="9" customFormat="1" x14ac:dyDescent="0.2">
      <c r="A155" s="43"/>
      <c r="D155" s="15"/>
    </row>
    <row r="156" spans="1:4" s="9" customFormat="1" x14ac:dyDescent="0.2">
      <c r="A156" s="43"/>
      <c r="D156" s="15"/>
    </row>
    <row r="157" spans="1:4" s="9" customFormat="1" x14ac:dyDescent="0.2">
      <c r="A157" s="43"/>
      <c r="D157" s="15"/>
    </row>
    <row r="158" spans="1:4" s="9" customFormat="1" x14ac:dyDescent="0.2">
      <c r="A158" s="43"/>
      <c r="D158" s="15"/>
    </row>
    <row r="159" spans="1:4" s="9" customFormat="1" x14ac:dyDescent="0.2">
      <c r="A159" s="43"/>
      <c r="D159" s="15"/>
    </row>
    <row r="160" spans="1:4" s="9" customFormat="1" x14ac:dyDescent="0.2">
      <c r="A160" s="43"/>
      <c r="D160" s="15"/>
    </row>
    <row r="161" spans="1:4" s="9" customFormat="1" x14ac:dyDescent="0.2">
      <c r="A161" s="43"/>
      <c r="D161" s="15"/>
    </row>
    <row r="162" spans="1:4" s="9" customFormat="1" x14ac:dyDescent="0.2">
      <c r="A162" s="43"/>
      <c r="D162" s="15"/>
    </row>
    <row r="163" spans="1:4" s="9" customFormat="1" x14ac:dyDescent="0.2">
      <c r="A163" s="43"/>
      <c r="D163" s="15"/>
    </row>
    <row r="164" spans="1:4" s="9" customFormat="1" x14ac:dyDescent="0.2">
      <c r="A164" s="43"/>
      <c r="D164" s="15"/>
    </row>
    <row r="165" spans="1:4" s="9" customFormat="1" x14ac:dyDescent="0.2">
      <c r="A165" s="43"/>
      <c r="D165" s="15"/>
    </row>
    <row r="166" spans="1:4" s="9" customFormat="1" x14ac:dyDescent="0.2">
      <c r="A166" s="43"/>
      <c r="D166" s="15"/>
    </row>
    <row r="167" spans="1:4" s="9" customFormat="1" x14ac:dyDescent="0.2">
      <c r="A167" s="43"/>
      <c r="D167" s="15"/>
    </row>
    <row r="168" spans="1:4" s="9" customFormat="1" x14ac:dyDescent="0.2">
      <c r="A168" s="43"/>
      <c r="D168" s="15"/>
    </row>
    <row r="169" spans="1:4" s="9" customFormat="1" x14ac:dyDescent="0.2">
      <c r="A169" s="43"/>
      <c r="D169" s="15"/>
    </row>
    <row r="170" spans="1:4" s="9" customFormat="1" x14ac:dyDescent="0.2">
      <c r="A170" s="43"/>
      <c r="D170" s="15"/>
    </row>
    <row r="171" spans="1:4" s="9" customFormat="1" x14ac:dyDescent="0.2">
      <c r="A171" s="43"/>
      <c r="D171" s="15"/>
    </row>
    <row r="172" spans="1:4" s="9" customFormat="1" x14ac:dyDescent="0.2">
      <c r="A172" s="43"/>
      <c r="D172" s="15"/>
    </row>
  </sheetData>
  <mergeCells count="3">
    <mergeCell ref="B24:C24"/>
    <mergeCell ref="B43:C43"/>
    <mergeCell ref="B44:C44"/>
  </mergeCells>
  <hyperlinks>
    <hyperlink ref="B55" r:id="rId1" display="http://www.who.int/classifications/icd/en/"/>
    <hyperlink ref="B55:C55" r:id="rId2" display=" http://www.who.int/classifications/icd/en/"/>
  </hyperlinks>
  <pageMargins left="0.74803149606299213" right="0.74803149606299213" top="0.98425196850393704" bottom="0.98425196850393704" header="0.51181102362204722" footer="0.51181102362204722"/>
  <pageSetup paperSize="9" scale="68" orientation="portrait" r:id="rId3"/>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000"/>
  <sheetViews>
    <sheetView tabSelected="1" zoomScaleNormal="100" workbookViewId="0"/>
  </sheetViews>
  <sheetFormatPr defaultRowHeight="12.75" x14ac:dyDescent="0.2"/>
  <cols>
    <col min="1" max="1" width="40.7109375" style="65" bestFit="1" customWidth="1"/>
    <col min="2" max="2" width="9.140625" style="65"/>
    <col min="3" max="3" width="11.42578125" style="65" bestFit="1" customWidth="1"/>
    <col min="4" max="4" width="26.7109375" style="65" bestFit="1" customWidth="1"/>
    <col min="5" max="5" width="9.140625" style="65"/>
    <col min="6" max="6" width="9.5703125" style="65" bestFit="1" customWidth="1"/>
    <col min="7" max="253" width="9.140625" style="65"/>
    <col min="254" max="254" width="40.7109375" style="65" bestFit="1" customWidth="1"/>
    <col min="255" max="255" width="9.140625" style="65"/>
    <col min="256" max="256" width="11.42578125" style="65" bestFit="1" customWidth="1"/>
    <col min="257" max="257" width="26.7109375" style="65" bestFit="1" customWidth="1"/>
    <col min="258" max="258" width="9.140625" style="65"/>
    <col min="259" max="259" width="9.5703125" style="65" bestFit="1" customWidth="1"/>
    <col min="260" max="509" width="9.140625" style="65"/>
    <col min="510" max="510" width="40.7109375" style="65" bestFit="1" customWidth="1"/>
    <col min="511" max="511" width="9.140625" style="65"/>
    <col min="512" max="512" width="11.42578125" style="65" bestFit="1" customWidth="1"/>
    <col min="513" max="513" width="26.7109375" style="65" bestFit="1" customWidth="1"/>
    <col min="514" max="514" width="9.140625" style="65"/>
    <col min="515" max="515" width="9.5703125" style="65" bestFit="1" customWidth="1"/>
    <col min="516" max="765" width="9.140625" style="65"/>
    <col min="766" max="766" width="40.7109375" style="65" bestFit="1" customWidth="1"/>
    <col min="767" max="767" width="9.140625" style="65"/>
    <col min="768" max="768" width="11.42578125" style="65" bestFit="1" customWidth="1"/>
    <col min="769" max="769" width="26.7109375" style="65" bestFit="1" customWidth="1"/>
    <col min="770" max="770" width="9.140625" style="65"/>
    <col min="771" max="771" width="9.5703125" style="65" bestFit="1" customWidth="1"/>
    <col min="772" max="1021" width="9.140625" style="65"/>
    <col min="1022" max="1022" width="40.7109375" style="65" bestFit="1" customWidth="1"/>
    <col min="1023" max="1023" width="9.140625" style="65"/>
    <col min="1024" max="1024" width="11.42578125" style="65" bestFit="1" customWidth="1"/>
    <col min="1025" max="1025" width="26.7109375" style="65" bestFit="1" customWidth="1"/>
    <col min="1026" max="1026" width="9.140625" style="65"/>
    <col min="1027" max="1027" width="9.5703125" style="65" bestFit="1" customWidth="1"/>
    <col min="1028" max="1277" width="9.140625" style="65"/>
    <col min="1278" max="1278" width="40.7109375" style="65" bestFit="1" customWidth="1"/>
    <col min="1279" max="1279" width="9.140625" style="65"/>
    <col min="1280" max="1280" width="11.42578125" style="65" bestFit="1" customWidth="1"/>
    <col min="1281" max="1281" width="26.7109375" style="65" bestFit="1" customWidth="1"/>
    <col min="1282" max="1282" width="9.140625" style="65"/>
    <col min="1283" max="1283" width="9.5703125" style="65" bestFit="1" customWidth="1"/>
    <col min="1284" max="1533" width="9.140625" style="65"/>
    <col min="1534" max="1534" width="40.7109375" style="65" bestFit="1" customWidth="1"/>
    <col min="1535" max="1535" width="9.140625" style="65"/>
    <col min="1536" max="1536" width="11.42578125" style="65" bestFit="1" customWidth="1"/>
    <col min="1537" max="1537" width="26.7109375" style="65" bestFit="1" customWidth="1"/>
    <col min="1538" max="1538" width="9.140625" style="65"/>
    <col min="1539" max="1539" width="9.5703125" style="65" bestFit="1" customWidth="1"/>
    <col min="1540" max="1789" width="9.140625" style="65"/>
    <col min="1790" max="1790" width="40.7109375" style="65" bestFit="1" customWidth="1"/>
    <col min="1791" max="1791" width="9.140625" style="65"/>
    <col min="1792" max="1792" width="11.42578125" style="65" bestFit="1" customWidth="1"/>
    <col min="1793" max="1793" width="26.7109375" style="65" bestFit="1" customWidth="1"/>
    <col min="1794" max="1794" width="9.140625" style="65"/>
    <col min="1795" max="1795" width="9.5703125" style="65" bestFit="1" customWidth="1"/>
    <col min="1796" max="2045" width="9.140625" style="65"/>
    <col min="2046" max="2046" width="40.7109375" style="65" bestFit="1" customWidth="1"/>
    <col min="2047" max="2047" width="9.140625" style="65"/>
    <col min="2048" max="2048" width="11.42578125" style="65" bestFit="1" customWidth="1"/>
    <col min="2049" max="2049" width="26.7109375" style="65" bestFit="1" customWidth="1"/>
    <col min="2050" max="2050" width="9.140625" style="65"/>
    <col min="2051" max="2051" width="9.5703125" style="65" bestFit="1" customWidth="1"/>
    <col min="2052" max="2301" width="9.140625" style="65"/>
    <col min="2302" max="2302" width="40.7109375" style="65" bestFit="1" customWidth="1"/>
    <col min="2303" max="2303" width="9.140625" style="65"/>
    <col min="2304" max="2304" width="11.42578125" style="65" bestFit="1" customWidth="1"/>
    <col min="2305" max="2305" width="26.7109375" style="65" bestFit="1" customWidth="1"/>
    <col min="2306" max="2306" width="9.140625" style="65"/>
    <col min="2307" max="2307" width="9.5703125" style="65" bestFit="1" customWidth="1"/>
    <col min="2308" max="2557" width="9.140625" style="65"/>
    <col min="2558" max="2558" width="40.7109375" style="65" bestFit="1" customWidth="1"/>
    <col min="2559" max="2559" width="9.140625" style="65"/>
    <col min="2560" max="2560" width="11.42578125" style="65" bestFit="1" customWidth="1"/>
    <col min="2561" max="2561" width="26.7109375" style="65" bestFit="1" customWidth="1"/>
    <col min="2562" max="2562" width="9.140625" style="65"/>
    <col min="2563" max="2563" width="9.5703125" style="65" bestFit="1" customWidth="1"/>
    <col min="2564" max="2813" width="9.140625" style="65"/>
    <col min="2814" max="2814" width="40.7109375" style="65" bestFit="1" customWidth="1"/>
    <col min="2815" max="2815" width="9.140625" style="65"/>
    <col min="2816" max="2816" width="11.42578125" style="65" bestFit="1" customWidth="1"/>
    <col min="2817" max="2817" width="26.7109375" style="65" bestFit="1" customWidth="1"/>
    <col min="2818" max="2818" width="9.140625" style="65"/>
    <col min="2819" max="2819" width="9.5703125" style="65" bestFit="1" customWidth="1"/>
    <col min="2820" max="3069" width="9.140625" style="65"/>
    <col min="3070" max="3070" width="40.7109375" style="65" bestFit="1" customWidth="1"/>
    <col min="3071" max="3071" width="9.140625" style="65"/>
    <col min="3072" max="3072" width="11.42578125" style="65" bestFit="1" customWidth="1"/>
    <col min="3073" max="3073" width="26.7109375" style="65" bestFit="1" customWidth="1"/>
    <col min="3074" max="3074" width="9.140625" style="65"/>
    <col min="3075" max="3075" width="9.5703125" style="65" bestFit="1" customWidth="1"/>
    <col min="3076" max="3325" width="9.140625" style="65"/>
    <col min="3326" max="3326" width="40.7109375" style="65" bestFit="1" customWidth="1"/>
    <col min="3327" max="3327" width="9.140625" style="65"/>
    <col min="3328" max="3328" width="11.42578125" style="65" bestFit="1" customWidth="1"/>
    <col min="3329" max="3329" width="26.7109375" style="65" bestFit="1" customWidth="1"/>
    <col min="3330" max="3330" width="9.140625" style="65"/>
    <col min="3331" max="3331" width="9.5703125" style="65" bestFit="1" customWidth="1"/>
    <col min="3332" max="3581" width="9.140625" style="65"/>
    <col min="3582" max="3582" width="40.7109375" style="65" bestFit="1" customWidth="1"/>
    <col min="3583" max="3583" width="9.140625" style="65"/>
    <col min="3584" max="3584" width="11.42578125" style="65" bestFit="1" customWidth="1"/>
    <col min="3585" max="3585" width="26.7109375" style="65" bestFit="1" customWidth="1"/>
    <col min="3586" max="3586" width="9.140625" style="65"/>
    <col min="3587" max="3587" width="9.5703125" style="65" bestFit="1" customWidth="1"/>
    <col min="3588" max="3837" width="9.140625" style="65"/>
    <col min="3838" max="3838" width="40.7109375" style="65" bestFit="1" customWidth="1"/>
    <col min="3839" max="3839" width="9.140625" style="65"/>
    <col min="3840" max="3840" width="11.42578125" style="65" bestFit="1" customWidth="1"/>
    <col min="3841" max="3841" width="26.7109375" style="65" bestFit="1" customWidth="1"/>
    <col min="3842" max="3842" width="9.140625" style="65"/>
    <col min="3843" max="3843" width="9.5703125" style="65" bestFit="1" customWidth="1"/>
    <col min="3844" max="4093" width="9.140625" style="65"/>
    <col min="4094" max="4094" width="40.7109375" style="65" bestFit="1" customWidth="1"/>
    <col min="4095" max="4095" width="9.140625" style="65"/>
    <col min="4096" max="4096" width="11.42578125" style="65" bestFit="1" customWidth="1"/>
    <col min="4097" max="4097" width="26.7109375" style="65" bestFit="1" customWidth="1"/>
    <col min="4098" max="4098" width="9.140625" style="65"/>
    <col min="4099" max="4099" width="9.5703125" style="65" bestFit="1" customWidth="1"/>
    <col min="4100" max="4349" width="9.140625" style="65"/>
    <col min="4350" max="4350" width="40.7109375" style="65" bestFit="1" customWidth="1"/>
    <col min="4351" max="4351" width="9.140625" style="65"/>
    <col min="4352" max="4352" width="11.42578125" style="65" bestFit="1" customWidth="1"/>
    <col min="4353" max="4353" width="26.7109375" style="65" bestFit="1" customWidth="1"/>
    <col min="4354" max="4354" width="9.140625" style="65"/>
    <col min="4355" max="4355" width="9.5703125" style="65" bestFit="1" customWidth="1"/>
    <col min="4356" max="4605" width="9.140625" style="65"/>
    <col min="4606" max="4606" width="40.7109375" style="65" bestFit="1" customWidth="1"/>
    <col min="4607" max="4607" width="9.140625" style="65"/>
    <col min="4608" max="4608" width="11.42578125" style="65" bestFit="1" customWidth="1"/>
    <col min="4609" max="4609" width="26.7109375" style="65" bestFit="1" customWidth="1"/>
    <col min="4610" max="4610" width="9.140625" style="65"/>
    <col min="4611" max="4611" width="9.5703125" style="65" bestFit="1" customWidth="1"/>
    <col min="4612" max="4861" width="9.140625" style="65"/>
    <col min="4862" max="4862" width="40.7109375" style="65" bestFit="1" customWidth="1"/>
    <col min="4863" max="4863" width="9.140625" style="65"/>
    <col min="4864" max="4864" width="11.42578125" style="65" bestFit="1" customWidth="1"/>
    <col min="4865" max="4865" width="26.7109375" style="65" bestFit="1" customWidth="1"/>
    <col min="4866" max="4866" width="9.140625" style="65"/>
    <col min="4867" max="4867" width="9.5703125" style="65" bestFit="1" customWidth="1"/>
    <col min="4868" max="5117" width="9.140625" style="65"/>
    <col min="5118" max="5118" width="40.7109375" style="65" bestFit="1" customWidth="1"/>
    <col min="5119" max="5119" width="9.140625" style="65"/>
    <col min="5120" max="5120" width="11.42578125" style="65" bestFit="1" customWidth="1"/>
    <col min="5121" max="5121" width="26.7109375" style="65" bestFit="1" customWidth="1"/>
    <col min="5122" max="5122" width="9.140625" style="65"/>
    <col min="5123" max="5123" width="9.5703125" style="65" bestFit="1" customWidth="1"/>
    <col min="5124" max="5373" width="9.140625" style="65"/>
    <col min="5374" max="5374" width="40.7109375" style="65" bestFit="1" customWidth="1"/>
    <col min="5375" max="5375" width="9.140625" style="65"/>
    <col min="5376" max="5376" width="11.42578125" style="65" bestFit="1" customWidth="1"/>
    <col min="5377" max="5377" width="26.7109375" style="65" bestFit="1" customWidth="1"/>
    <col min="5378" max="5378" width="9.140625" style="65"/>
    <col min="5379" max="5379" width="9.5703125" style="65" bestFit="1" customWidth="1"/>
    <col min="5380" max="5629" width="9.140625" style="65"/>
    <col min="5630" max="5630" width="40.7109375" style="65" bestFit="1" customWidth="1"/>
    <col min="5631" max="5631" width="9.140625" style="65"/>
    <col min="5632" max="5632" width="11.42578125" style="65" bestFit="1" customWidth="1"/>
    <col min="5633" max="5633" width="26.7109375" style="65" bestFit="1" customWidth="1"/>
    <col min="5634" max="5634" width="9.140625" style="65"/>
    <col min="5635" max="5635" width="9.5703125" style="65" bestFit="1" customWidth="1"/>
    <col min="5636" max="5885" width="9.140625" style="65"/>
    <col min="5886" max="5886" width="40.7109375" style="65" bestFit="1" customWidth="1"/>
    <col min="5887" max="5887" width="9.140625" style="65"/>
    <col min="5888" max="5888" width="11.42578125" style="65" bestFit="1" customWidth="1"/>
    <col min="5889" max="5889" width="26.7109375" style="65" bestFit="1" customWidth="1"/>
    <col min="5890" max="5890" width="9.140625" style="65"/>
    <col min="5891" max="5891" width="9.5703125" style="65" bestFit="1" customWidth="1"/>
    <col min="5892" max="6141" width="9.140625" style="65"/>
    <col min="6142" max="6142" width="40.7109375" style="65" bestFit="1" customWidth="1"/>
    <col min="6143" max="6143" width="9.140625" style="65"/>
    <col min="6144" max="6144" width="11.42578125" style="65" bestFit="1" customWidth="1"/>
    <col min="6145" max="6145" width="26.7109375" style="65" bestFit="1" customWidth="1"/>
    <col min="6146" max="6146" width="9.140625" style="65"/>
    <col min="6147" max="6147" width="9.5703125" style="65" bestFit="1" customWidth="1"/>
    <col min="6148" max="6397" width="9.140625" style="65"/>
    <col min="6398" max="6398" width="40.7109375" style="65" bestFit="1" customWidth="1"/>
    <col min="6399" max="6399" width="9.140625" style="65"/>
    <col min="6400" max="6400" width="11.42578125" style="65" bestFit="1" customWidth="1"/>
    <col min="6401" max="6401" width="26.7109375" style="65" bestFit="1" customWidth="1"/>
    <col min="6402" max="6402" width="9.140625" style="65"/>
    <col min="6403" max="6403" width="9.5703125" style="65" bestFit="1" customWidth="1"/>
    <col min="6404" max="6653" width="9.140625" style="65"/>
    <col min="6654" max="6654" width="40.7109375" style="65" bestFit="1" customWidth="1"/>
    <col min="6655" max="6655" width="9.140625" style="65"/>
    <col min="6656" max="6656" width="11.42578125" style="65" bestFit="1" customWidth="1"/>
    <col min="6657" max="6657" width="26.7109375" style="65" bestFit="1" customWidth="1"/>
    <col min="6658" max="6658" width="9.140625" style="65"/>
    <col min="6659" max="6659" width="9.5703125" style="65" bestFit="1" customWidth="1"/>
    <col min="6660" max="6909" width="9.140625" style="65"/>
    <col min="6910" max="6910" width="40.7109375" style="65" bestFit="1" customWidth="1"/>
    <col min="6911" max="6911" width="9.140625" style="65"/>
    <col min="6912" max="6912" width="11.42578125" style="65" bestFit="1" customWidth="1"/>
    <col min="6913" max="6913" width="26.7109375" style="65" bestFit="1" customWidth="1"/>
    <col min="6914" max="6914" width="9.140625" style="65"/>
    <col min="6915" max="6915" width="9.5703125" style="65" bestFit="1" customWidth="1"/>
    <col min="6916" max="7165" width="9.140625" style="65"/>
    <col min="7166" max="7166" width="40.7109375" style="65" bestFit="1" customWidth="1"/>
    <col min="7167" max="7167" width="9.140625" style="65"/>
    <col min="7168" max="7168" width="11.42578125" style="65" bestFit="1" customWidth="1"/>
    <col min="7169" max="7169" width="26.7109375" style="65" bestFit="1" customWidth="1"/>
    <col min="7170" max="7170" width="9.140625" style="65"/>
    <col min="7171" max="7171" width="9.5703125" style="65" bestFit="1" customWidth="1"/>
    <col min="7172" max="7421" width="9.140625" style="65"/>
    <col min="7422" max="7422" width="40.7109375" style="65" bestFit="1" customWidth="1"/>
    <col min="7423" max="7423" width="9.140625" style="65"/>
    <col min="7424" max="7424" width="11.42578125" style="65" bestFit="1" customWidth="1"/>
    <col min="7425" max="7425" width="26.7109375" style="65" bestFit="1" customWidth="1"/>
    <col min="7426" max="7426" width="9.140625" style="65"/>
    <col min="7427" max="7427" width="9.5703125" style="65" bestFit="1" customWidth="1"/>
    <col min="7428" max="7677" width="9.140625" style="65"/>
    <col min="7678" max="7678" width="40.7109375" style="65" bestFit="1" customWidth="1"/>
    <col min="7679" max="7679" width="9.140625" style="65"/>
    <col min="7680" max="7680" width="11.42578125" style="65" bestFit="1" customWidth="1"/>
    <col min="7681" max="7681" width="26.7109375" style="65" bestFit="1" customWidth="1"/>
    <col min="7682" max="7682" width="9.140625" style="65"/>
    <col min="7683" max="7683" width="9.5703125" style="65" bestFit="1" customWidth="1"/>
    <col min="7684" max="7933" width="9.140625" style="65"/>
    <col min="7934" max="7934" width="40.7109375" style="65" bestFit="1" customWidth="1"/>
    <col min="7935" max="7935" width="9.140625" style="65"/>
    <col min="7936" max="7936" width="11.42578125" style="65" bestFit="1" customWidth="1"/>
    <col min="7937" max="7937" width="26.7109375" style="65" bestFit="1" customWidth="1"/>
    <col min="7938" max="7938" width="9.140625" style="65"/>
    <col min="7939" max="7939" width="9.5703125" style="65" bestFit="1" customWidth="1"/>
    <col min="7940" max="8189" width="9.140625" style="65"/>
    <col min="8190" max="8190" width="40.7109375" style="65" bestFit="1" customWidth="1"/>
    <col min="8191" max="8191" width="9.140625" style="65"/>
    <col min="8192" max="8192" width="11.42578125" style="65" bestFit="1" customWidth="1"/>
    <col min="8193" max="8193" width="26.7109375" style="65" bestFit="1" customWidth="1"/>
    <col min="8194" max="8194" width="9.140625" style="65"/>
    <col min="8195" max="8195" width="9.5703125" style="65" bestFit="1" customWidth="1"/>
    <col min="8196" max="8445" width="9.140625" style="65"/>
    <col min="8446" max="8446" width="40.7109375" style="65" bestFit="1" customWidth="1"/>
    <col min="8447" max="8447" width="9.140625" style="65"/>
    <col min="8448" max="8448" width="11.42578125" style="65" bestFit="1" customWidth="1"/>
    <col min="8449" max="8449" width="26.7109375" style="65" bestFit="1" customWidth="1"/>
    <col min="8450" max="8450" width="9.140625" style="65"/>
    <col min="8451" max="8451" width="9.5703125" style="65" bestFit="1" customWidth="1"/>
    <col min="8452" max="8701" width="9.140625" style="65"/>
    <col min="8702" max="8702" width="40.7109375" style="65" bestFit="1" customWidth="1"/>
    <col min="8703" max="8703" width="9.140625" style="65"/>
    <col min="8704" max="8704" width="11.42578125" style="65" bestFit="1" customWidth="1"/>
    <col min="8705" max="8705" width="26.7109375" style="65" bestFit="1" customWidth="1"/>
    <col min="8706" max="8706" width="9.140625" style="65"/>
    <col min="8707" max="8707" width="9.5703125" style="65" bestFit="1" customWidth="1"/>
    <col min="8708" max="8957" width="9.140625" style="65"/>
    <col min="8958" max="8958" width="40.7109375" style="65" bestFit="1" customWidth="1"/>
    <col min="8959" max="8959" width="9.140625" style="65"/>
    <col min="8960" max="8960" width="11.42578125" style="65" bestFit="1" customWidth="1"/>
    <col min="8961" max="8961" width="26.7109375" style="65" bestFit="1" customWidth="1"/>
    <col min="8962" max="8962" width="9.140625" style="65"/>
    <col min="8963" max="8963" width="9.5703125" style="65" bestFit="1" customWidth="1"/>
    <col min="8964" max="9213" width="9.140625" style="65"/>
    <col min="9214" max="9214" width="40.7109375" style="65" bestFit="1" customWidth="1"/>
    <col min="9215" max="9215" width="9.140625" style="65"/>
    <col min="9216" max="9216" width="11.42578125" style="65" bestFit="1" customWidth="1"/>
    <col min="9217" max="9217" width="26.7109375" style="65" bestFit="1" customWidth="1"/>
    <col min="9218" max="9218" width="9.140625" style="65"/>
    <col min="9219" max="9219" width="9.5703125" style="65" bestFit="1" customWidth="1"/>
    <col min="9220" max="9469" width="9.140625" style="65"/>
    <col min="9470" max="9470" width="40.7109375" style="65" bestFit="1" customWidth="1"/>
    <col min="9471" max="9471" width="9.140625" style="65"/>
    <col min="9472" max="9472" width="11.42578125" style="65" bestFit="1" customWidth="1"/>
    <col min="9473" max="9473" width="26.7109375" style="65" bestFit="1" customWidth="1"/>
    <col min="9474" max="9474" width="9.140625" style="65"/>
    <col min="9475" max="9475" width="9.5703125" style="65" bestFit="1" customWidth="1"/>
    <col min="9476" max="9725" width="9.140625" style="65"/>
    <col min="9726" max="9726" width="40.7109375" style="65" bestFit="1" customWidth="1"/>
    <col min="9727" max="9727" width="9.140625" style="65"/>
    <col min="9728" max="9728" width="11.42578125" style="65" bestFit="1" customWidth="1"/>
    <col min="9729" max="9729" width="26.7109375" style="65" bestFit="1" customWidth="1"/>
    <col min="9730" max="9730" width="9.140625" style="65"/>
    <col min="9731" max="9731" width="9.5703125" style="65" bestFit="1" customWidth="1"/>
    <col min="9732" max="9981" width="9.140625" style="65"/>
    <col min="9982" max="9982" width="40.7109375" style="65" bestFit="1" customWidth="1"/>
    <col min="9983" max="9983" width="9.140625" style="65"/>
    <col min="9984" max="9984" width="11.42578125" style="65" bestFit="1" customWidth="1"/>
    <col min="9985" max="9985" width="26.7109375" style="65" bestFit="1" customWidth="1"/>
    <col min="9986" max="9986" width="9.140625" style="65"/>
    <col min="9987" max="9987" width="9.5703125" style="65" bestFit="1" customWidth="1"/>
    <col min="9988" max="10237" width="9.140625" style="65"/>
    <col min="10238" max="10238" width="40.7109375" style="65" bestFit="1" customWidth="1"/>
    <col min="10239" max="10239" width="9.140625" style="65"/>
    <col min="10240" max="10240" width="11.42578125" style="65" bestFit="1" customWidth="1"/>
    <col min="10241" max="10241" width="26.7109375" style="65" bestFit="1" customWidth="1"/>
    <col min="10242" max="10242" width="9.140625" style="65"/>
    <col min="10243" max="10243" width="9.5703125" style="65" bestFit="1" customWidth="1"/>
    <col min="10244" max="10493" width="9.140625" style="65"/>
    <col min="10494" max="10494" width="40.7109375" style="65" bestFit="1" customWidth="1"/>
    <col min="10495" max="10495" width="9.140625" style="65"/>
    <col min="10496" max="10496" width="11.42578125" style="65" bestFit="1" customWidth="1"/>
    <col min="10497" max="10497" width="26.7109375" style="65" bestFit="1" customWidth="1"/>
    <col min="10498" max="10498" width="9.140625" style="65"/>
    <col min="10499" max="10499" width="9.5703125" style="65" bestFit="1" customWidth="1"/>
    <col min="10500" max="10749" width="9.140625" style="65"/>
    <col min="10750" max="10750" width="40.7109375" style="65" bestFit="1" customWidth="1"/>
    <col min="10751" max="10751" width="9.140625" style="65"/>
    <col min="10752" max="10752" width="11.42578125" style="65" bestFit="1" customWidth="1"/>
    <col min="10753" max="10753" width="26.7109375" style="65" bestFit="1" customWidth="1"/>
    <col min="10754" max="10754" width="9.140625" style="65"/>
    <col min="10755" max="10755" width="9.5703125" style="65" bestFit="1" customWidth="1"/>
    <col min="10756" max="11005" width="9.140625" style="65"/>
    <col min="11006" max="11006" width="40.7109375" style="65" bestFit="1" customWidth="1"/>
    <col min="11007" max="11007" width="9.140625" style="65"/>
    <col min="11008" max="11008" width="11.42578125" style="65" bestFit="1" customWidth="1"/>
    <col min="11009" max="11009" width="26.7109375" style="65" bestFit="1" customWidth="1"/>
    <col min="11010" max="11010" width="9.140625" style="65"/>
    <col min="11011" max="11011" width="9.5703125" style="65" bestFit="1" customWidth="1"/>
    <col min="11012" max="11261" width="9.140625" style="65"/>
    <col min="11262" max="11262" width="40.7109375" style="65" bestFit="1" customWidth="1"/>
    <col min="11263" max="11263" width="9.140625" style="65"/>
    <col min="11264" max="11264" width="11.42578125" style="65" bestFit="1" customWidth="1"/>
    <col min="11265" max="11265" width="26.7109375" style="65" bestFit="1" customWidth="1"/>
    <col min="11266" max="11266" width="9.140625" style="65"/>
    <col min="11267" max="11267" width="9.5703125" style="65" bestFit="1" customWidth="1"/>
    <col min="11268" max="11517" width="9.140625" style="65"/>
    <col min="11518" max="11518" width="40.7109375" style="65" bestFit="1" customWidth="1"/>
    <col min="11519" max="11519" width="9.140625" style="65"/>
    <col min="11520" max="11520" width="11.42578125" style="65" bestFit="1" customWidth="1"/>
    <col min="11521" max="11521" width="26.7109375" style="65" bestFit="1" customWidth="1"/>
    <col min="11522" max="11522" width="9.140625" style="65"/>
    <col min="11523" max="11523" width="9.5703125" style="65" bestFit="1" customWidth="1"/>
    <col min="11524" max="11773" width="9.140625" style="65"/>
    <col min="11774" max="11774" width="40.7109375" style="65" bestFit="1" customWidth="1"/>
    <col min="11775" max="11775" width="9.140625" style="65"/>
    <col min="11776" max="11776" width="11.42578125" style="65" bestFit="1" customWidth="1"/>
    <col min="11777" max="11777" width="26.7109375" style="65" bestFit="1" customWidth="1"/>
    <col min="11778" max="11778" width="9.140625" style="65"/>
    <col min="11779" max="11779" width="9.5703125" style="65" bestFit="1" customWidth="1"/>
    <col min="11780" max="12029" width="9.140625" style="65"/>
    <col min="12030" max="12030" width="40.7109375" style="65" bestFit="1" customWidth="1"/>
    <col min="12031" max="12031" width="9.140625" style="65"/>
    <col min="12032" max="12032" width="11.42578125" style="65" bestFit="1" customWidth="1"/>
    <col min="12033" max="12033" width="26.7109375" style="65" bestFit="1" customWidth="1"/>
    <col min="12034" max="12034" width="9.140625" style="65"/>
    <col min="12035" max="12035" width="9.5703125" style="65" bestFit="1" customWidth="1"/>
    <col min="12036" max="12285" width="9.140625" style="65"/>
    <col min="12286" max="12286" width="40.7109375" style="65" bestFit="1" customWidth="1"/>
    <col min="12287" max="12287" width="9.140625" style="65"/>
    <col min="12288" max="12288" width="11.42578125" style="65" bestFit="1" customWidth="1"/>
    <col min="12289" max="12289" width="26.7109375" style="65" bestFit="1" customWidth="1"/>
    <col min="12290" max="12290" width="9.140625" style="65"/>
    <col min="12291" max="12291" width="9.5703125" style="65" bestFit="1" customWidth="1"/>
    <col min="12292" max="12541" width="9.140625" style="65"/>
    <col min="12542" max="12542" width="40.7109375" style="65" bestFit="1" customWidth="1"/>
    <col min="12543" max="12543" width="9.140625" style="65"/>
    <col min="12544" max="12544" width="11.42578125" style="65" bestFit="1" customWidth="1"/>
    <col min="12545" max="12545" width="26.7109375" style="65" bestFit="1" customWidth="1"/>
    <col min="12546" max="12546" width="9.140625" style="65"/>
    <col min="12547" max="12547" width="9.5703125" style="65" bestFit="1" customWidth="1"/>
    <col min="12548" max="12797" width="9.140625" style="65"/>
    <col min="12798" max="12798" width="40.7109375" style="65" bestFit="1" customWidth="1"/>
    <col min="12799" max="12799" width="9.140625" style="65"/>
    <col min="12800" max="12800" width="11.42578125" style="65" bestFit="1" customWidth="1"/>
    <col min="12801" max="12801" width="26.7109375" style="65" bestFit="1" customWidth="1"/>
    <col min="12802" max="12802" width="9.140625" style="65"/>
    <col min="12803" max="12803" width="9.5703125" style="65" bestFit="1" customWidth="1"/>
    <col min="12804" max="13053" width="9.140625" style="65"/>
    <col min="13054" max="13054" width="40.7109375" style="65" bestFit="1" customWidth="1"/>
    <col min="13055" max="13055" width="9.140625" style="65"/>
    <col min="13056" max="13056" width="11.42578125" style="65" bestFit="1" customWidth="1"/>
    <col min="13057" max="13057" width="26.7109375" style="65" bestFit="1" customWidth="1"/>
    <col min="13058" max="13058" width="9.140625" style="65"/>
    <col min="13059" max="13059" width="9.5703125" style="65" bestFit="1" customWidth="1"/>
    <col min="13060" max="13309" width="9.140625" style="65"/>
    <col min="13310" max="13310" width="40.7109375" style="65" bestFit="1" customWidth="1"/>
    <col min="13311" max="13311" width="9.140625" style="65"/>
    <col min="13312" max="13312" width="11.42578125" style="65" bestFit="1" customWidth="1"/>
    <col min="13313" max="13313" width="26.7109375" style="65" bestFit="1" customWidth="1"/>
    <col min="13314" max="13314" width="9.140625" style="65"/>
    <col min="13315" max="13315" width="9.5703125" style="65" bestFit="1" customWidth="1"/>
    <col min="13316" max="13565" width="9.140625" style="65"/>
    <col min="13566" max="13566" width="40.7109375" style="65" bestFit="1" customWidth="1"/>
    <col min="13567" max="13567" width="9.140625" style="65"/>
    <col min="13568" max="13568" width="11.42578125" style="65" bestFit="1" customWidth="1"/>
    <col min="13569" max="13569" width="26.7109375" style="65" bestFit="1" customWidth="1"/>
    <col min="13570" max="13570" width="9.140625" style="65"/>
    <col min="13571" max="13571" width="9.5703125" style="65" bestFit="1" customWidth="1"/>
    <col min="13572" max="13821" width="9.140625" style="65"/>
    <col min="13822" max="13822" width="40.7109375" style="65" bestFit="1" customWidth="1"/>
    <col min="13823" max="13823" width="9.140625" style="65"/>
    <col min="13824" max="13824" width="11.42578125" style="65" bestFit="1" customWidth="1"/>
    <col min="13825" max="13825" width="26.7109375" style="65" bestFit="1" customWidth="1"/>
    <col min="13826" max="13826" width="9.140625" style="65"/>
    <col min="13827" max="13827" width="9.5703125" style="65" bestFit="1" customWidth="1"/>
    <col min="13828" max="14077" width="9.140625" style="65"/>
    <col min="14078" max="14078" width="40.7109375" style="65" bestFit="1" customWidth="1"/>
    <col min="14079" max="14079" width="9.140625" style="65"/>
    <col min="14080" max="14080" width="11.42578125" style="65" bestFit="1" customWidth="1"/>
    <col min="14081" max="14081" width="26.7109375" style="65" bestFit="1" customWidth="1"/>
    <col min="14082" max="14082" width="9.140625" style="65"/>
    <col min="14083" max="14083" width="9.5703125" style="65" bestFit="1" customWidth="1"/>
    <col min="14084" max="14333" width="9.140625" style="65"/>
    <col min="14334" max="14334" width="40.7109375" style="65" bestFit="1" customWidth="1"/>
    <col min="14335" max="14335" width="9.140625" style="65"/>
    <col min="14336" max="14336" width="11.42578125" style="65" bestFit="1" customWidth="1"/>
    <col min="14337" max="14337" width="26.7109375" style="65" bestFit="1" customWidth="1"/>
    <col min="14338" max="14338" width="9.140625" style="65"/>
    <col min="14339" max="14339" width="9.5703125" style="65" bestFit="1" customWidth="1"/>
    <col min="14340" max="14589" width="9.140625" style="65"/>
    <col min="14590" max="14590" width="40.7109375" style="65" bestFit="1" customWidth="1"/>
    <col min="14591" max="14591" width="9.140625" style="65"/>
    <col min="14592" max="14592" width="11.42578125" style="65" bestFit="1" customWidth="1"/>
    <col min="14593" max="14593" width="26.7109375" style="65" bestFit="1" customWidth="1"/>
    <col min="14594" max="14594" width="9.140625" style="65"/>
    <col min="14595" max="14595" width="9.5703125" style="65" bestFit="1" customWidth="1"/>
    <col min="14596" max="14845" width="9.140625" style="65"/>
    <col min="14846" max="14846" width="40.7109375" style="65" bestFit="1" customWidth="1"/>
    <col min="14847" max="14847" width="9.140625" style="65"/>
    <col min="14848" max="14848" width="11.42578125" style="65" bestFit="1" customWidth="1"/>
    <col min="14849" max="14849" width="26.7109375" style="65" bestFit="1" customWidth="1"/>
    <col min="14850" max="14850" width="9.140625" style="65"/>
    <col min="14851" max="14851" width="9.5703125" style="65" bestFit="1" customWidth="1"/>
    <col min="14852" max="15101" width="9.140625" style="65"/>
    <col min="15102" max="15102" width="40.7109375" style="65" bestFit="1" customWidth="1"/>
    <col min="15103" max="15103" width="9.140625" style="65"/>
    <col min="15104" max="15104" width="11.42578125" style="65" bestFit="1" customWidth="1"/>
    <col min="15105" max="15105" width="26.7109375" style="65" bestFit="1" customWidth="1"/>
    <col min="15106" max="15106" width="9.140625" style="65"/>
    <col min="15107" max="15107" width="9.5703125" style="65" bestFit="1" customWidth="1"/>
    <col min="15108" max="15357" width="9.140625" style="65"/>
    <col min="15358" max="15358" width="40.7109375" style="65" bestFit="1" customWidth="1"/>
    <col min="15359" max="15359" width="9.140625" style="65"/>
    <col min="15360" max="15360" width="11.42578125" style="65" bestFit="1" customWidth="1"/>
    <col min="15361" max="15361" width="26.7109375" style="65" bestFit="1" customWidth="1"/>
    <col min="15362" max="15362" width="9.140625" style="65"/>
    <col min="15363" max="15363" width="9.5703125" style="65" bestFit="1" customWidth="1"/>
    <col min="15364" max="15613" width="9.140625" style="65"/>
    <col min="15614" max="15614" width="40.7109375" style="65" bestFit="1" customWidth="1"/>
    <col min="15615" max="15615" width="9.140625" style="65"/>
    <col min="15616" max="15616" width="11.42578125" style="65" bestFit="1" customWidth="1"/>
    <col min="15617" max="15617" width="26.7109375" style="65" bestFit="1" customWidth="1"/>
    <col min="15618" max="15618" width="9.140625" style="65"/>
    <col min="15619" max="15619" width="9.5703125" style="65" bestFit="1" customWidth="1"/>
    <col min="15620" max="15869" width="9.140625" style="65"/>
    <col min="15870" max="15870" width="40.7109375" style="65" bestFit="1" customWidth="1"/>
    <col min="15871" max="15871" width="9.140625" style="65"/>
    <col min="15872" max="15872" width="11.42578125" style="65" bestFit="1" customWidth="1"/>
    <col min="15873" max="15873" width="26.7109375" style="65" bestFit="1" customWidth="1"/>
    <col min="15874" max="15874" width="9.140625" style="65"/>
    <col min="15875" max="15875" width="9.5703125" style="65" bestFit="1" customWidth="1"/>
    <col min="15876" max="16125" width="9.140625" style="65"/>
    <col min="16126" max="16126" width="40.7109375" style="65" bestFit="1" customWidth="1"/>
    <col min="16127" max="16127" width="9.140625" style="65"/>
    <col min="16128" max="16128" width="11.42578125" style="65" bestFit="1" customWidth="1"/>
    <col min="16129" max="16129" width="26.7109375" style="65" bestFit="1" customWidth="1"/>
    <col min="16130" max="16130" width="9.140625" style="65"/>
    <col min="16131" max="16131" width="9.5703125" style="65" bestFit="1" customWidth="1"/>
    <col min="16132" max="16384" width="9.140625" style="65"/>
  </cols>
  <sheetData>
    <row r="1" spans="1:8" x14ac:dyDescent="0.2">
      <c r="A1" s="64" t="s">
        <v>131</v>
      </c>
      <c r="B1" s="64" t="s">
        <v>132</v>
      </c>
      <c r="C1" s="64" t="s">
        <v>133</v>
      </c>
      <c r="D1" s="64" t="s">
        <v>134</v>
      </c>
      <c r="E1" s="64" t="s">
        <v>135</v>
      </c>
      <c r="F1" s="64" t="s">
        <v>136</v>
      </c>
    </row>
    <row r="2" spans="1:8" x14ac:dyDescent="0.2">
      <c r="A2" s="64" t="str">
        <f t="shared" ref="A2:A65" si="0">CONCATENATE(B2, C2, D2)</f>
        <v/>
      </c>
      <c r="B2" s="82"/>
      <c r="C2" s="64"/>
      <c r="D2" s="64"/>
      <c r="E2" s="66"/>
      <c r="F2" s="66"/>
    </row>
    <row r="3" spans="1:8" x14ac:dyDescent="0.2">
      <c r="A3" s="64" t="str">
        <f t="shared" si="0"/>
        <v/>
      </c>
      <c r="B3" s="82"/>
      <c r="C3" s="64"/>
      <c r="D3" s="64"/>
      <c r="E3" s="66"/>
      <c r="F3" s="66"/>
    </row>
    <row r="4" spans="1:8" x14ac:dyDescent="0.2">
      <c r="A4" s="64" t="str">
        <f t="shared" si="0"/>
        <v/>
      </c>
      <c r="B4" s="82"/>
      <c r="C4" s="64"/>
      <c r="D4" s="64"/>
      <c r="E4" s="66"/>
      <c r="F4" s="66"/>
      <c r="H4" s="67"/>
    </row>
    <row r="5" spans="1:8" x14ac:dyDescent="0.2">
      <c r="A5" s="64" t="str">
        <f t="shared" si="0"/>
        <v/>
      </c>
      <c r="B5" s="82"/>
      <c r="C5" s="64"/>
      <c r="D5" s="64"/>
      <c r="E5" s="66"/>
      <c r="F5" s="66"/>
    </row>
    <row r="6" spans="1:8" x14ac:dyDescent="0.2">
      <c r="A6" s="64" t="str">
        <f t="shared" si="0"/>
        <v/>
      </c>
      <c r="B6" s="82"/>
      <c r="C6" s="64"/>
      <c r="D6" s="64"/>
      <c r="E6" s="66"/>
      <c r="F6" s="66"/>
    </row>
    <row r="7" spans="1:8" x14ac:dyDescent="0.2">
      <c r="A7" s="64" t="str">
        <f t="shared" si="0"/>
        <v/>
      </c>
      <c r="B7" s="82"/>
      <c r="C7" s="64"/>
      <c r="D7" s="64"/>
      <c r="E7" s="66"/>
      <c r="F7" s="66"/>
    </row>
    <row r="8" spans="1:8" x14ac:dyDescent="0.2">
      <c r="A8" s="64" t="str">
        <f t="shared" si="0"/>
        <v/>
      </c>
      <c r="B8" s="82"/>
      <c r="C8" s="64"/>
      <c r="D8" s="64"/>
      <c r="E8" s="66"/>
      <c r="F8" s="66"/>
    </row>
    <row r="9" spans="1:8" x14ac:dyDescent="0.2">
      <c r="A9" s="64" t="str">
        <f t="shared" si="0"/>
        <v/>
      </c>
      <c r="B9" s="82"/>
      <c r="C9" s="64"/>
      <c r="D9" s="64"/>
      <c r="E9" s="66"/>
      <c r="F9" s="66"/>
    </row>
    <row r="10" spans="1:8" x14ac:dyDescent="0.2">
      <c r="A10" s="64" t="str">
        <f t="shared" si="0"/>
        <v/>
      </c>
      <c r="B10" s="82"/>
      <c r="C10" s="64"/>
      <c r="D10" s="64"/>
      <c r="E10" s="66"/>
      <c r="F10" s="66"/>
    </row>
    <row r="11" spans="1:8" x14ac:dyDescent="0.2">
      <c r="A11" s="64" t="str">
        <f t="shared" si="0"/>
        <v/>
      </c>
      <c r="B11" s="82"/>
      <c r="C11" s="64"/>
      <c r="D11" s="64"/>
      <c r="E11" s="66"/>
      <c r="F11" s="66"/>
    </row>
    <row r="12" spans="1:8" x14ac:dyDescent="0.2">
      <c r="A12" s="64" t="str">
        <f t="shared" si="0"/>
        <v/>
      </c>
      <c r="B12" s="82"/>
      <c r="C12" s="64"/>
      <c r="D12" s="64"/>
      <c r="E12" s="66"/>
      <c r="F12" s="66"/>
    </row>
    <row r="13" spans="1:8" x14ac:dyDescent="0.2">
      <c r="A13" s="64" t="str">
        <f t="shared" si="0"/>
        <v/>
      </c>
      <c r="B13" s="82"/>
      <c r="C13" s="64"/>
      <c r="D13" s="64"/>
      <c r="E13" s="66"/>
      <c r="F13" s="66"/>
    </row>
    <row r="14" spans="1:8" x14ac:dyDescent="0.2">
      <c r="A14" s="64" t="str">
        <f t="shared" si="0"/>
        <v/>
      </c>
      <c r="B14" s="82"/>
      <c r="C14" s="64"/>
      <c r="D14" s="64"/>
      <c r="E14" s="66"/>
      <c r="F14" s="66"/>
    </row>
    <row r="15" spans="1:8" x14ac:dyDescent="0.2">
      <c r="A15" s="64" t="str">
        <f t="shared" si="0"/>
        <v/>
      </c>
      <c r="B15" s="82"/>
      <c r="C15" s="64"/>
      <c r="D15" s="64"/>
      <c r="E15" s="66"/>
      <c r="F15" s="66"/>
    </row>
    <row r="16" spans="1:8" x14ac:dyDescent="0.2">
      <c r="A16" s="64" t="str">
        <f t="shared" si="0"/>
        <v/>
      </c>
      <c r="B16" s="82"/>
      <c r="C16" s="64"/>
      <c r="D16" s="64"/>
      <c r="E16" s="66"/>
      <c r="F16" s="66"/>
    </row>
    <row r="17" spans="1:6" x14ac:dyDescent="0.2">
      <c r="A17" s="64" t="str">
        <f t="shared" si="0"/>
        <v/>
      </c>
      <c r="B17" s="82"/>
      <c r="C17" s="64"/>
      <c r="D17" s="64"/>
      <c r="E17" s="66"/>
      <c r="F17" s="66"/>
    </row>
    <row r="18" spans="1:6" x14ac:dyDescent="0.2">
      <c r="A18" s="64" t="str">
        <f t="shared" si="0"/>
        <v/>
      </c>
      <c r="B18" s="82"/>
      <c r="C18" s="64"/>
      <c r="D18" s="64"/>
      <c r="E18" s="66"/>
      <c r="F18" s="66"/>
    </row>
    <row r="19" spans="1:6" x14ac:dyDescent="0.2">
      <c r="A19" s="64" t="str">
        <f t="shared" si="0"/>
        <v/>
      </c>
      <c r="B19" s="82"/>
      <c r="C19" s="64"/>
      <c r="D19" s="64"/>
      <c r="E19" s="66"/>
      <c r="F19" s="66"/>
    </row>
    <row r="20" spans="1:6" x14ac:dyDescent="0.2">
      <c r="A20" s="64" t="str">
        <f t="shared" si="0"/>
        <v/>
      </c>
      <c r="B20" s="82"/>
      <c r="C20" s="64"/>
      <c r="D20" s="64"/>
      <c r="E20" s="66"/>
      <c r="F20" s="66"/>
    </row>
    <row r="21" spans="1:6" x14ac:dyDescent="0.2">
      <c r="A21" s="64" t="str">
        <f t="shared" si="0"/>
        <v/>
      </c>
      <c r="B21" s="82"/>
      <c r="C21" s="64"/>
      <c r="D21" s="64"/>
      <c r="E21" s="66"/>
      <c r="F21" s="66"/>
    </row>
    <row r="22" spans="1:6" x14ac:dyDescent="0.2">
      <c r="A22" s="64" t="str">
        <f t="shared" si="0"/>
        <v/>
      </c>
      <c r="B22" s="82"/>
      <c r="C22" s="64"/>
      <c r="D22" s="64"/>
      <c r="E22" s="66"/>
      <c r="F22" s="66"/>
    </row>
    <row r="23" spans="1:6" x14ac:dyDescent="0.2">
      <c r="A23" s="64" t="str">
        <f t="shared" si="0"/>
        <v/>
      </c>
      <c r="B23" s="82"/>
      <c r="C23" s="64"/>
      <c r="D23" s="64"/>
      <c r="E23" s="66"/>
      <c r="F23" s="66"/>
    </row>
    <row r="24" spans="1:6" x14ac:dyDescent="0.2">
      <c r="A24" s="64" t="str">
        <f t="shared" si="0"/>
        <v/>
      </c>
      <c r="B24" s="82"/>
      <c r="C24" s="64"/>
      <c r="D24" s="64"/>
      <c r="E24" s="66"/>
      <c r="F24" s="66"/>
    </row>
    <row r="25" spans="1:6" x14ac:dyDescent="0.2">
      <c r="A25" s="64" t="str">
        <f t="shared" si="0"/>
        <v/>
      </c>
      <c r="B25" s="82"/>
      <c r="C25" s="64"/>
      <c r="D25" s="64"/>
      <c r="E25" s="66"/>
      <c r="F25" s="66"/>
    </row>
    <row r="26" spans="1:6" x14ac:dyDescent="0.2">
      <c r="A26" s="64" t="str">
        <f t="shared" si="0"/>
        <v/>
      </c>
      <c r="B26" s="82"/>
      <c r="C26" s="64"/>
      <c r="D26" s="64"/>
      <c r="E26" s="66"/>
      <c r="F26" s="66"/>
    </row>
    <row r="27" spans="1:6" x14ac:dyDescent="0.2">
      <c r="A27" s="64" t="str">
        <f t="shared" si="0"/>
        <v/>
      </c>
      <c r="B27" s="82"/>
      <c r="C27" s="64"/>
      <c r="D27" s="64"/>
      <c r="E27" s="66"/>
      <c r="F27" s="66"/>
    </row>
    <row r="28" spans="1:6" x14ac:dyDescent="0.2">
      <c r="A28" s="64" t="str">
        <f t="shared" si="0"/>
        <v/>
      </c>
      <c r="B28" s="82"/>
      <c r="C28" s="64"/>
      <c r="D28" s="64"/>
      <c r="E28" s="66"/>
      <c r="F28" s="66"/>
    </row>
    <row r="29" spans="1:6" x14ac:dyDescent="0.2">
      <c r="A29" s="64" t="str">
        <f t="shared" si="0"/>
        <v/>
      </c>
      <c r="B29" s="82"/>
      <c r="C29" s="64"/>
      <c r="D29" s="64"/>
      <c r="E29" s="66"/>
      <c r="F29" s="66"/>
    </row>
    <row r="30" spans="1:6" x14ac:dyDescent="0.2">
      <c r="A30" s="64" t="str">
        <f t="shared" si="0"/>
        <v/>
      </c>
      <c r="B30" s="82"/>
      <c r="C30" s="64"/>
      <c r="D30" s="64"/>
      <c r="E30" s="66"/>
      <c r="F30" s="66"/>
    </row>
    <row r="31" spans="1:6" x14ac:dyDescent="0.2">
      <c r="A31" s="64" t="str">
        <f t="shared" si="0"/>
        <v/>
      </c>
      <c r="B31" s="82"/>
      <c r="C31" s="64"/>
      <c r="D31" s="64"/>
      <c r="E31" s="66"/>
      <c r="F31" s="66"/>
    </row>
    <row r="32" spans="1:6" x14ac:dyDescent="0.2">
      <c r="A32" s="64" t="str">
        <f t="shared" si="0"/>
        <v/>
      </c>
      <c r="B32" s="64"/>
      <c r="C32" s="64"/>
      <c r="D32" s="64"/>
      <c r="E32" s="66"/>
      <c r="F32" s="66"/>
    </row>
    <row r="33" spans="1:6" x14ac:dyDescent="0.2">
      <c r="A33" s="64" t="str">
        <f t="shared" si="0"/>
        <v/>
      </c>
      <c r="B33" s="64"/>
      <c r="C33" s="64"/>
      <c r="D33" s="64"/>
      <c r="E33" s="66"/>
      <c r="F33" s="66"/>
    </row>
    <row r="34" spans="1:6" x14ac:dyDescent="0.2">
      <c r="A34" s="64" t="str">
        <f t="shared" si="0"/>
        <v/>
      </c>
      <c r="B34" s="64"/>
      <c r="C34" s="64"/>
      <c r="D34" s="64"/>
      <c r="E34" s="66"/>
      <c r="F34" s="66"/>
    </row>
    <row r="35" spans="1:6" x14ac:dyDescent="0.2">
      <c r="A35" s="64" t="str">
        <f t="shared" si="0"/>
        <v/>
      </c>
      <c r="B35" s="64"/>
      <c r="C35" s="64"/>
      <c r="D35" s="64"/>
      <c r="E35" s="66"/>
      <c r="F35" s="66"/>
    </row>
    <row r="36" spans="1:6" x14ac:dyDescent="0.2">
      <c r="A36" s="64" t="str">
        <f t="shared" si="0"/>
        <v/>
      </c>
      <c r="B36" s="64"/>
      <c r="C36" s="64"/>
      <c r="D36" s="64"/>
      <c r="E36" s="66"/>
      <c r="F36" s="66"/>
    </row>
    <row r="37" spans="1:6" x14ac:dyDescent="0.2">
      <c r="A37" s="64" t="str">
        <f t="shared" si="0"/>
        <v/>
      </c>
      <c r="B37" s="64"/>
      <c r="C37" s="64"/>
      <c r="D37" s="64"/>
      <c r="E37" s="66"/>
      <c r="F37" s="66"/>
    </row>
    <row r="38" spans="1:6" x14ac:dyDescent="0.2">
      <c r="A38" s="64" t="str">
        <f t="shared" si="0"/>
        <v/>
      </c>
      <c r="B38" s="64"/>
      <c r="C38" s="64"/>
      <c r="D38" s="64"/>
      <c r="E38" s="66"/>
      <c r="F38" s="66"/>
    </row>
    <row r="39" spans="1:6" x14ac:dyDescent="0.2">
      <c r="A39" s="64" t="str">
        <f t="shared" si="0"/>
        <v/>
      </c>
      <c r="B39" s="64"/>
      <c r="C39" s="64"/>
      <c r="D39" s="64"/>
      <c r="E39" s="66"/>
      <c r="F39" s="66"/>
    </row>
    <row r="40" spans="1:6" x14ac:dyDescent="0.2">
      <c r="A40" s="64" t="str">
        <f t="shared" si="0"/>
        <v/>
      </c>
      <c r="B40" s="64"/>
      <c r="C40" s="64"/>
      <c r="D40" s="64"/>
      <c r="E40" s="66"/>
      <c r="F40" s="66"/>
    </row>
    <row r="41" spans="1:6" x14ac:dyDescent="0.2">
      <c r="A41" s="64" t="str">
        <f t="shared" si="0"/>
        <v/>
      </c>
      <c r="B41" s="64"/>
      <c r="C41" s="64"/>
      <c r="D41" s="64"/>
      <c r="E41" s="66"/>
      <c r="F41" s="66"/>
    </row>
    <row r="42" spans="1:6" x14ac:dyDescent="0.2">
      <c r="A42" s="64" t="str">
        <f t="shared" si="0"/>
        <v/>
      </c>
      <c r="B42" s="64"/>
      <c r="C42" s="64"/>
      <c r="D42" s="64"/>
      <c r="E42" s="66"/>
      <c r="F42" s="66"/>
    </row>
    <row r="43" spans="1:6" x14ac:dyDescent="0.2">
      <c r="A43" s="64" t="str">
        <f t="shared" si="0"/>
        <v/>
      </c>
      <c r="B43" s="64"/>
      <c r="C43" s="64"/>
      <c r="D43" s="64"/>
      <c r="E43" s="66"/>
      <c r="F43" s="66"/>
    </row>
    <row r="44" spans="1:6" x14ac:dyDescent="0.2">
      <c r="A44" s="64" t="str">
        <f t="shared" si="0"/>
        <v/>
      </c>
      <c r="B44" s="64"/>
      <c r="C44" s="64"/>
      <c r="D44" s="64"/>
      <c r="E44" s="66"/>
      <c r="F44" s="66"/>
    </row>
    <row r="45" spans="1:6" x14ac:dyDescent="0.2">
      <c r="A45" s="64" t="str">
        <f t="shared" si="0"/>
        <v/>
      </c>
      <c r="B45" s="64"/>
      <c r="C45" s="64"/>
      <c r="D45" s="64"/>
      <c r="E45" s="66"/>
      <c r="F45" s="66"/>
    </row>
    <row r="46" spans="1:6" x14ac:dyDescent="0.2">
      <c r="A46" s="64" t="str">
        <f t="shared" si="0"/>
        <v/>
      </c>
      <c r="B46" s="64"/>
      <c r="C46" s="64"/>
      <c r="D46" s="64"/>
      <c r="E46" s="66"/>
      <c r="F46" s="66"/>
    </row>
    <row r="47" spans="1:6" x14ac:dyDescent="0.2">
      <c r="A47" s="64" t="str">
        <f t="shared" si="0"/>
        <v/>
      </c>
      <c r="B47" s="64"/>
      <c r="C47" s="64"/>
      <c r="D47" s="64"/>
      <c r="E47" s="66"/>
      <c r="F47" s="66"/>
    </row>
    <row r="48" spans="1:6" x14ac:dyDescent="0.2">
      <c r="A48" s="64" t="str">
        <f t="shared" si="0"/>
        <v/>
      </c>
      <c r="B48" s="64"/>
      <c r="C48" s="64"/>
      <c r="D48" s="64"/>
      <c r="E48" s="66"/>
      <c r="F48" s="66"/>
    </row>
    <row r="49" spans="1:6" x14ac:dyDescent="0.2">
      <c r="A49" s="64" t="str">
        <f t="shared" si="0"/>
        <v/>
      </c>
      <c r="B49" s="64"/>
      <c r="C49" s="64"/>
      <c r="D49" s="64"/>
      <c r="E49" s="66"/>
      <c r="F49" s="66"/>
    </row>
    <row r="50" spans="1:6" x14ac:dyDescent="0.2">
      <c r="A50" s="64" t="str">
        <f t="shared" si="0"/>
        <v/>
      </c>
      <c r="B50" s="64"/>
      <c r="C50" s="64"/>
      <c r="D50" s="64"/>
      <c r="E50" s="66"/>
      <c r="F50" s="66"/>
    </row>
    <row r="51" spans="1:6" x14ac:dyDescent="0.2">
      <c r="A51" s="64" t="str">
        <f t="shared" si="0"/>
        <v/>
      </c>
      <c r="B51" s="64"/>
      <c r="C51" s="64"/>
      <c r="D51" s="64"/>
      <c r="E51" s="66"/>
      <c r="F51" s="66"/>
    </row>
    <row r="52" spans="1:6" x14ac:dyDescent="0.2">
      <c r="A52" s="64" t="str">
        <f t="shared" si="0"/>
        <v/>
      </c>
      <c r="B52" s="64"/>
      <c r="C52" s="64"/>
      <c r="D52" s="64"/>
      <c r="E52" s="66"/>
      <c r="F52" s="66"/>
    </row>
    <row r="53" spans="1:6" x14ac:dyDescent="0.2">
      <c r="A53" s="64" t="str">
        <f t="shared" si="0"/>
        <v/>
      </c>
      <c r="B53" s="64"/>
      <c r="C53" s="64"/>
      <c r="D53" s="64"/>
      <c r="E53" s="66"/>
      <c r="F53" s="66"/>
    </row>
    <row r="54" spans="1:6" x14ac:dyDescent="0.2">
      <c r="A54" s="64" t="str">
        <f t="shared" si="0"/>
        <v/>
      </c>
      <c r="B54" s="64"/>
      <c r="C54" s="64"/>
      <c r="D54" s="64"/>
      <c r="E54" s="66"/>
      <c r="F54" s="66"/>
    </row>
    <row r="55" spans="1:6" x14ac:dyDescent="0.2">
      <c r="A55" s="64" t="str">
        <f t="shared" si="0"/>
        <v/>
      </c>
      <c r="B55" s="64"/>
      <c r="C55" s="64"/>
      <c r="D55" s="64"/>
      <c r="E55" s="66"/>
      <c r="F55" s="66"/>
    </row>
    <row r="56" spans="1:6" x14ac:dyDescent="0.2">
      <c r="A56" s="64" t="str">
        <f t="shared" si="0"/>
        <v/>
      </c>
      <c r="B56" s="64"/>
      <c r="C56" s="64"/>
      <c r="D56" s="64"/>
      <c r="E56" s="66"/>
      <c r="F56" s="66"/>
    </row>
    <row r="57" spans="1:6" x14ac:dyDescent="0.2">
      <c r="A57" s="64" t="str">
        <f t="shared" si="0"/>
        <v/>
      </c>
      <c r="B57" s="64"/>
      <c r="C57" s="64"/>
      <c r="D57" s="64"/>
      <c r="E57" s="66"/>
      <c r="F57" s="66"/>
    </row>
    <row r="58" spans="1:6" x14ac:dyDescent="0.2">
      <c r="A58" s="64" t="str">
        <f t="shared" si="0"/>
        <v/>
      </c>
      <c r="B58" s="64"/>
      <c r="C58" s="64"/>
      <c r="D58" s="64"/>
      <c r="E58" s="66"/>
      <c r="F58" s="66"/>
    </row>
    <row r="59" spans="1:6" x14ac:dyDescent="0.2">
      <c r="A59" s="64" t="str">
        <f t="shared" si="0"/>
        <v/>
      </c>
      <c r="B59" s="64"/>
      <c r="C59" s="64"/>
      <c r="D59" s="64"/>
      <c r="E59" s="66"/>
      <c r="F59" s="66"/>
    </row>
    <row r="60" spans="1:6" x14ac:dyDescent="0.2">
      <c r="A60" s="64" t="str">
        <f t="shared" si="0"/>
        <v/>
      </c>
      <c r="B60" s="64"/>
      <c r="C60" s="64"/>
      <c r="D60" s="64"/>
      <c r="E60" s="66"/>
      <c r="F60" s="66"/>
    </row>
    <row r="61" spans="1:6" x14ac:dyDescent="0.2">
      <c r="A61" s="64" t="str">
        <f t="shared" si="0"/>
        <v/>
      </c>
      <c r="B61" s="64"/>
      <c r="C61" s="64"/>
      <c r="D61" s="64"/>
      <c r="E61" s="66"/>
      <c r="F61" s="66"/>
    </row>
    <row r="62" spans="1:6" x14ac:dyDescent="0.2">
      <c r="A62" s="64" t="str">
        <f t="shared" si="0"/>
        <v/>
      </c>
      <c r="B62" s="64"/>
      <c r="C62" s="64"/>
      <c r="D62" s="64"/>
      <c r="E62" s="66"/>
      <c r="F62" s="66"/>
    </row>
    <row r="63" spans="1:6" x14ac:dyDescent="0.2">
      <c r="A63" s="64" t="str">
        <f t="shared" si="0"/>
        <v/>
      </c>
      <c r="B63" s="64"/>
      <c r="C63" s="64"/>
      <c r="D63" s="64"/>
      <c r="E63" s="66"/>
      <c r="F63" s="66"/>
    </row>
    <row r="64" spans="1:6" x14ac:dyDescent="0.2">
      <c r="A64" s="64" t="str">
        <f t="shared" si="0"/>
        <v/>
      </c>
      <c r="B64" s="64"/>
      <c r="C64" s="64"/>
      <c r="D64" s="64"/>
      <c r="E64" s="66"/>
      <c r="F64" s="66"/>
    </row>
    <row r="65" spans="1:6" x14ac:dyDescent="0.2">
      <c r="A65" s="64" t="str">
        <f t="shared" si="0"/>
        <v/>
      </c>
      <c r="B65" s="64"/>
      <c r="C65" s="64"/>
      <c r="D65" s="64"/>
      <c r="E65" s="66"/>
      <c r="F65" s="66"/>
    </row>
    <row r="66" spans="1:6" x14ac:dyDescent="0.2">
      <c r="A66" s="64" t="str">
        <f t="shared" ref="A66:A129" si="1">CONCATENATE(B66, C66, D66)</f>
        <v/>
      </c>
      <c r="B66" s="64"/>
      <c r="C66" s="64"/>
      <c r="D66" s="64"/>
      <c r="E66" s="66"/>
      <c r="F66" s="66"/>
    </row>
    <row r="67" spans="1:6" x14ac:dyDescent="0.2">
      <c r="A67" s="64" t="str">
        <f t="shared" si="1"/>
        <v/>
      </c>
      <c r="B67" s="64"/>
      <c r="C67" s="64"/>
      <c r="D67" s="64"/>
      <c r="E67" s="66"/>
      <c r="F67" s="66"/>
    </row>
    <row r="68" spans="1:6" x14ac:dyDescent="0.2">
      <c r="A68" s="64" t="str">
        <f t="shared" si="1"/>
        <v/>
      </c>
      <c r="B68" s="64"/>
      <c r="C68" s="64"/>
      <c r="D68" s="64"/>
      <c r="E68" s="66"/>
      <c r="F68" s="66"/>
    </row>
    <row r="69" spans="1:6" x14ac:dyDescent="0.2">
      <c r="A69" s="64" t="str">
        <f t="shared" si="1"/>
        <v/>
      </c>
      <c r="B69" s="64"/>
      <c r="C69" s="64"/>
      <c r="D69" s="64"/>
      <c r="E69" s="66"/>
      <c r="F69" s="66"/>
    </row>
    <row r="70" spans="1:6" x14ac:dyDescent="0.2">
      <c r="A70" s="64" t="str">
        <f t="shared" si="1"/>
        <v/>
      </c>
      <c r="B70" s="64"/>
      <c r="C70" s="64"/>
      <c r="D70" s="64"/>
      <c r="E70" s="66"/>
      <c r="F70" s="66"/>
    </row>
    <row r="71" spans="1:6" x14ac:dyDescent="0.2">
      <c r="A71" s="64" t="str">
        <f t="shared" si="1"/>
        <v/>
      </c>
      <c r="B71" s="64"/>
      <c r="C71" s="64"/>
      <c r="D71" s="64"/>
      <c r="E71" s="66"/>
      <c r="F71" s="66"/>
    </row>
    <row r="72" spans="1:6" x14ac:dyDescent="0.2">
      <c r="A72" s="64" t="str">
        <f t="shared" si="1"/>
        <v/>
      </c>
      <c r="B72" s="64"/>
      <c r="C72" s="64"/>
      <c r="D72" s="64"/>
      <c r="E72" s="66"/>
      <c r="F72" s="66"/>
    </row>
    <row r="73" spans="1:6" x14ac:dyDescent="0.2">
      <c r="A73" s="64" t="str">
        <f t="shared" si="1"/>
        <v/>
      </c>
      <c r="B73" s="64"/>
      <c r="C73" s="64"/>
      <c r="D73" s="64"/>
      <c r="E73" s="66"/>
      <c r="F73" s="66"/>
    </row>
    <row r="74" spans="1:6" x14ac:dyDescent="0.2">
      <c r="A74" s="64" t="str">
        <f t="shared" si="1"/>
        <v/>
      </c>
      <c r="B74" s="64"/>
      <c r="C74" s="64"/>
      <c r="D74" s="64"/>
      <c r="E74" s="66"/>
      <c r="F74" s="66"/>
    </row>
    <row r="75" spans="1:6" x14ac:dyDescent="0.2">
      <c r="A75" s="64" t="str">
        <f t="shared" si="1"/>
        <v/>
      </c>
      <c r="B75" s="64"/>
      <c r="C75" s="64"/>
      <c r="D75" s="64"/>
      <c r="E75" s="66"/>
      <c r="F75" s="66"/>
    </row>
    <row r="76" spans="1:6" x14ac:dyDescent="0.2">
      <c r="A76" s="64" t="str">
        <f t="shared" si="1"/>
        <v/>
      </c>
      <c r="B76" s="64"/>
      <c r="C76" s="64"/>
      <c r="D76" s="64"/>
      <c r="E76" s="66"/>
      <c r="F76" s="66"/>
    </row>
    <row r="77" spans="1:6" x14ac:dyDescent="0.2">
      <c r="A77" s="64" t="str">
        <f t="shared" si="1"/>
        <v/>
      </c>
      <c r="B77" s="64"/>
      <c r="C77" s="64"/>
      <c r="D77" s="64"/>
      <c r="E77" s="66"/>
      <c r="F77" s="66"/>
    </row>
    <row r="78" spans="1:6" x14ac:dyDescent="0.2">
      <c r="A78" s="64" t="str">
        <f t="shared" si="1"/>
        <v/>
      </c>
      <c r="B78" s="64"/>
      <c r="C78" s="64"/>
      <c r="D78" s="64"/>
      <c r="E78" s="66"/>
      <c r="F78" s="66"/>
    </row>
    <row r="79" spans="1:6" x14ac:dyDescent="0.2">
      <c r="A79" s="64" t="str">
        <f t="shared" si="1"/>
        <v/>
      </c>
      <c r="B79" s="64"/>
      <c r="C79" s="64"/>
      <c r="D79" s="64"/>
      <c r="E79" s="66"/>
      <c r="F79" s="66"/>
    </row>
    <row r="80" spans="1:6" x14ac:dyDescent="0.2">
      <c r="A80" s="64" t="str">
        <f t="shared" si="1"/>
        <v/>
      </c>
      <c r="B80" s="64"/>
      <c r="C80" s="64"/>
      <c r="D80" s="64"/>
      <c r="E80" s="66"/>
      <c r="F80" s="66"/>
    </row>
    <row r="81" spans="1:6" x14ac:dyDescent="0.2">
      <c r="A81" s="64" t="str">
        <f t="shared" si="1"/>
        <v/>
      </c>
      <c r="B81" s="64"/>
      <c r="C81" s="64"/>
      <c r="D81" s="64"/>
      <c r="E81" s="66"/>
      <c r="F81" s="66"/>
    </row>
    <row r="82" spans="1:6" x14ac:dyDescent="0.2">
      <c r="A82" s="64" t="str">
        <f t="shared" si="1"/>
        <v/>
      </c>
      <c r="B82" s="64"/>
      <c r="C82" s="64"/>
      <c r="D82" s="64"/>
      <c r="E82" s="66"/>
      <c r="F82" s="66"/>
    </row>
    <row r="83" spans="1:6" x14ac:dyDescent="0.2">
      <c r="A83" s="64" t="str">
        <f t="shared" si="1"/>
        <v/>
      </c>
      <c r="B83" s="64"/>
      <c r="C83" s="64"/>
      <c r="D83" s="64"/>
      <c r="E83" s="66"/>
      <c r="F83" s="66"/>
    </row>
    <row r="84" spans="1:6" x14ac:dyDescent="0.2">
      <c r="A84" s="64" t="str">
        <f t="shared" si="1"/>
        <v/>
      </c>
      <c r="B84" s="64"/>
      <c r="C84" s="64"/>
      <c r="D84" s="64"/>
      <c r="E84" s="66"/>
      <c r="F84" s="66"/>
    </row>
    <row r="85" spans="1:6" x14ac:dyDescent="0.2">
      <c r="A85" s="64" t="str">
        <f t="shared" si="1"/>
        <v/>
      </c>
      <c r="B85" s="64"/>
      <c r="C85" s="64"/>
      <c r="D85" s="64"/>
      <c r="E85" s="66"/>
      <c r="F85" s="66"/>
    </row>
    <row r="86" spans="1:6" x14ac:dyDescent="0.2">
      <c r="A86" s="64" t="str">
        <f t="shared" si="1"/>
        <v/>
      </c>
      <c r="B86" s="64"/>
      <c r="C86" s="64"/>
      <c r="D86" s="64"/>
      <c r="E86" s="66"/>
      <c r="F86" s="66"/>
    </row>
    <row r="87" spans="1:6" x14ac:dyDescent="0.2">
      <c r="A87" s="64" t="str">
        <f t="shared" si="1"/>
        <v/>
      </c>
      <c r="B87" s="64"/>
      <c r="C87" s="64"/>
      <c r="D87" s="64"/>
      <c r="E87" s="66"/>
      <c r="F87" s="66"/>
    </row>
    <row r="88" spans="1:6" x14ac:dyDescent="0.2">
      <c r="A88" s="64" t="str">
        <f t="shared" si="1"/>
        <v/>
      </c>
      <c r="B88" s="64"/>
      <c r="C88" s="64"/>
      <c r="D88" s="64"/>
      <c r="E88" s="66"/>
      <c r="F88" s="66"/>
    </row>
    <row r="89" spans="1:6" x14ac:dyDescent="0.2">
      <c r="A89" s="64" t="str">
        <f t="shared" si="1"/>
        <v/>
      </c>
      <c r="B89" s="64"/>
      <c r="C89" s="64"/>
      <c r="D89" s="64"/>
      <c r="E89" s="66"/>
      <c r="F89" s="66"/>
    </row>
    <row r="90" spans="1:6" x14ac:dyDescent="0.2">
      <c r="A90" s="64" t="str">
        <f t="shared" si="1"/>
        <v/>
      </c>
      <c r="B90" s="64"/>
      <c r="C90" s="64"/>
      <c r="D90" s="64"/>
      <c r="E90" s="66"/>
      <c r="F90" s="66"/>
    </row>
    <row r="91" spans="1:6" x14ac:dyDescent="0.2">
      <c r="A91" s="64" t="str">
        <f t="shared" si="1"/>
        <v/>
      </c>
      <c r="B91" s="64"/>
      <c r="C91" s="64"/>
      <c r="D91" s="64"/>
      <c r="E91" s="66"/>
      <c r="F91" s="66"/>
    </row>
    <row r="92" spans="1:6" x14ac:dyDescent="0.2">
      <c r="A92" s="64" t="str">
        <f t="shared" si="1"/>
        <v/>
      </c>
      <c r="B92" s="64"/>
      <c r="C92" s="64"/>
      <c r="D92" s="64"/>
      <c r="E92" s="66"/>
      <c r="F92" s="66"/>
    </row>
    <row r="93" spans="1:6" x14ac:dyDescent="0.2">
      <c r="A93" s="64" t="str">
        <f t="shared" si="1"/>
        <v/>
      </c>
      <c r="B93" s="64"/>
      <c r="C93" s="64"/>
      <c r="D93" s="64"/>
      <c r="E93" s="66"/>
      <c r="F93" s="66"/>
    </row>
    <row r="94" spans="1:6" x14ac:dyDescent="0.2">
      <c r="A94" s="64" t="str">
        <f t="shared" si="1"/>
        <v/>
      </c>
      <c r="B94" s="64"/>
      <c r="C94" s="64"/>
      <c r="D94" s="64"/>
      <c r="E94" s="66"/>
      <c r="F94" s="66"/>
    </row>
    <row r="95" spans="1:6" x14ac:dyDescent="0.2">
      <c r="A95" s="64" t="str">
        <f t="shared" si="1"/>
        <v/>
      </c>
      <c r="B95" s="64"/>
      <c r="C95" s="64"/>
      <c r="D95" s="64"/>
      <c r="E95" s="66"/>
      <c r="F95" s="66"/>
    </row>
    <row r="96" spans="1:6" x14ac:dyDescent="0.2">
      <c r="A96" s="64" t="str">
        <f t="shared" si="1"/>
        <v/>
      </c>
      <c r="B96" s="64"/>
      <c r="C96" s="64"/>
      <c r="D96" s="64"/>
      <c r="E96" s="66"/>
      <c r="F96" s="66"/>
    </row>
    <row r="97" spans="1:6" x14ac:dyDescent="0.2">
      <c r="A97" s="64" t="str">
        <f t="shared" si="1"/>
        <v/>
      </c>
      <c r="B97" s="64"/>
      <c r="C97" s="64"/>
      <c r="D97" s="64"/>
      <c r="E97" s="66"/>
      <c r="F97" s="66"/>
    </row>
    <row r="98" spans="1:6" x14ac:dyDescent="0.2">
      <c r="A98" s="64" t="str">
        <f t="shared" si="1"/>
        <v/>
      </c>
      <c r="B98" s="64"/>
      <c r="C98" s="64"/>
      <c r="D98" s="64"/>
      <c r="E98" s="66"/>
      <c r="F98" s="66"/>
    </row>
    <row r="99" spans="1:6" x14ac:dyDescent="0.2">
      <c r="A99" s="64" t="str">
        <f t="shared" si="1"/>
        <v/>
      </c>
      <c r="B99" s="64"/>
      <c r="C99" s="64"/>
      <c r="D99" s="64"/>
      <c r="E99" s="66"/>
      <c r="F99" s="66"/>
    </row>
    <row r="100" spans="1:6" x14ac:dyDescent="0.2">
      <c r="A100" s="64" t="str">
        <f t="shared" si="1"/>
        <v/>
      </c>
      <c r="B100" s="64"/>
      <c r="C100" s="64"/>
      <c r="D100" s="64"/>
      <c r="E100" s="66"/>
      <c r="F100" s="66"/>
    </row>
    <row r="101" spans="1:6" x14ac:dyDescent="0.2">
      <c r="A101" s="64" t="str">
        <f t="shared" si="1"/>
        <v/>
      </c>
      <c r="B101" s="64"/>
      <c r="C101" s="64"/>
      <c r="D101" s="64"/>
      <c r="E101" s="66"/>
      <c r="F101" s="66"/>
    </row>
    <row r="102" spans="1:6" x14ac:dyDescent="0.2">
      <c r="A102" s="64" t="str">
        <f t="shared" si="1"/>
        <v/>
      </c>
      <c r="B102" s="64"/>
      <c r="C102" s="64"/>
      <c r="D102" s="64"/>
      <c r="E102" s="66"/>
      <c r="F102" s="66"/>
    </row>
    <row r="103" spans="1:6" x14ac:dyDescent="0.2">
      <c r="A103" s="64" t="str">
        <f t="shared" si="1"/>
        <v/>
      </c>
      <c r="B103" s="64"/>
      <c r="C103" s="64"/>
      <c r="D103" s="64"/>
      <c r="E103" s="66"/>
      <c r="F103" s="66"/>
    </row>
    <row r="104" spans="1:6" x14ac:dyDescent="0.2">
      <c r="A104" s="64" t="str">
        <f t="shared" si="1"/>
        <v/>
      </c>
      <c r="B104" s="64"/>
      <c r="C104" s="64"/>
      <c r="D104" s="64"/>
      <c r="E104" s="66"/>
      <c r="F104" s="66"/>
    </row>
    <row r="105" spans="1:6" x14ac:dyDescent="0.2">
      <c r="A105" s="64" t="str">
        <f t="shared" si="1"/>
        <v/>
      </c>
      <c r="B105" s="64"/>
      <c r="C105" s="64"/>
      <c r="D105" s="64"/>
      <c r="E105" s="66"/>
      <c r="F105" s="66"/>
    </row>
    <row r="106" spans="1:6" x14ac:dyDescent="0.2">
      <c r="A106" s="64" t="str">
        <f t="shared" si="1"/>
        <v/>
      </c>
      <c r="B106" s="64"/>
      <c r="C106" s="64"/>
      <c r="D106" s="64"/>
      <c r="E106" s="66"/>
      <c r="F106" s="66"/>
    </row>
    <row r="107" spans="1:6" x14ac:dyDescent="0.2">
      <c r="A107" s="64" t="str">
        <f t="shared" si="1"/>
        <v/>
      </c>
      <c r="B107" s="64"/>
      <c r="C107" s="64"/>
      <c r="D107" s="64"/>
      <c r="E107" s="66"/>
      <c r="F107" s="66"/>
    </row>
    <row r="108" spans="1:6" x14ac:dyDescent="0.2">
      <c r="A108" s="64" t="str">
        <f t="shared" si="1"/>
        <v/>
      </c>
      <c r="B108" s="64"/>
      <c r="C108" s="64"/>
      <c r="D108" s="64"/>
      <c r="E108" s="66"/>
      <c r="F108" s="66"/>
    </row>
    <row r="109" spans="1:6" x14ac:dyDescent="0.2">
      <c r="A109" s="64" t="str">
        <f t="shared" si="1"/>
        <v/>
      </c>
      <c r="B109" s="64"/>
      <c r="C109" s="64"/>
      <c r="D109" s="64"/>
      <c r="E109" s="66"/>
      <c r="F109" s="66"/>
    </row>
    <row r="110" spans="1:6" x14ac:dyDescent="0.2">
      <c r="A110" s="64" t="str">
        <f t="shared" si="1"/>
        <v/>
      </c>
      <c r="B110" s="64"/>
      <c r="C110" s="64"/>
      <c r="D110" s="64"/>
      <c r="E110" s="66"/>
      <c r="F110" s="66"/>
    </row>
    <row r="111" spans="1:6" x14ac:dyDescent="0.2">
      <c r="A111" s="64" t="str">
        <f t="shared" si="1"/>
        <v/>
      </c>
      <c r="B111" s="64"/>
      <c r="C111" s="64"/>
      <c r="D111" s="64"/>
      <c r="E111" s="66"/>
      <c r="F111" s="66"/>
    </row>
    <row r="112" spans="1:6" x14ac:dyDescent="0.2">
      <c r="A112" s="64" t="str">
        <f t="shared" si="1"/>
        <v/>
      </c>
      <c r="B112" s="64"/>
      <c r="C112" s="64"/>
      <c r="D112" s="64"/>
      <c r="E112" s="66"/>
      <c r="F112" s="66"/>
    </row>
    <row r="113" spans="1:6" x14ac:dyDescent="0.2">
      <c r="A113" s="64" t="str">
        <f t="shared" si="1"/>
        <v/>
      </c>
      <c r="B113" s="64"/>
      <c r="C113" s="64"/>
      <c r="D113" s="64"/>
      <c r="E113" s="66"/>
      <c r="F113" s="66"/>
    </row>
    <row r="114" spans="1:6" x14ac:dyDescent="0.2">
      <c r="A114" s="64" t="str">
        <f t="shared" si="1"/>
        <v/>
      </c>
      <c r="B114" s="64"/>
      <c r="C114" s="64"/>
      <c r="D114" s="64"/>
      <c r="E114" s="66"/>
      <c r="F114" s="66"/>
    </row>
    <row r="115" spans="1:6" x14ac:dyDescent="0.2">
      <c r="A115" s="64" t="str">
        <f t="shared" si="1"/>
        <v/>
      </c>
      <c r="B115" s="64"/>
      <c r="C115" s="64"/>
      <c r="D115" s="64"/>
      <c r="E115" s="66"/>
      <c r="F115" s="66"/>
    </row>
    <row r="116" spans="1:6" x14ac:dyDescent="0.2">
      <c r="A116" s="64" t="str">
        <f t="shared" si="1"/>
        <v/>
      </c>
      <c r="B116" s="64"/>
      <c r="C116" s="64"/>
      <c r="D116" s="64"/>
      <c r="E116" s="66"/>
      <c r="F116" s="66"/>
    </row>
    <row r="117" spans="1:6" x14ac:dyDescent="0.2">
      <c r="A117" s="64" t="str">
        <f t="shared" si="1"/>
        <v/>
      </c>
      <c r="B117" s="64"/>
      <c r="C117" s="64"/>
      <c r="D117" s="64"/>
      <c r="E117" s="66"/>
      <c r="F117" s="66"/>
    </row>
    <row r="118" spans="1:6" x14ac:dyDescent="0.2">
      <c r="A118" s="64" t="str">
        <f t="shared" si="1"/>
        <v/>
      </c>
      <c r="B118" s="64"/>
      <c r="C118" s="64"/>
      <c r="D118" s="64"/>
      <c r="E118" s="66"/>
      <c r="F118" s="66"/>
    </row>
    <row r="119" spans="1:6" x14ac:dyDescent="0.2">
      <c r="A119" s="64" t="str">
        <f t="shared" si="1"/>
        <v/>
      </c>
      <c r="B119" s="64"/>
      <c r="C119" s="64"/>
      <c r="D119" s="64"/>
      <c r="E119" s="66"/>
      <c r="F119" s="66"/>
    </row>
    <row r="120" spans="1:6" x14ac:dyDescent="0.2">
      <c r="A120" s="64" t="str">
        <f t="shared" si="1"/>
        <v/>
      </c>
      <c r="B120" s="64"/>
      <c r="C120" s="64"/>
      <c r="D120" s="64"/>
      <c r="E120" s="66"/>
      <c r="F120" s="66"/>
    </row>
    <row r="121" spans="1:6" x14ac:dyDescent="0.2">
      <c r="A121" s="64" t="str">
        <f t="shared" si="1"/>
        <v/>
      </c>
      <c r="B121" s="64"/>
      <c r="C121" s="64"/>
      <c r="D121" s="64"/>
      <c r="E121" s="66"/>
      <c r="F121" s="66"/>
    </row>
    <row r="122" spans="1:6" x14ac:dyDescent="0.2">
      <c r="A122" s="64" t="str">
        <f t="shared" si="1"/>
        <v/>
      </c>
      <c r="B122" s="64"/>
      <c r="C122" s="64"/>
      <c r="D122" s="64"/>
      <c r="E122" s="66"/>
      <c r="F122" s="66"/>
    </row>
    <row r="123" spans="1:6" x14ac:dyDescent="0.2">
      <c r="A123" s="64" t="str">
        <f t="shared" si="1"/>
        <v/>
      </c>
      <c r="B123" s="64"/>
      <c r="C123" s="64"/>
      <c r="D123" s="64"/>
      <c r="E123" s="66"/>
      <c r="F123" s="66"/>
    </row>
    <row r="124" spans="1:6" x14ac:dyDescent="0.2">
      <c r="A124" s="64" t="str">
        <f t="shared" si="1"/>
        <v/>
      </c>
      <c r="B124" s="64"/>
      <c r="C124" s="64"/>
      <c r="D124" s="64"/>
      <c r="E124" s="66"/>
      <c r="F124" s="66"/>
    </row>
    <row r="125" spans="1:6" x14ac:dyDescent="0.2">
      <c r="A125" s="64" t="str">
        <f t="shared" si="1"/>
        <v/>
      </c>
      <c r="B125" s="64"/>
      <c r="C125" s="64"/>
      <c r="D125" s="64"/>
      <c r="E125" s="66"/>
      <c r="F125" s="66"/>
    </row>
    <row r="126" spans="1:6" x14ac:dyDescent="0.2">
      <c r="A126" s="64" t="str">
        <f t="shared" si="1"/>
        <v/>
      </c>
      <c r="B126" s="64"/>
      <c r="C126" s="64"/>
      <c r="D126" s="64"/>
      <c r="E126" s="66"/>
      <c r="F126" s="66"/>
    </row>
    <row r="127" spans="1:6" x14ac:dyDescent="0.2">
      <c r="A127" s="64" t="str">
        <f t="shared" si="1"/>
        <v/>
      </c>
      <c r="B127" s="64"/>
      <c r="C127" s="64"/>
      <c r="D127" s="64"/>
      <c r="E127" s="66"/>
      <c r="F127" s="66"/>
    </row>
    <row r="128" spans="1:6" x14ac:dyDescent="0.2">
      <c r="A128" s="64" t="str">
        <f t="shared" si="1"/>
        <v/>
      </c>
      <c r="B128" s="64"/>
      <c r="C128" s="64"/>
      <c r="D128" s="64"/>
      <c r="E128" s="66"/>
      <c r="F128" s="66"/>
    </row>
    <row r="129" spans="1:6" x14ac:dyDescent="0.2">
      <c r="A129" s="64" t="str">
        <f t="shared" si="1"/>
        <v/>
      </c>
      <c r="B129" s="64"/>
      <c r="C129" s="64"/>
      <c r="D129" s="64"/>
      <c r="E129" s="66"/>
      <c r="F129" s="66"/>
    </row>
    <row r="130" spans="1:6" x14ac:dyDescent="0.2">
      <c r="A130" s="64" t="str">
        <f t="shared" ref="A130:A193" si="2">CONCATENATE(B130, C130, D130)</f>
        <v/>
      </c>
      <c r="B130" s="64"/>
      <c r="C130" s="64"/>
      <c r="D130" s="64"/>
      <c r="E130" s="66"/>
      <c r="F130" s="66"/>
    </row>
    <row r="131" spans="1:6" x14ac:dyDescent="0.2">
      <c r="A131" s="64" t="str">
        <f t="shared" si="2"/>
        <v/>
      </c>
      <c r="B131" s="64"/>
      <c r="C131" s="64"/>
      <c r="D131" s="64"/>
      <c r="E131" s="66"/>
      <c r="F131" s="66"/>
    </row>
    <row r="132" spans="1:6" x14ac:dyDescent="0.2">
      <c r="A132" s="64" t="str">
        <f t="shared" si="2"/>
        <v/>
      </c>
      <c r="B132" s="64"/>
      <c r="C132" s="64"/>
      <c r="D132" s="64"/>
      <c r="E132" s="66"/>
      <c r="F132" s="66"/>
    </row>
    <row r="133" spans="1:6" x14ac:dyDescent="0.2">
      <c r="A133" s="64" t="str">
        <f t="shared" si="2"/>
        <v/>
      </c>
      <c r="B133" s="64"/>
      <c r="C133" s="64"/>
      <c r="D133" s="64"/>
      <c r="E133" s="66"/>
      <c r="F133" s="66"/>
    </row>
    <row r="134" spans="1:6" x14ac:dyDescent="0.2">
      <c r="A134" s="64" t="str">
        <f t="shared" si="2"/>
        <v/>
      </c>
      <c r="B134" s="64"/>
      <c r="C134" s="64"/>
      <c r="D134" s="64"/>
      <c r="E134" s="66"/>
      <c r="F134" s="66"/>
    </row>
    <row r="135" spans="1:6" x14ac:dyDescent="0.2">
      <c r="A135" s="64" t="str">
        <f t="shared" si="2"/>
        <v/>
      </c>
      <c r="B135" s="64"/>
      <c r="C135" s="64"/>
      <c r="D135" s="64"/>
      <c r="E135" s="66"/>
      <c r="F135" s="66"/>
    </row>
    <row r="136" spans="1:6" x14ac:dyDescent="0.2">
      <c r="A136" s="64" t="str">
        <f t="shared" si="2"/>
        <v/>
      </c>
      <c r="B136" s="64"/>
      <c r="C136" s="64"/>
      <c r="D136" s="64"/>
      <c r="E136" s="66"/>
      <c r="F136" s="66"/>
    </row>
    <row r="137" spans="1:6" x14ac:dyDescent="0.2">
      <c r="A137" s="64" t="str">
        <f t="shared" si="2"/>
        <v/>
      </c>
      <c r="B137" s="64"/>
      <c r="C137" s="64"/>
      <c r="D137" s="68"/>
      <c r="E137" s="66"/>
      <c r="F137" s="66"/>
    </row>
    <row r="138" spans="1:6" x14ac:dyDescent="0.2">
      <c r="A138" s="64" t="str">
        <f t="shared" si="2"/>
        <v/>
      </c>
      <c r="B138" s="64"/>
      <c r="C138" s="64"/>
      <c r="D138" s="68"/>
      <c r="E138" s="66"/>
      <c r="F138" s="66"/>
    </row>
    <row r="139" spans="1:6" x14ac:dyDescent="0.2">
      <c r="A139" s="64" t="str">
        <f t="shared" si="2"/>
        <v/>
      </c>
      <c r="B139" s="64"/>
      <c r="C139" s="64"/>
      <c r="D139" s="68"/>
      <c r="E139" s="66"/>
      <c r="F139" s="66"/>
    </row>
    <row r="140" spans="1:6" x14ac:dyDescent="0.2">
      <c r="A140" s="64" t="str">
        <f t="shared" si="2"/>
        <v/>
      </c>
      <c r="B140" s="64"/>
      <c r="C140" s="64"/>
      <c r="D140" s="68"/>
      <c r="E140" s="66"/>
      <c r="F140" s="66"/>
    </row>
    <row r="141" spans="1:6" x14ac:dyDescent="0.2">
      <c r="A141" s="64" t="str">
        <f t="shared" si="2"/>
        <v/>
      </c>
      <c r="B141" s="64"/>
      <c r="C141" s="64"/>
      <c r="D141" s="68"/>
      <c r="E141" s="66"/>
      <c r="F141" s="66"/>
    </row>
    <row r="142" spans="1:6" x14ac:dyDescent="0.2">
      <c r="A142" s="64" t="str">
        <f t="shared" si="2"/>
        <v/>
      </c>
      <c r="B142" s="64"/>
      <c r="C142" s="64"/>
      <c r="D142" s="68"/>
      <c r="E142" s="66"/>
      <c r="F142" s="66"/>
    </row>
    <row r="143" spans="1:6" x14ac:dyDescent="0.2">
      <c r="A143" s="64" t="str">
        <f t="shared" si="2"/>
        <v/>
      </c>
      <c r="B143" s="64"/>
      <c r="C143" s="64"/>
      <c r="D143" s="68"/>
      <c r="E143" s="66"/>
      <c r="F143" s="66"/>
    </row>
    <row r="144" spans="1:6" x14ac:dyDescent="0.2">
      <c r="A144" s="64" t="str">
        <f t="shared" si="2"/>
        <v/>
      </c>
      <c r="B144" s="64"/>
      <c r="C144" s="64"/>
      <c r="D144" s="68"/>
      <c r="E144" s="66"/>
      <c r="F144" s="66"/>
    </row>
    <row r="145" spans="1:6" x14ac:dyDescent="0.2">
      <c r="A145" s="64" t="str">
        <f t="shared" si="2"/>
        <v/>
      </c>
      <c r="B145" s="64"/>
      <c r="C145" s="64"/>
      <c r="D145" s="68"/>
      <c r="E145" s="66"/>
      <c r="F145" s="66"/>
    </row>
    <row r="146" spans="1:6" x14ac:dyDescent="0.2">
      <c r="A146" s="64" t="str">
        <f t="shared" si="2"/>
        <v/>
      </c>
      <c r="B146" s="64"/>
      <c r="C146" s="64"/>
      <c r="D146" s="68"/>
      <c r="E146" s="66"/>
      <c r="F146" s="66"/>
    </row>
    <row r="147" spans="1:6" x14ac:dyDescent="0.2">
      <c r="A147" s="64" t="str">
        <f t="shared" si="2"/>
        <v/>
      </c>
      <c r="B147" s="64"/>
      <c r="C147" s="64"/>
      <c r="D147" s="68"/>
      <c r="E147" s="66"/>
      <c r="F147" s="66"/>
    </row>
    <row r="148" spans="1:6" x14ac:dyDescent="0.2">
      <c r="A148" s="64" t="str">
        <f t="shared" si="2"/>
        <v/>
      </c>
      <c r="B148" s="64"/>
      <c r="C148" s="64"/>
      <c r="D148" s="68"/>
      <c r="E148" s="66"/>
      <c r="F148" s="66"/>
    </row>
    <row r="149" spans="1:6" x14ac:dyDescent="0.2">
      <c r="A149" s="64" t="str">
        <f t="shared" si="2"/>
        <v/>
      </c>
      <c r="B149" s="64"/>
      <c r="C149" s="64"/>
      <c r="D149" s="68"/>
      <c r="E149" s="66"/>
      <c r="F149" s="66"/>
    </row>
    <row r="150" spans="1:6" x14ac:dyDescent="0.2">
      <c r="A150" s="64" t="str">
        <f t="shared" si="2"/>
        <v/>
      </c>
      <c r="B150" s="64"/>
      <c r="C150" s="64"/>
      <c r="D150" s="68"/>
      <c r="E150" s="66"/>
      <c r="F150" s="66"/>
    </row>
    <row r="151" spans="1:6" x14ac:dyDescent="0.2">
      <c r="A151" s="64" t="str">
        <f t="shared" si="2"/>
        <v/>
      </c>
      <c r="B151" s="64"/>
      <c r="C151" s="64"/>
      <c r="D151" s="68"/>
      <c r="E151" s="66"/>
      <c r="F151" s="66"/>
    </row>
    <row r="152" spans="1:6" x14ac:dyDescent="0.2">
      <c r="A152" s="64" t="str">
        <f t="shared" si="2"/>
        <v/>
      </c>
      <c r="B152" s="64"/>
      <c r="C152" s="64"/>
      <c r="D152" s="68"/>
      <c r="E152" s="66"/>
      <c r="F152" s="66"/>
    </row>
    <row r="153" spans="1:6" x14ac:dyDescent="0.2">
      <c r="A153" s="64" t="str">
        <f t="shared" si="2"/>
        <v/>
      </c>
      <c r="B153" s="64"/>
      <c r="C153" s="64"/>
      <c r="D153" s="68"/>
      <c r="E153" s="66"/>
      <c r="F153" s="66"/>
    </row>
    <row r="154" spans="1:6" x14ac:dyDescent="0.2">
      <c r="A154" s="64" t="str">
        <f t="shared" si="2"/>
        <v/>
      </c>
      <c r="B154" s="64"/>
      <c r="C154" s="64"/>
      <c r="D154" s="68"/>
      <c r="E154" s="66"/>
      <c r="F154" s="66"/>
    </row>
    <row r="155" spans="1:6" x14ac:dyDescent="0.2">
      <c r="A155" s="64" t="str">
        <f t="shared" si="2"/>
        <v/>
      </c>
      <c r="B155" s="64"/>
      <c r="C155" s="64"/>
      <c r="D155" s="68"/>
      <c r="E155" s="66"/>
      <c r="F155" s="66"/>
    </row>
    <row r="156" spans="1:6" x14ac:dyDescent="0.2">
      <c r="A156" s="64" t="str">
        <f t="shared" si="2"/>
        <v/>
      </c>
      <c r="B156" s="64"/>
      <c r="C156" s="64"/>
      <c r="D156" s="68"/>
      <c r="E156" s="66"/>
      <c r="F156" s="66"/>
    </row>
    <row r="157" spans="1:6" x14ac:dyDescent="0.2">
      <c r="A157" s="64" t="str">
        <f t="shared" si="2"/>
        <v/>
      </c>
      <c r="B157" s="64"/>
      <c r="C157" s="64"/>
      <c r="D157" s="68"/>
      <c r="E157" s="66"/>
      <c r="F157" s="66"/>
    </row>
    <row r="158" spans="1:6" x14ac:dyDescent="0.2">
      <c r="A158" s="64" t="str">
        <f t="shared" si="2"/>
        <v/>
      </c>
      <c r="B158" s="64"/>
      <c r="C158" s="64"/>
      <c r="D158" s="68"/>
      <c r="E158" s="66"/>
      <c r="F158" s="66"/>
    </row>
    <row r="159" spans="1:6" x14ac:dyDescent="0.2">
      <c r="A159" s="64" t="str">
        <f t="shared" si="2"/>
        <v/>
      </c>
      <c r="B159" s="64"/>
      <c r="C159" s="64"/>
      <c r="D159" s="68"/>
      <c r="E159" s="66"/>
      <c r="F159" s="66"/>
    </row>
    <row r="160" spans="1:6" x14ac:dyDescent="0.2">
      <c r="A160" s="64" t="str">
        <f t="shared" si="2"/>
        <v/>
      </c>
      <c r="B160" s="64"/>
      <c r="C160" s="64"/>
      <c r="D160" s="68"/>
      <c r="E160" s="66"/>
      <c r="F160" s="66"/>
    </row>
    <row r="161" spans="1:6" x14ac:dyDescent="0.2">
      <c r="A161" s="64" t="str">
        <f t="shared" si="2"/>
        <v/>
      </c>
      <c r="B161" s="64"/>
      <c r="C161" s="64"/>
      <c r="D161" s="68"/>
      <c r="E161" s="66"/>
      <c r="F161" s="66"/>
    </row>
    <row r="162" spans="1:6" x14ac:dyDescent="0.2">
      <c r="A162" s="64" t="str">
        <f t="shared" si="2"/>
        <v/>
      </c>
      <c r="B162" s="64"/>
      <c r="C162" s="64"/>
      <c r="D162" s="68"/>
      <c r="E162" s="66"/>
      <c r="F162" s="66"/>
    </row>
    <row r="163" spans="1:6" x14ac:dyDescent="0.2">
      <c r="A163" s="64" t="str">
        <f t="shared" si="2"/>
        <v/>
      </c>
      <c r="B163" s="64"/>
      <c r="C163" s="64"/>
      <c r="D163" s="68"/>
      <c r="E163" s="66"/>
      <c r="F163" s="66"/>
    </row>
    <row r="164" spans="1:6" x14ac:dyDescent="0.2">
      <c r="A164" s="64" t="str">
        <f t="shared" si="2"/>
        <v/>
      </c>
      <c r="B164" s="64"/>
      <c r="C164" s="64"/>
      <c r="D164" s="68"/>
      <c r="E164" s="66"/>
      <c r="F164" s="66"/>
    </row>
    <row r="165" spans="1:6" x14ac:dyDescent="0.2">
      <c r="A165" s="64" t="str">
        <f t="shared" si="2"/>
        <v/>
      </c>
      <c r="B165" s="64"/>
      <c r="C165" s="64"/>
      <c r="D165" s="68"/>
      <c r="E165" s="66"/>
      <c r="F165" s="66"/>
    </row>
    <row r="166" spans="1:6" x14ac:dyDescent="0.2">
      <c r="A166" s="64" t="str">
        <f t="shared" si="2"/>
        <v/>
      </c>
      <c r="B166" s="64"/>
      <c r="C166" s="64"/>
      <c r="D166" s="68"/>
      <c r="E166" s="66"/>
      <c r="F166" s="66"/>
    </row>
    <row r="167" spans="1:6" x14ac:dyDescent="0.2">
      <c r="A167" s="64" t="str">
        <f t="shared" si="2"/>
        <v/>
      </c>
      <c r="B167" s="64"/>
      <c r="C167" s="64"/>
      <c r="D167" s="68"/>
      <c r="E167" s="66"/>
      <c r="F167" s="66"/>
    </row>
    <row r="168" spans="1:6" x14ac:dyDescent="0.2">
      <c r="A168" s="64" t="str">
        <f t="shared" si="2"/>
        <v/>
      </c>
      <c r="B168" s="64"/>
      <c r="C168" s="64"/>
      <c r="D168" s="68"/>
      <c r="E168" s="66"/>
      <c r="F168" s="66"/>
    </row>
    <row r="169" spans="1:6" x14ac:dyDescent="0.2">
      <c r="A169" s="64" t="str">
        <f t="shared" si="2"/>
        <v/>
      </c>
      <c r="B169" s="64"/>
      <c r="C169" s="64"/>
      <c r="D169" s="68"/>
      <c r="E169" s="66"/>
      <c r="F169" s="66"/>
    </row>
    <row r="170" spans="1:6" x14ac:dyDescent="0.2">
      <c r="A170" s="64" t="str">
        <f t="shared" si="2"/>
        <v/>
      </c>
      <c r="B170" s="64"/>
      <c r="C170" s="64"/>
      <c r="D170" s="68"/>
      <c r="E170" s="66"/>
      <c r="F170" s="66"/>
    </row>
    <row r="171" spans="1:6" x14ac:dyDescent="0.2">
      <c r="A171" s="64" t="str">
        <f t="shared" si="2"/>
        <v/>
      </c>
      <c r="B171" s="64"/>
      <c r="C171" s="64"/>
      <c r="D171" s="68"/>
      <c r="E171" s="66"/>
      <c r="F171" s="66"/>
    </row>
    <row r="172" spans="1:6" x14ac:dyDescent="0.2">
      <c r="A172" s="64" t="str">
        <f t="shared" si="2"/>
        <v/>
      </c>
      <c r="B172" s="64"/>
      <c r="C172" s="64"/>
      <c r="D172" s="68"/>
      <c r="E172" s="66"/>
      <c r="F172" s="66"/>
    </row>
    <row r="173" spans="1:6" x14ac:dyDescent="0.2">
      <c r="A173" s="64" t="str">
        <f t="shared" si="2"/>
        <v/>
      </c>
      <c r="B173" s="64"/>
      <c r="C173" s="64"/>
      <c r="D173" s="68"/>
      <c r="E173" s="66"/>
      <c r="F173" s="66"/>
    </row>
    <row r="174" spans="1:6" x14ac:dyDescent="0.2">
      <c r="A174" s="64" t="str">
        <f t="shared" si="2"/>
        <v/>
      </c>
      <c r="B174" s="64"/>
      <c r="C174" s="64"/>
      <c r="D174" s="68"/>
      <c r="E174" s="66"/>
      <c r="F174" s="66"/>
    </row>
    <row r="175" spans="1:6" x14ac:dyDescent="0.2">
      <c r="A175" s="64" t="str">
        <f t="shared" si="2"/>
        <v/>
      </c>
      <c r="B175" s="64"/>
      <c r="C175" s="64"/>
      <c r="D175" s="68"/>
      <c r="E175" s="66"/>
      <c r="F175" s="66"/>
    </row>
    <row r="176" spans="1:6" x14ac:dyDescent="0.2">
      <c r="A176" s="64" t="str">
        <f t="shared" si="2"/>
        <v/>
      </c>
      <c r="B176" s="64"/>
      <c r="C176" s="64"/>
      <c r="D176" s="68"/>
      <c r="E176" s="66"/>
      <c r="F176" s="66"/>
    </row>
    <row r="177" spans="1:6" x14ac:dyDescent="0.2">
      <c r="A177" s="64" t="str">
        <f t="shared" si="2"/>
        <v/>
      </c>
      <c r="B177" s="64"/>
      <c r="C177" s="64"/>
      <c r="D177" s="68"/>
      <c r="E177" s="66"/>
      <c r="F177" s="66"/>
    </row>
    <row r="178" spans="1:6" x14ac:dyDescent="0.2">
      <c r="A178" s="64" t="str">
        <f t="shared" si="2"/>
        <v/>
      </c>
      <c r="B178" s="64"/>
      <c r="C178" s="64"/>
      <c r="D178" s="68"/>
      <c r="E178" s="66"/>
      <c r="F178" s="66"/>
    </row>
    <row r="179" spans="1:6" x14ac:dyDescent="0.2">
      <c r="A179" s="64" t="str">
        <f t="shared" si="2"/>
        <v/>
      </c>
      <c r="B179" s="64"/>
      <c r="C179" s="64"/>
      <c r="D179" s="68"/>
      <c r="E179" s="66"/>
      <c r="F179" s="66"/>
    </row>
    <row r="180" spans="1:6" x14ac:dyDescent="0.2">
      <c r="A180" s="64" t="str">
        <f t="shared" si="2"/>
        <v/>
      </c>
      <c r="B180" s="64"/>
      <c r="C180" s="64"/>
      <c r="D180" s="68"/>
      <c r="E180" s="66"/>
      <c r="F180" s="66"/>
    </row>
    <row r="181" spans="1:6" x14ac:dyDescent="0.2">
      <c r="A181" s="64" t="str">
        <f t="shared" si="2"/>
        <v/>
      </c>
      <c r="B181" s="64"/>
      <c r="C181" s="64"/>
      <c r="D181" s="68"/>
      <c r="E181" s="66"/>
      <c r="F181" s="66"/>
    </row>
    <row r="182" spans="1:6" x14ac:dyDescent="0.2">
      <c r="A182" s="64" t="str">
        <f t="shared" si="2"/>
        <v/>
      </c>
      <c r="B182" s="64"/>
      <c r="C182" s="64"/>
      <c r="D182" s="68"/>
      <c r="E182" s="66"/>
      <c r="F182" s="66"/>
    </row>
    <row r="183" spans="1:6" x14ac:dyDescent="0.2">
      <c r="A183" s="64" t="str">
        <f t="shared" si="2"/>
        <v/>
      </c>
      <c r="B183" s="64"/>
      <c r="C183" s="64"/>
      <c r="D183" s="68"/>
      <c r="E183" s="66"/>
      <c r="F183" s="66"/>
    </row>
    <row r="184" spans="1:6" x14ac:dyDescent="0.2">
      <c r="A184" s="64" t="str">
        <f t="shared" si="2"/>
        <v/>
      </c>
      <c r="B184" s="64"/>
      <c r="C184" s="64"/>
      <c r="D184" s="68"/>
      <c r="E184" s="66"/>
      <c r="F184" s="66"/>
    </row>
    <row r="185" spans="1:6" x14ac:dyDescent="0.2">
      <c r="A185" s="64" t="str">
        <f t="shared" si="2"/>
        <v/>
      </c>
      <c r="B185" s="64"/>
      <c r="C185" s="64"/>
      <c r="D185" s="68"/>
      <c r="E185" s="66"/>
      <c r="F185" s="66"/>
    </row>
    <row r="186" spans="1:6" x14ac:dyDescent="0.2">
      <c r="A186" s="64" t="str">
        <f t="shared" si="2"/>
        <v/>
      </c>
      <c r="B186" s="64"/>
      <c r="C186" s="64"/>
      <c r="D186" s="68"/>
      <c r="E186" s="66"/>
      <c r="F186" s="66"/>
    </row>
    <row r="187" spans="1:6" x14ac:dyDescent="0.2">
      <c r="A187" s="64" t="str">
        <f t="shared" si="2"/>
        <v/>
      </c>
      <c r="B187" s="64"/>
      <c r="C187" s="64"/>
      <c r="D187" s="68"/>
      <c r="E187" s="66"/>
      <c r="F187" s="66"/>
    </row>
    <row r="188" spans="1:6" x14ac:dyDescent="0.2">
      <c r="A188" s="64" t="str">
        <f t="shared" si="2"/>
        <v/>
      </c>
      <c r="B188" s="64"/>
      <c r="C188" s="64"/>
      <c r="D188" s="68"/>
      <c r="E188" s="66"/>
      <c r="F188" s="66"/>
    </row>
    <row r="189" spans="1:6" x14ac:dyDescent="0.2">
      <c r="A189" s="64" t="str">
        <f t="shared" si="2"/>
        <v/>
      </c>
      <c r="B189" s="64"/>
      <c r="C189" s="64"/>
      <c r="D189" s="68"/>
      <c r="E189" s="66"/>
      <c r="F189" s="66"/>
    </row>
    <row r="190" spans="1:6" x14ac:dyDescent="0.2">
      <c r="A190" s="64" t="str">
        <f t="shared" si="2"/>
        <v/>
      </c>
      <c r="B190" s="64"/>
      <c r="C190" s="64"/>
      <c r="D190" s="68"/>
      <c r="E190" s="66"/>
      <c r="F190" s="66"/>
    </row>
    <row r="191" spans="1:6" x14ac:dyDescent="0.2">
      <c r="A191" s="64" t="str">
        <f t="shared" si="2"/>
        <v/>
      </c>
      <c r="B191" s="64"/>
      <c r="C191" s="64"/>
      <c r="D191" s="68"/>
      <c r="E191" s="66"/>
      <c r="F191" s="66"/>
    </row>
    <row r="192" spans="1:6" x14ac:dyDescent="0.2">
      <c r="A192" s="64" t="str">
        <f t="shared" si="2"/>
        <v/>
      </c>
      <c r="B192" s="64"/>
      <c r="C192" s="64"/>
      <c r="D192" s="68"/>
      <c r="E192" s="66"/>
      <c r="F192" s="66"/>
    </row>
    <row r="193" spans="1:6" x14ac:dyDescent="0.2">
      <c r="A193" s="64" t="str">
        <f t="shared" si="2"/>
        <v/>
      </c>
      <c r="B193" s="64"/>
      <c r="C193" s="64"/>
      <c r="D193" s="68"/>
      <c r="E193" s="66"/>
      <c r="F193" s="66"/>
    </row>
    <row r="194" spans="1:6" x14ac:dyDescent="0.2">
      <c r="A194" s="64" t="str">
        <f t="shared" ref="A194:A257" si="3">CONCATENATE(B194, C194, D194)</f>
        <v/>
      </c>
      <c r="B194" s="64"/>
      <c r="C194" s="64"/>
      <c r="D194" s="68"/>
      <c r="E194" s="66"/>
      <c r="F194" s="66"/>
    </row>
    <row r="195" spans="1:6" x14ac:dyDescent="0.2">
      <c r="A195" s="64" t="str">
        <f t="shared" si="3"/>
        <v/>
      </c>
      <c r="B195" s="64"/>
      <c r="C195" s="64"/>
      <c r="D195" s="68"/>
      <c r="E195" s="66"/>
      <c r="F195" s="66"/>
    </row>
    <row r="196" spans="1:6" x14ac:dyDescent="0.2">
      <c r="A196" s="64" t="str">
        <f t="shared" si="3"/>
        <v/>
      </c>
      <c r="B196" s="64"/>
      <c r="C196" s="64"/>
      <c r="D196" s="68"/>
      <c r="E196" s="66"/>
      <c r="F196" s="66"/>
    </row>
    <row r="197" spans="1:6" x14ac:dyDescent="0.2">
      <c r="A197" s="64" t="str">
        <f t="shared" si="3"/>
        <v/>
      </c>
      <c r="B197" s="64"/>
      <c r="C197" s="64"/>
      <c r="D197" s="68"/>
      <c r="E197" s="66"/>
      <c r="F197" s="66"/>
    </row>
    <row r="198" spans="1:6" x14ac:dyDescent="0.2">
      <c r="A198" s="64" t="str">
        <f t="shared" si="3"/>
        <v/>
      </c>
      <c r="B198" s="64"/>
      <c r="C198" s="64"/>
      <c r="D198" s="68"/>
      <c r="E198" s="66"/>
      <c r="F198" s="66"/>
    </row>
    <row r="199" spans="1:6" x14ac:dyDescent="0.2">
      <c r="A199" s="64" t="str">
        <f t="shared" si="3"/>
        <v/>
      </c>
      <c r="B199" s="64"/>
      <c r="C199" s="64"/>
      <c r="D199" s="68"/>
      <c r="E199" s="66"/>
      <c r="F199" s="66"/>
    </row>
    <row r="200" spans="1:6" x14ac:dyDescent="0.2">
      <c r="A200" s="64" t="str">
        <f t="shared" si="3"/>
        <v/>
      </c>
      <c r="B200" s="64"/>
      <c r="C200" s="64"/>
      <c r="D200" s="68"/>
      <c r="E200" s="66"/>
      <c r="F200" s="66"/>
    </row>
    <row r="201" spans="1:6" x14ac:dyDescent="0.2">
      <c r="A201" s="64" t="str">
        <f t="shared" si="3"/>
        <v/>
      </c>
      <c r="B201" s="64"/>
      <c r="C201" s="64"/>
      <c r="D201" s="68"/>
      <c r="E201" s="66"/>
      <c r="F201" s="66"/>
    </row>
    <row r="202" spans="1:6" x14ac:dyDescent="0.2">
      <c r="A202" s="64" t="str">
        <f t="shared" si="3"/>
        <v/>
      </c>
      <c r="B202" s="64"/>
      <c r="C202" s="64"/>
      <c r="D202" s="68"/>
      <c r="E202" s="66"/>
      <c r="F202" s="66"/>
    </row>
    <row r="203" spans="1:6" x14ac:dyDescent="0.2">
      <c r="A203" s="64" t="str">
        <f t="shared" si="3"/>
        <v/>
      </c>
      <c r="B203" s="64"/>
      <c r="C203" s="64"/>
      <c r="D203" s="68"/>
      <c r="E203" s="66"/>
      <c r="F203" s="66"/>
    </row>
    <row r="204" spans="1:6" x14ac:dyDescent="0.2">
      <c r="A204" s="64" t="str">
        <f t="shared" si="3"/>
        <v/>
      </c>
      <c r="B204" s="64"/>
      <c r="C204" s="64"/>
      <c r="D204" s="68"/>
      <c r="E204" s="66"/>
      <c r="F204" s="66"/>
    </row>
    <row r="205" spans="1:6" x14ac:dyDescent="0.2">
      <c r="A205" s="64" t="str">
        <f t="shared" si="3"/>
        <v/>
      </c>
      <c r="B205" s="64"/>
      <c r="C205" s="64"/>
      <c r="D205" s="68"/>
      <c r="E205" s="66"/>
      <c r="F205" s="66"/>
    </row>
    <row r="206" spans="1:6" x14ac:dyDescent="0.2">
      <c r="A206" s="64" t="str">
        <f t="shared" si="3"/>
        <v/>
      </c>
      <c r="B206" s="64"/>
      <c r="C206" s="64"/>
      <c r="D206" s="68"/>
      <c r="E206" s="66"/>
      <c r="F206" s="66"/>
    </row>
    <row r="207" spans="1:6" x14ac:dyDescent="0.2">
      <c r="A207" s="64" t="str">
        <f t="shared" si="3"/>
        <v/>
      </c>
      <c r="B207" s="64"/>
      <c r="C207" s="64"/>
      <c r="D207" s="68"/>
      <c r="E207" s="66"/>
      <c r="F207" s="66"/>
    </row>
    <row r="208" spans="1:6" x14ac:dyDescent="0.2">
      <c r="A208" s="64" t="str">
        <f t="shared" si="3"/>
        <v/>
      </c>
      <c r="B208" s="64"/>
      <c r="C208" s="64"/>
      <c r="D208" s="68"/>
      <c r="E208" s="66"/>
      <c r="F208" s="66"/>
    </row>
    <row r="209" spans="1:6" x14ac:dyDescent="0.2">
      <c r="A209" s="64" t="str">
        <f t="shared" si="3"/>
        <v/>
      </c>
      <c r="B209" s="64"/>
      <c r="C209" s="64"/>
      <c r="D209" s="68"/>
      <c r="E209" s="66"/>
      <c r="F209" s="66"/>
    </row>
    <row r="210" spans="1:6" x14ac:dyDescent="0.2">
      <c r="A210" s="64" t="str">
        <f t="shared" si="3"/>
        <v/>
      </c>
      <c r="B210" s="64"/>
      <c r="C210" s="64"/>
      <c r="D210" s="68"/>
      <c r="E210" s="66"/>
      <c r="F210" s="66"/>
    </row>
    <row r="211" spans="1:6" x14ac:dyDescent="0.2">
      <c r="A211" s="64" t="str">
        <f t="shared" si="3"/>
        <v/>
      </c>
      <c r="B211" s="64"/>
      <c r="C211" s="64"/>
      <c r="D211" s="68"/>
      <c r="E211" s="66"/>
      <c r="F211" s="66"/>
    </row>
    <row r="212" spans="1:6" x14ac:dyDescent="0.2">
      <c r="A212" s="64" t="str">
        <f t="shared" si="3"/>
        <v/>
      </c>
      <c r="B212" s="64"/>
      <c r="C212" s="64"/>
      <c r="D212" s="68"/>
      <c r="E212" s="66"/>
      <c r="F212" s="66"/>
    </row>
    <row r="213" spans="1:6" x14ac:dyDescent="0.2">
      <c r="A213" s="64" t="str">
        <f t="shared" si="3"/>
        <v/>
      </c>
      <c r="B213" s="64"/>
      <c r="C213" s="64"/>
      <c r="D213" s="68"/>
      <c r="E213" s="66"/>
      <c r="F213" s="66"/>
    </row>
    <row r="214" spans="1:6" x14ac:dyDescent="0.2">
      <c r="A214" s="64" t="str">
        <f t="shared" si="3"/>
        <v/>
      </c>
      <c r="B214" s="64"/>
      <c r="C214" s="64"/>
      <c r="D214" s="68"/>
      <c r="E214" s="66"/>
      <c r="F214" s="66"/>
    </row>
    <row r="215" spans="1:6" x14ac:dyDescent="0.2">
      <c r="A215" s="64" t="str">
        <f t="shared" si="3"/>
        <v/>
      </c>
      <c r="B215" s="64"/>
      <c r="C215" s="64"/>
      <c r="D215" s="68"/>
      <c r="E215" s="66"/>
      <c r="F215" s="66"/>
    </row>
    <row r="216" spans="1:6" x14ac:dyDescent="0.2">
      <c r="A216" s="64" t="str">
        <f t="shared" si="3"/>
        <v/>
      </c>
      <c r="B216" s="64"/>
      <c r="C216" s="64"/>
      <c r="D216" s="68"/>
      <c r="E216" s="66"/>
      <c r="F216" s="66"/>
    </row>
    <row r="217" spans="1:6" x14ac:dyDescent="0.2">
      <c r="A217" s="64" t="str">
        <f t="shared" si="3"/>
        <v/>
      </c>
      <c r="B217" s="64"/>
      <c r="C217" s="64"/>
      <c r="D217" s="68"/>
      <c r="E217" s="66"/>
      <c r="F217" s="66"/>
    </row>
    <row r="218" spans="1:6" x14ac:dyDescent="0.2">
      <c r="A218" s="64" t="str">
        <f t="shared" si="3"/>
        <v/>
      </c>
      <c r="B218" s="64"/>
      <c r="C218" s="64"/>
      <c r="D218" s="68"/>
      <c r="E218" s="66"/>
      <c r="F218" s="66"/>
    </row>
    <row r="219" spans="1:6" x14ac:dyDescent="0.2">
      <c r="A219" s="64" t="str">
        <f t="shared" si="3"/>
        <v/>
      </c>
      <c r="B219" s="64"/>
      <c r="C219" s="64"/>
      <c r="D219" s="68"/>
      <c r="E219" s="66"/>
      <c r="F219" s="66"/>
    </row>
    <row r="220" spans="1:6" x14ac:dyDescent="0.2">
      <c r="A220" s="64" t="str">
        <f t="shared" si="3"/>
        <v/>
      </c>
      <c r="B220" s="64"/>
      <c r="C220" s="64"/>
      <c r="D220" s="68"/>
      <c r="E220" s="66"/>
      <c r="F220" s="66"/>
    </row>
    <row r="221" spans="1:6" x14ac:dyDescent="0.2">
      <c r="A221" s="64" t="str">
        <f t="shared" si="3"/>
        <v/>
      </c>
      <c r="B221" s="64"/>
      <c r="C221" s="64"/>
      <c r="D221" s="68"/>
      <c r="E221" s="66"/>
      <c r="F221" s="66"/>
    </row>
    <row r="222" spans="1:6" x14ac:dyDescent="0.2">
      <c r="A222" s="64" t="str">
        <f t="shared" si="3"/>
        <v/>
      </c>
      <c r="B222" s="64"/>
      <c r="C222" s="64"/>
      <c r="D222" s="68"/>
      <c r="E222" s="66"/>
      <c r="F222" s="66"/>
    </row>
    <row r="223" spans="1:6" x14ac:dyDescent="0.2">
      <c r="A223" s="64" t="str">
        <f t="shared" si="3"/>
        <v/>
      </c>
      <c r="B223" s="64"/>
      <c r="C223" s="64"/>
      <c r="D223" s="68"/>
      <c r="E223" s="66"/>
      <c r="F223" s="66"/>
    </row>
    <row r="224" spans="1:6" x14ac:dyDescent="0.2">
      <c r="A224" s="64" t="str">
        <f t="shared" si="3"/>
        <v/>
      </c>
      <c r="B224" s="64"/>
      <c r="C224" s="64"/>
      <c r="D224" s="68"/>
      <c r="E224" s="66"/>
      <c r="F224" s="66"/>
    </row>
    <row r="225" spans="1:6" x14ac:dyDescent="0.2">
      <c r="A225" s="64" t="str">
        <f t="shared" si="3"/>
        <v/>
      </c>
      <c r="B225" s="64"/>
      <c r="C225" s="64"/>
      <c r="D225" s="68"/>
      <c r="E225" s="66"/>
      <c r="F225" s="66"/>
    </row>
    <row r="226" spans="1:6" x14ac:dyDescent="0.2">
      <c r="A226" s="64" t="str">
        <f t="shared" si="3"/>
        <v/>
      </c>
      <c r="B226" s="64"/>
      <c r="C226" s="64"/>
      <c r="D226" s="68"/>
      <c r="E226" s="66"/>
      <c r="F226" s="66"/>
    </row>
    <row r="227" spans="1:6" x14ac:dyDescent="0.2">
      <c r="A227" s="64" t="str">
        <f t="shared" si="3"/>
        <v/>
      </c>
      <c r="B227" s="64"/>
      <c r="C227" s="64"/>
      <c r="D227" s="68"/>
      <c r="E227" s="66"/>
      <c r="F227" s="66"/>
    </row>
    <row r="228" spans="1:6" x14ac:dyDescent="0.2">
      <c r="A228" s="64" t="str">
        <f t="shared" si="3"/>
        <v/>
      </c>
      <c r="B228" s="64"/>
      <c r="C228" s="64"/>
      <c r="D228" s="68"/>
      <c r="E228" s="66"/>
      <c r="F228" s="66"/>
    </row>
    <row r="229" spans="1:6" x14ac:dyDescent="0.2">
      <c r="A229" s="64" t="str">
        <f t="shared" si="3"/>
        <v/>
      </c>
      <c r="B229" s="64"/>
      <c r="C229" s="64"/>
      <c r="D229" s="68"/>
      <c r="E229" s="66"/>
      <c r="F229" s="66"/>
    </row>
    <row r="230" spans="1:6" x14ac:dyDescent="0.2">
      <c r="A230" s="64" t="str">
        <f t="shared" si="3"/>
        <v/>
      </c>
      <c r="B230" s="64"/>
      <c r="C230" s="64"/>
      <c r="D230" s="68"/>
      <c r="E230" s="66"/>
      <c r="F230" s="66"/>
    </row>
    <row r="231" spans="1:6" x14ac:dyDescent="0.2">
      <c r="A231" s="64" t="str">
        <f t="shared" si="3"/>
        <v/>
      </c>
      <c r="B231" s="64"/>
      <c r="C231" s="64"/>
      <c r="D231" s="68"/>
      <c r="E231" s="66"/>
      <c r="F231" s="66"/>
    </row>
    <row r="232" spans="1:6" x14ac:dyDescent="0.2">
      <c r="A232" s="64" t="str">
        <f t="shared" si="3"/>
        <v/>
      </c>
      <c r="B232" s="64"/>
      <c r="C232" s="64"/>
      <c r="D232" s="68"/>
      <c r="E232" s="66"/>
      <c r="F232" s="66"/>
    </row>
    <row r="233" spans="1:6" x14ac:dyDescent="0.2">
      <c r="A233" s="64" t="str">
        <f t="shared" si="3"/>
        <v/>
      </c>
      <c r="B233" s="64"/>
      <c r="C233" s="64"/>
      <c r="D233" s="68"/>
      <c r="E233" s="66"/>
      <c r="F233" s="66"/>
    </row>
    <row r="234" spans="1:6" x14ac:dyDescent="0.2">
      <c r="A234" s="64" t="str">
        <f t="shared" si="3"/>
        <v/>
      </c>
      <c r="B234" s="64"/>
      <c r="C234" s="64"/>
      <c r="D234" s="68"/>
      <c r="E234" s="66"/>
      <c r="F234" s="66"/>
    </row>
    <row r="235" spans="1:6" x14ac:dyDescent="0.2">
      <c r="A235" s="64" t="str">
        <f t="shared" si="3"/>
        <v/>
      </c>
      <c r="B235" s="64"/>
      <c r="C235" s="64"/>
      <c r="D235" s="68"/>
      <c r="E235" s="66"/>
      <c r="F235" s="66"/>
    </row>
    <row r="236" spans="1:6" x14ac:dyDescent="0.2">
      <c r="A236" s="64" t="str">
        <f t="shared" si="3"/>
        <v/>
      </c>
      <c r="B236" s="64"/>
      <c r="C236" s="64"/>
      <c r="D236" s="68"/>
      <c r="E236" s="66"/>
      <c r="F236" s="66"/>
    </row>
    <row r="237" spans="1:6" x14ac:dyDescent="0.2">
      <c r="A237" s="64" t="str">
        <f t="shared" si="3"/>
        <v/>
      </c>
      <c r="B237" s="64"/>
      <c r="C237" s="64"/>
      <c r="D237" s="68"/>
      <c r="E237" s="66"/>
      <c r="F237" s="66"/>
    </row>
    <row r="238" spans="1:6" x14ac:dyDescent="0.2">
      <c r="A238" s="64" t="str">
        <f t="shared" si="3"/>
        <v/>
      </c>
      <c r="B238" s="64"/>
      <c r="C238" s="64"/>
      <c r="D238" s="68"/>
      <c r="E238" s="66"/>
      <c r="F238" s="66"/>
    </row>
    <row r="239" spans="1:6" x14ac:dyDescent="0.2">
      <c r="A239" s="64" t="str">
        <f t="shared" si="3"/>
        <v/>
      </c>
      <c r="B239" s="64"/>
      <c r="C239" s="64"/>
      <c r="D239" s="68"/>
      <c r="E239" s="66"/>
      <c r="F239" s="66"/>
    </row>
    <row r="240" spans="1:6" x14ac:dyDescent="0.2">
      <c r="A240" s="64" t="str">
        <f t="shared" si="3"/>
        <v/>
      </c>
      <c r="B240" s="64"/>
      <c r="C240" s="64"/>
      <c r="D240" s="68"/>
      <c r="E240" s="66"/>
      <c r="F240" s="66"/>
    </row>
    <row r="241" spans="1:6" x14ac:dyDescent="0.2">
      <c r="A241" s="64" t="str">
        <f t="shared" si="3"/>
        <v/>
      </c>
      <c r="B241" s="64"/>
      <c r="C241" s="64"/>
      <c r="D241" s="68"/>
      <c r="E241" s="66"/>
      <c r="F241" s="66"/>
    </row>
    <row r="242" spans="1:6" x14ac:dyDescent="0.2">
      <c r="A242" s="64" t="str">
        <f t="shared" si="3"/>
        <v/>
      </c>
      <c r="B242" s="64"/>
      <c r="C242" s="64"/>
      <c r="D242" s="68"/>
      <c r="E242" s="66"/>
      <c r="F242" s="66"/>
    </row>
    <row r="243" spans="1:6" x14ac:dyDescent="0.2">
      <c r="A243" s="64" t="str">
        <f t="shared" si="3"/>
        <v/>
      </c>
      <c r="B243" s="64"/>
      <c r="C243" s="64"/>
      <c r="D243" s="68"/>
      <c r="E243" s="66"/>
      <c r="F243" s="66"/>
    </row>
    <row r="244" spans="1:6" x14ac:dyDescent="0.2">
      <c r="A244" s="64" t="str">
        <f t="shared" si="3"/>
        <v/>
      </c>
      <c r="B244" s="64"/>
      <c r="C244" s="64"/>
      <c r="D244" s="68"/>
      <c r="E244" s="66"/>
      <c r="F244" s="66"/>
    </row>
    <row r="245" spans="1:6" x14ac:dyDescent="0.2">
      <c r="A245" s="64" t="str">
        <f t="shared" si="3"/>
        <v/>
      </c>
      <c r="B245" s="64"/>
      <c r="C245" s="64"/>
      <c r="D245" s="68"/>
      <c r="E245" s="66"/>
      <c r="F245" s="66"/>
    </row>
    <row r="246" spans="1:6" x14ac:dyDescent="0.2">
      <c r="A246" s="64" t="str">
        <f t="shared" si="3"/>
        <v/>
      </c>
      <c r="B246" s="64"/>
      <c r="C246" s="64"/>
      <c r="D246" s="68"/>
      <c r="E246" s="66"/>
      <c r="F246" s="66"/>
    </row>
    <row r="247" spans="1:6" x14ac:dyDescent="0.2">
      <c r="A247" s="64" t="str">
        <f t="shared" si="3"/>
        <v/>
      </c>
      <c r="B247" s="64"/>
      <c r="C247" s="64"/>
      <c r="D247" s="68"/>
      <c r="E247" s="66"/>
      <c r="F247" s="66"/>
    </row>
    <row r="248" spans="1:6" x14ac:dyDescent="0.2">
      <c r="A248" s="64" t="str">
        <f t="shared" si="3"/>
        <v/>
      </c>
      <c r="B248" s="64"/>
      <c r="C248" s="64"/>
      <c r="D248" s="68"/>
      <c r="E248" s="66"/>
      <c r="F248" s="66"/>
    </row>
    <row r="249" spans="1:6" x14ac:dyDescent="0.2">
      <c r="A249" s="64" t="str">
        <f t="shared" si="3"/>
        <v/>
      </c>
      <c r="B249" s="64"/>
      <c r="C249" s="64"/>
      <c r="D249" s="68"/>
      <c r="E249" s="66"/>
      <c r="F249" s="66"/>
    </row>
    <row r="250" spans="1:6" x14ac:dyDescent="0.2">
      <c r="A250" s="64" t="str">
        <f t="shared" si="3"/>
        <v/>
      </c>
      <c r="B250" s="64"/>
      <c r="C250" s="64"/>
      <c r="D250" s="68"/>
      <c r="E250" s="66"/>
      <c r="F250" s="66"/>
    </row>
    <row r="251" spans="1:6" x14ac:dyDescent="0.2">
      <c r="A251" s="64" t="str">
        <f t="shared" si="3"/>
        <v/>
      </c>
      <c r="B251" s="64"/>
      <c r="C251" s="64"/>
      <c r="D251" s="68"/>
      <c r="E251" s="66"/>
      <c r="F251" s="66"/>
    </row>
    <row r="252" spans="1:6" x14ac:dyDescent="0.2">
      <c r="A252" s="64" t="str">
        <f t="shared" si="3"/>
        <v/>
      </c>
      <c r="B252" s="64"/>
      <c r="C252" s="64"/>
      <c r="D252" s="68"/>
      <c r="E252" s="66"/>
      <c r="F252" s="66"/>
    </row>
    <row r="253" spans="1:6" x14ac:dyDescent="0.2">
      <c r="A253" s="64" t="str">
        <f t="shared" si="3"/>
        <v/>
      </c>
      <c r="B253" s="64"/>
      <c r="C253" s="64"/>
      <c r="D253" s="68"/>
      <c r="E253" s="66"/>
      <c r="F253" s="66"/>
    </row>
    <row r="254" spans="1:6" x14ac:dyDescent="0.2">
      <c r="A254" s="64" t="str">
        <f t="shared" si="3"/>
        <v/>
      </c>
      <c r="B254" s="64"/>
      <c r="C254" s="64"/>
      <c r="D254" s="68"/>
      <c r="E254" s="66"/>
      <c r="F254" s="66"/>
    </row>
    <row r="255" spans="1:6" x14ac:dyDescent="0.2">
      <c r="A255" s="64" t="str">
        <f t="shared" si="3"/>
        <v/>
      </c>
      <c r="B255" s="64"/>
      <c r="C255" s="64"/>
      <c r="D255" s="68"/>
      <c r="E255" s="66"/>
      <c r="F255" s="66"/>
    </row>
    <row r="256" spans="1:6" x14ac:dyDescent="0.2">
      <c r="A256" s="64" t="str">
        <f t="shared" si="3"/>
        <v/>
      </c>
      <c r="B256" s="64"/>
      <c r="C256" s="64"/>
      <c r="D256" s="68"/>
      <c r="E256" s="66"/>
      <c r="F256" s="66"/>
    </row>
    <row r="257" spans="1:6" x14ac:dyDescent="0.2">
      <c r="A257" s="64" t="str">
        <f t="shared" si="3"/>
        <v/>
      </c>
      <c r="B257" s="64"/>
      <c r="C257" s="64"/>
      <c r="D257" s="68"/>
      <c r="E257" s="66"/>
      <c r="F257" s="66"/>
    </row>
    <row r="258" spans="1:6" x14ac:dyDescent="0.2">
      <c r="A258" s="64" t="str">
        <f t="shared" ref="A258:A321" si="4">CONCATENATE(B258, C258, D258)</f>
        <v/>
      </c>
      <c r="B258" s="64"/>
      <c r="C258" s="64"/>
      <c r="D258" s="68"/>
      <c r="E258" s="66"/>
      <c r="F258" s="66"/>
    </row>
    <row r="259" spans="1:6" x14ac:dyDescent="0.2">
      <c r="A259" s="64" t="str">
        <f t="shared" si="4"/>
        <v/>
      </c>
      <c r="B259" s="64"/>
      <c r="C259" s="64"/>
      <c r="D259" s="68"/>
      <c r="E259" s="66"/>
      <c r="F259" s="66"/>
    </row>
    <row r="260" spans="1:6" x14ac:dyDescent="0.2">
      <c r="A260" s="64" t="str">
        <f t="shared" si="4"/>
        <v/>
      </c>
      <c r="B260" s="64"/>
      <c r="C260" s="64"/>
      <c r="D260" s="68"/>
      <c r="E260" s="66"/>
      <c r="F260" s="66"/>
    </row>
    <row r="261" spans="1:6" x14ac:dyDescent="0.2">
      <c r="A261" s="64" t="str">
        <f t="shared" si="4"/>
        <v/>
      </c>
      <c r="B261" s="64"/>
      <c r="C261" s="64"/>
      <c r="D261" s="68"/>
      <c r="E261" s="66"/>
      <c r="F261" s="66"/>
    </row>
    <row r="262" spans="1:6" x14ac:dyDescent="0.2">
      <c r="A262" s="64" t="str">
        <f t="shared" si="4"/>
        <v/>
      </c>
      <c r="B262" s="64"/>
      <c r="C262" s="64"/>
      <c r="D262" s="68"/>
      <c r="E262" s="66"/>
      <c r="F262" s="66"/>
    </row>
    <row r="263" spans="1:6" x14ac:dyDescent="0.2">
      <c r="A263" s="64" t="str">
        <f t="shared" si="4"/>
        <v/>
      </c>
      <c r="B263" s="64"/>
      <c r="C263" s="64"/>
      <c r="D263" s="68"/>
      <c r="E263" s="66"/>
      <c r="F263" s="66"/>
    </row>
    <row r="264" spans="1:6" x14ac:dyDescent="0.2">
      <c r="A264" s="64" t="str">
        <f t="shared" si="4"/>
        <v/>
      </c>
      <c r="B264" s="64"/>
      <c r="C264" s="64"/>
      <c r="D264" s="68"/>
      <c r="E264" s="66"/>
      <c r="F264" s="66"/>
    </row>
    <row r="265" spans="1:6" x14ac:dyDescent="0.2">
      <c r="A265" s="64" t="str">
        <f t="shared" si="4"/>
        <v/>
      </c>
      <c r="B265" s="64"/>
      <c r="C265" s="64"/>
      <c r="D265" s="68"/>
      <c r="E265" s="66"/>
      <c r="F265" s="66"/>
    </row>
    <row r="266" spans="1:6" x14ac:dyDescent="0.2">
      <c r="A266" s="64" t="str">
        <f t="shared" si="4"/>
        <v/>
      </c>
      <c r="B266" s="64"/>
      <c r="C266" s="64"/>
      <c r="D266" s="68"/>
      <c r="E266" s="66"/>
      <c r="F266" s="66"/>
    </row>
    <row r="267" spans="1:6" x14ac:dyDescent="0.2">
      <c r="A267" s="64" t="str">
        <f t="shared" si="4"/>
        <v/>
      </c>
      <c r="B267" s="64"/>
      <c r="C267" s="64"/>
      <c r="D267" s="68"/>
      <c r="E267" s="66"/>
      <c r="F267" s="66"/>
    </row>
    <row r="268" spans="1:6" x14ac:dyDescent="0.2">
      <c r="A268" s="64" t="str">
        <f t="shared" si="4"/>
        <v/>
      </c>
      <c r="B268" s="64"/>
      <c r="C268" s="64"/>
      <c r="D268" s="68"/>
      <c r="E268" s="66"/>
      <c r="F268" s="66"/>
    </row>
    <row r="269" spans="1:6" x14ac:dyDescent="0.2">
      <c r="A269" s="64" t="str">
        <f t="shared" si="4"/>
        <v/>
      </c>
      <c r="B269" s="64"/>
      <c r="C269" s="64"/>
      <c r="D269" s="68"/>
      <c r="E269" s="66"/>
      <c r="F269" s="66"/>
    </row>
    <row r="270" spans="1:6" x14ac:dyDescent="0.2">
      <c r="A270" s="64" t="str">
        <f t="shared" si="4"/>
        <v/>
      </c>
      <c r="B270" s="64"/>
      <c r="C270" s="64"/>
      <c r="D270" s="68"/>
      <c r="E270" s="66"/>
      <c r="F270" s="66"/>
    </row>
    <row r="271" spans="1:6" x14ac:dyDescent="0.2">
      <c r="A271" s="64" t="str">
        <f t="shared" si="4"/>
        <v/>
      </c>
      <c r="B271" s="64"/>
      <c r="C271" s="64"/>
      <c r="D271" s="68"/>
      <c r="E271" s="66"/>
      <c r="F271" s="66"/>
    </row>
    <row r="272" spans="1:6" x14ac:dyDescent="0.2">
      <c r="A272" s="64" t="str">
        <f t="shared" si="4"/>
        <v/>
      </c>
      <c r="B272" s="64"/>
      <c r="C272" s="64"/>
      <c r="D272" s="68"/>
      <c r="E272" s="66"/>
      <c r="F272" s="66"/>
    </row>
    <row r="273" spans="1:6" x14ac:dyDescent="0.2">
      <c r="A273" s="64" t="str">
        <f t="shared" si="4"/>
        <v/>
      </c>
      <c r="B273" s="64"/>
      <c r="C273" s="64"/>
      <c r="D273" s="68"/>
      <c r="E273" s="66"/>
      <c r="F273" s="66"/>
    </row>
    <row r="274" spans="1:6" x14ac:dyDescent="0.2">
      <c r="A274" s="64" t="str">
        <f t="shared" si="4"/>
        <v/>
      </c>
      <c r="B274" s="64"/>
      <c r="C274" s="64"/>
      <c r="D274" s="68"/>
      <c r="E274" s="66"/>
      <c r="F274" s="66"/>
    </row>
    <row r="275" spans="1:6" x14ac:dyDescent="0.2">
      <c r="A275" s="64" t="str">
        <f t="shared" si="4"/>
        <v/>
      </c>
      <c r="B275" s="64"/>
      <c r="C275" s="64"/>
      <c r="D275" s="68"/>
      <c r="E275" s="66"/>
      <c r="F275" s="66"/>
    </row>
    <row r="276" spans="1:6" x14ac:dyDescent="0.2">
      <c r="A276" s="64" t="str">
        <f t="shared" si="4"/>
        <v/>
      </c>
      <c r="B276" s="64"/>
      <c r="C276" s="64"/>
      <c r="D276" s="68"/>
      <c r="E276" s="66"/>
      <c r="F276" s="66"/>
    </row>
    <row r="277" spans="1:6" x14ac:dyDescent="0.2">
      <c r="A277" s="64" t="str">
        <f t="shared" si="4"/>
        <v/>
      </c>
      <c r="B277" s="64"/>
      <c r="C277" s="64"/>
      <c r="D277" s="68"/>
      <c r="E277" s="66"/>
      <c r="F277" s="66"/>
    </row>
    <row r="278" spans="1:6" x14ac:dyDescent="0.2">
      <c r="A278" s="64" t="str">
        <f t="shared" si="4"/>
        <v/>
      </c>
      <c r="B278" s="64"/>
      <c r="C278" s="64"/>
      <c r="D278" s="68"/>
      <c r="E278" s="66"/>
      <c r="F278" s="66"/>
    </row>
    <row r="279" spans="1:6" x14ac:dyDescent="0.2">
      <c r="A279" s="64" t="str">
        <f t="shared" si="4"/>
        <v/>
      </c>
      <c r="B279" s="64"/>
      <c r="C279" s="64"/>
      <c r="D279" s="68"/>
      <c r="E279" s="66"/>
      <c r="F279" s="66"/>
    </row>
    <row r="280" spans="1:6" x14ac:dyDescent="0.2">
      <c r="A280" s="64" t="str">
        <f t="shared" si="4"/>
        <v/>
      </c>
      <c r="B280" s="64"/>
      <c r="C280" s="64"/>
      <c r="D280" s="68"/>
      <c r="E280" s="66"/>
      <c r="F280" s="66"/>
    </row>
    <row r="281" spans="1:6" x14ac:dyDescent="0.2">
      <c r="A281" s="64" t="str">
        <f t="shared" si="4"/>
        <v/>
      </c>
      <c r="B281" s="64"/>
      <c r="C281" s="64"/>
      <c r="D281" s="68"/>
      <c r="E281" s="66"/>
      <c r="F281" s="66"/>
    </row>
    <row r="282" spans="1:6" x14ac:dyDescent="0.2">
      <c r="A282" s="64" t="str">
        <f t="shared" si="4"/>
        <v/>
      </c>
      <c r="B282" s="64"/>
      <c r="C282" s="64"/>
      <c r="D282" s="68"/>
      <c r="E282" s="66"/>
      <c r="F282" s="66"/>
    </row>
    <row r="283" spans="1:6" x14ac:dyDescent="0.2">
      <c r="A283" s="64" t="str">
        <f t="shared" si="4"/>
        <v/>
      </c>
      <c r="B283" s="64"/>
      <c r="C283" s="64"/>
      <c r="D283" s="68"/>
      <c r="E283" s="66"/>
      <c r="F283" s="66"/>
    </row>
    <row r="284" spans="1:6" x14ac:dyDescent="0.2">
      <c r="A284" s="64" t="str">
        <f t="shared" si="4"/>
        <v/>
      </c>
      <c r="B284" s="64"/>
      <c r="C284" s="64"/>
      <c r="D284" s="68"/>
      <c r="E284" s="66"/>
      <c r="F284" s="66"/>
    </row>
    <row r="285" spans="1:6" x14ac:dyDescent="0.2">
      <c r="A285" s="64" t="str">
        <f t="shared" si="4"/>
        <v/>
      </c>
      <c r="B285" s="64"/>
      <c r="C285" s="64"/>
      <c r="D285" s="68"/>
      <c r="E285" s="66"/>
      <c r="F285" s="66"/>
    </row>
    <row r="286" spans="1:6" x14ac:dyDescent="0.2">
      <c r="A286" s="64" t="str">
        <f t="shared" si="4"/>
        <v/>
      </c>
      <c r="B286" s="64"/>
      <c r="C286" s="64"/>
      <c r="D286" s="68"/>
      <c r="E286" s="66"/>
      <c r="F286" s="66"/>
    </row>
    <row r="287" spans="1:6" x14ac:dyDescent="0.2">
      <c r="A287" s="64" t="str">
        <f t="shared" si="4"/>
        <v/>
      </c>
      <c r="B287" s="64"/>
      <c r="C287" s="64"/>
      <c r="D287" s="68"/>
      <c r="E287" s="66"/>
      <c r="F287" s="66"/>
    </row>
    <row r="288" spans="1:6" x14ac:dyDescent="0.2">
      <c r="A288" s="64" t="str">
        <f t="shared" si="4"/>
        <v/>
      </c>
      <c r="B288" s="64"/>
      <c r="C288" s="64"/>
      <c r="D288" s="68"/>
      <c r="E288" s="66"/>
      <c r="F288" s="66"/>
    </row>
    <row r="289" spans="1:6" x14ac:dyDescent="0.2">
      <c r="A289" s="64" t="str">
        <f t="shared" si="4"/>
        <v/>
      </c>
      <c r="B289" s="64"/>
      <c r="C289" s="64"/>
      <c r="D289" s="68"/>
      <c r="E289" s="66"/>
      <c r="F289" s="66"/>
    </row>
    <row r="290" spans="1:6" x14ac:dyDescent="0.2">
      <c r="A290" s="64" t="str">
        <f t="shared" si="4"/>
        <v/>
      </c>
      <c r="B290" s="64"/>
      <c r="C290" s="64"/>
      <c r="D290" s="68"/>
      <c r="E290" s="66"/>
      <c r="F290" s="66"/>
    </row>
    <row r="291" spans="1:6" x14ac:dyDescent="0.2">
      <c r="A291" s="64" t="str">
        <f t="shared" si="4"/>
        <v/>
      </c>
      <c r="B291" s="64"/>
      <c r="C291" s="64"/>
      <c r="D291" s="68"/>
      <c r="E291" s="66"/>
      <c r="F291" s="66"/>
    </row>
    <row r="292" spans="1:6" x14ac:dyDescent="0.2">
      <c r="A292" s="64" t="str">
        <f t="shared" si="4"/>
        <v/>
      </c>
      <c r="B292" s="64"/>
      <c r="C292" s="64"/>
      <c r="D292" s="68"/>
      <c r="E292" s="66"/>
      <c r="F292" s="66"/>
    </row>
    <row r="293" spans="1:6" x14ac:dyDescent="0.2">
      <c r="A293" s="64" t="str">
        <f t="shared" si="4"/>
        <v/>
      </c>
      <c r="B293" s="64"/>
      <c r="C293" s="64"/>
      <c r="D293" s="68"/>
      <c r="E293" s="66"/>
      <c r="F293" s="66"/>
    </row>
    <row r="294" spans="1:6" x14ac:dyDescent="0.2">
      <c r="A294" s="64" t="str">
        <f t="shared" si="4"/>
        <v/>
      </c>
      <c r="B294" s="64"/>
      <c r="C294" s="64"/>
      <c r="D294" s="68"/>
      <c r="E294" s="66"/>
      <c r="F294" s="66"/>
    </row>
    <row r="295" spans="1:6" x14ac:dyDescent="0.2">
      <c r="A295" s="64" t="str">
        <f t="shared" si="4"/>
        <v/>
      </c>
      <c r="B295" s="64"/>
      <c r="C295" s="64"/>
      <c r="D295" s="68"/>
      <c r="E295" s="66"/>
      <c r="F295" s="66"/>
    </row>
    <row r="296" spans="1:6" x14ac:dyDescent="0.2">
      <c r="A296" s="64" t="str">
        <f t="shared" si="4"/>
        <v/>
      </c>
      <c r="B296" s="64"/>
      <c r="C296" s="64"/>
      <c r="D296" s="68"/>
      <c r="E296" s="66"/>
      <c r="F296" s="66"/>
    </row>
    <row r="297" spans="1:6" x14ac:dyDescent="0.2">
      <c r="A297" s="64" t="str">
        <f t="shared" si="4"/>
        <v/>
      </c>
      <c r="B297" s="64"/>
      <c r="C297" s="64"/>
      <c r="D297" s="68"/>
      <c r="E297" s="66"/>
      <c r="F297" s="66"/>
    </row>
    <row r="298" spans="1:6" x14ac:dyDescent="0.2">
      <c r="A298" s="64" t="str">
        <f t="shared" si="4"/>
        <v/>
      </c>
      <c r="B298" s="64"/>
      <c r="C298" s="64"/>
      <c r="D298" s="68"/>
      <c r="E298" s="66"/>
      <c r="F298" s="66"/>
    </row>
    <row r="299" spans="1:6" x14ac:dyDescent="0.2">
      <c r="A299" s="64" t="str">
        <f t="shared" si="4"/>
        <v/>
      </c>
      <c r="B299" s="64"/>
      <c r="C299" s="64"/>
      <c r="D299" s="68"/>
      <c r="E299" s="66"/>
      <c r="F299" s="66"/>
    </row>
    <row r="300" spans="1:6" x14ac:dyDescent="0.2">
      <c r="A300" s="64" t="str">
        <f t="shared" si="4"/>
        <v/>
      </c>
      <c r="B300" s="64"/>
      <c r="C300" s="64"/>
      <c r="D300" s="68"/>
      <c r="E300" s="66"/>
      <c r="F300" s="66"/>
    </row>
    <row r="301" spans="1:6" x14ac:dyDescent="0.2">
      <c r="A301" s="64" t="str">
        <f t="shared" si="4"/>
        <v/>
      </c>
      <c r="B301" s="64"/>
      <c r="C301" s="64"/>
      <c r="D301" s="68"/>
      <c r="E301" s="66"/>
      <c r="F301" s="66"/>
    </row>
    <row r="302" spans="1:6" x14ac:dyDescent="0.2">
      <c r="A302" s="64" t="str">
        <f t="shared" si="4"/>
        <v/>
      </c>
      <c r="B302" s="64"/>
      <c r="C302" s="64"/>
      <c r="D302" s="68"/>
      <c r="E302" s="66"/>
      <c r="F302" s="66"/>
    </row>
    <row r="303" spans="1:6" x14ac:dyDescent="0.2">
      <c r="A303" s="64" t="str">
        <f t="shared" si="4"/>
        <v/>
      </c>
      <c r="B303" s="64"/>
      <c r="C303" s="64"/>
      <c r="D303" s="68"/>
      <c r="E303" s="66"/>
      <c r="F303" s="66"/>
    </row>
    <row r="304" spans="1:6" x14ac:dyDescent="0.2">
      <c r="A304" s="64" t="str">
        <f t="shared" si="4"/>
        <v/>
      </c>
      <c r="B304" s="64"/>
      <c r="C304" s="64"/>
      <c r="D304" s="68"/>
      <c r="E304" s="66"/>
      <c r="F304" s="66"/>
    </row>
    <row r="305" spans="1:6" x14ac:dyDescent="0.2">
      <c r="A305" s="64" t="str">
        <f t="shared" si="4"/>
        <v/>
      </c>
      <c r="B305" s="64"/>
      <c r="C305" s="64"/>
      <c r="D305" s="68"/>
      <c r="E305" s="66"/>
      <c r="F305" s="66"/>
    </row>
    <row r="306" spans="1:6" x14ac:dyDescent="0.2">
      <c r="A306" s="64" t="str">
        <f t="shared" si="4"/>
        <v/>
      </c>
      <c r="B306" s="64"/>
      <c r="C306" s="64"/>
      <c r="D306" s="68"/>
      <c r="E306" s="66"/>
      <c r="F306" s="66"/>
    </row>
    <row r="307" spans="1:6" x14ac:dyDescent="0.2">
      <c r="A307" s="64" t="str">
        <f t="shared" si="4"/>
        <v/>
      </c>
      <c r="B307" s="64"/>
      <c r="C307" s="64"/>
      <c r="D307" s="68"/>
      <c r="E307" s="66"/>
      <c r="F307" s="66"/>
    </row>
    <row r="308" spans="1:6" x14ac:dyDescent="0.2">
      <c r="A308" s="64" t="str">
        <f t="shared" si="4"/>
        <v/>
      </c>
      <c r="B308" s="64"/>
      <c r="C308" s="64"/>
      <c r="D308" s="68"/>
      <c r="E308" s="66"/>
      <c r="F308" s="66"/>
    </row>
    <row r="309" spans="1:6" x14ac:dyDescent="0.2">
      <c r="A309" s="64" t="str">
        <f t="shared" si="4"/>
        <v/>
      </c>
      <c r="B309" s="64"/>
      <c r="C309" s="64"/>
      <c r="D309" s="68"/>
      <c r="E309" s="66"/>
      <c r="F309" s="66"/>
    </row>
    <row r="310" spans="1:6" x14ac:dyDescent="0.2">
      <c r="A310" s="64" t="str">
        <f t="shared" si="4"/>
        <v/>
      </c>
      <c r="B310" s="64"/>
      <c r="C310" s="64"/>
      <c r="D310" s="68"/>
      <c r="E310" s="66"/>
      <c r="F310" s="66"/>
    </row>
    <row r="311" spans="1:6" x14ac:dyDescent="0.2">
      <c r="A311" s="64" t="str">
        <f t="shared" si="4"/>
        <v/>
      </c>
      <c r="B311" s="64"/>
      <c r="C311" s="64"/>
      <c r="D311" s="68"/>
      <c r="E311" s="66"/>
      <c r="F311" s="66"/>
    </row>
    <row r="312" spans="1:6" x14ac:dyDescent="0.2">
      <c r="A312" s="64" t="str">
        <f t="shared" si="4"/>
        <v/>
      </c>
      <c r="B312" s="64"/>
      <c r="C312" s="64"/>
      <c r="D312" s="68"/>
      <c r="E312" s="66"/>
      <c r="F312" s="66"/>
    </row>
    <row r="313" spans="1:6" x14ac:dyDescent="0.2">
      <c r="A313" s="64" t="str">
        <f t="shared" si="4"/>
        <v/>
      </c>
      <c r="B313" s="64"/>
      <c r="C313" s="64"/>
      <c r="D313" s="68"/>
      <c r="E313" s="66"/>
      <c r="F313" s="66"/>
    </row>
    <row r="314" spans="1:6" x14ac:dyDescent="0.2">
      <c r="A314" s="64" t="str">
        <f t="shared" si="4"/>
        <v/>
      </c>
      <c r="B314" s="64"/>
      <c r="C314" s="64"/>
      <c r="D314" s="68"/>
      <c r="E314" s="66"/>
      <c r="F314" s="66"/>
    </row>
    <row r="315" spans="1:6" x14ac:dyDescent="0.2">
      <c r="A315" s="64" t="str">
        <f t="shared" si="4"/>
        <v/>
      </c>
      <c r="B315" s="64"/>
      <c r="C315" s="64"/>
      <c r="D315" s="68"/>
      <c r="E315" s="66"/>
      <c r="F315" s="66"/>
    </row>
    <row r="316" spans="1:6" x14ac:dyDescent="0.2">
      <c r="A316" s="64" t="str">
        <f t="shared" si="4"/>
        <v/>
      </c>
      <c r="B316" s="64"/>
      <c r="C316" s="64"/>
      <c r="D316" s="68"/>
      <c r="E316" s="66"/>
      <c r="F316" s="66"/>
    </row>
    <row r="317" spans="1:6" x14ac:dyDescent="0.2">
      <c r="A317" s="64" t="str">
        <f t="shared" si="4"/>
        <v/>
      </c>
      <c r="B317" s="64"/>
      <c r="C317" s="64"/>
      <c r="D317" s="68"/>
      <c r="E317" s="66"/>
      <c r="F317" s="66"/>
    </row>
    <row r="318" spans="1:6" x14ac:dyDescent="0.2">
      <c r="A318" s="64" t="str">
        <f t="shared" si="4"/>
        <v/>
      </c>
      <c r="B318" s="64"/>
      <c r="C318" s="64"/>
      <c r="D318" s="68"/>
      <c r="E318" s="66"/>
      <c r="F318" s="66"/>
    </row>
    <row r="319" spans="1:6" x14ac:dyDescent="0.2">
      <c r="A319" s="64" t="str">
        <f t="shared" si="4"/>
        <v/>
      </c>
      <c r="B319" s="64"/>
      <c r="C319" s="64"/>
      <c r="D319" s="68"/>
      <c r="E319" s="66"/>
      <c r="F319" s="66"/>
    </row>
    <row r="320" spans="1:6" x14ac:dyDescent="0.2">
      <c r="A320" s="64" t="str">
        <f t="shared" si="4"/>
        <v/>
      </c>
      <c r="B320" s="64"/>
      <c r="C320" s="64"/>
      <c r="D320" s="68"/>
      <c r="E320" s="66"/>
      <c r="F320" s="66"/>
    </row>
    <row r="321" spans="1:6" x14ac:dyDescent="0.2">
      <c r="A321" s="64" t="str">
        <f t="shared" si="4"/>
        <v/>
      </c>
      <c r="B321" s="64"/>
      <c r="C321" s="64"/>
      <c r="D321" s="68"/>
      <c r="E321" s="66"/>
      <c r="F321" s="66"/>
    </row>
    <row r="322" spans="1:6" x14ac:dyDescent="0.2">
      <c r="A322" s="64" t="str">
        <f t="shared" ref="A322:A385" si="5">CONCATENATE(B322, C322, D322)</f>
        <v/>
      </c>
      <c r="B322" s="64"/>
      <c r="C322" s="64"/>
      <c r="D322" s="68"/>
      <c r="E322" s="66"/>
      <c r="F322" s="66"/>
    </row>
    <row r="323" spans="1:6" x14ac:dyDescent="0.2">
      <c r="A323" s="64" t="str">
        <f t="shared" si="5"/>
        <v/>
      </c>
      <c r="B323" s="64"/>
      <c r="C323" s="64"/>
      <c r="D323" s="68"/>
      <c r="E323" s="66"/>
      <c r="F323" s="66"/>
    </row>
    <row r="324" spans="1:6" x14ac:dyDescent="0.2">
      <c r="A324" s="64" t="str">
        <f t="shared" si="5"/>
        <v/>
      </c>
      <c r="B324" s="64"/>
      <c r="C324" s="64"/>
      <c r="D324" s="68"/>
      <c r="E324" s="66"/>
      <c r="F324" s="66"/>
    </row>
    <row r="325" spans="1:6" x14ac:dyDescent="0.2">
      <c r="A325" s="64" t="str">
        <f t="shared" si="5"/>
        <v/>
      </c>
      <c r="B325" s="64"/>
      <c r="C325" s="64"/>
      <c r="D325" s="68"/>
      <c r="E325" s="66"/>
      <c r="F325" s="66"/>
    </row>
    <row r="326" spans="1:6" x14ac:dyDescent="0.2">
      <c r="A326" s="64" t="str">
        <f t="shared" si="5"/>
        <v/>
      </c>
      <c r="B326" s="64"/>
      <c r="C326" s="64"/>
      <c r="D326" s="68"/>
      <c r="E326" s="66"/>
      <c r="F326" s="66"/>
    </row>
    <row r="327" spans="1:6" x14ac:dyDescent="0.2">
      <c r="A327" s="64" t="str">
        <f t="shared" si="5"/>
        <v/>
      </c>
      <c r="B327" s="64"/>
      <c r="C327" s="64"/>
      <c r="D327" s="68"/>
      <c r="E327" s="66"/>
      <c r="F327" s="66"/>
    </row>
    <row r="328" spans="1:6" x14ac:dyDescent="0.2">
      <c r="A328" s="64" t="str">
        <f t="shared" si="5"/>
        <v/>
      </c>
      <c r="B328" s="64"/>
      <c r="C328" s="64"/>
      <c r="D328" s="68"/>
      <c r="E328" s="66"/>
      <c r="F328" s="66"/>
    </row>
    <row r="329" spans="1:6" x14ac:dyDescent="0.2">
      <c r="A329" s="64" t="str">
        <f t="shared" si="5"/>
        <v/>
      </c>
      <c r="B329" s="64"/>
      <c r="C329" s="64"/>
      <c r="D329" s="68"/>
      <c r="E329" s="66"/>
      <c r="F329" s="66"/>
    </row>
    <row r="330" spans="1:6" x14ac:dyDescent="0.2">
      <c r="A330" s="64" t="str">
        <f t="shared" si="5"/>
        <v/>
      </c>
      <c r="B330" s="64"/>
      <c r="C330" s="64"/>
      <c r="D330" s="68"/>
      <c r="E330" s="66"/>
      <c r="F330" s="66"/>
    </row>
    <row r="331" spans="1:6" x14ac:dyDescent="0.2">
      <c r="A331" s="64" t="str">
        <f t="shared" si="5"/>
        <v/>
      </c>
      <c r="B331" s="64"/>
      <c r="C331" s="64"/>
      <c r="D331" s="68"/>
      <c r="E331" s="66"/>
      <c r="F331" s="66"/>
    </row>
    <row r="332" spans="1:6" x14ac:dyDescent="0.2">
      <c r="A332" s="64" t="str">
        <f t="shared" si="5"/>
        <v/>
      </c>
      <c r="B332" s="64"/>
      <c r="C332" s="64"/>
      <c r="D332" s="68"/>
      <c r="E332" s="66"/>
      <c r="F332" s="66"/>
    </row>
    <row r="333" spans="1:6" x14ac:dyDescent="0.2">
      <c r="A333" s="64" t="str">
        <f t="shared" si="5"/>
        <v/>
      </c>
      <c r="B333" s="64"/>
      <c r="C333" s="64"/>
      <c r="D333" s="68"/>
      <c r="E333" s="66"/>
      <c r="F333" s="66"/>
    </row>
    <row r="334" spans="1:6" x14ac:dyDescent="0.2">
      <c r="A334" s="64" t="str">
        <f t="shared" si="5"/>
        <v/>
      </c>
      <c r="B334" s="64"/>
      <c r="C334" s="64"/>
      <c r="D334" s="68"/>
      <c r="E334" s="66"/>
      <c r="F334" s="66"/>
    </row>
    <row r="335" spans="1:6" x14ac:dyDescent="0.2">
      <c r="A335" s="64" t="str">
        <f t="shared" si="5"/>
        <v/>
      </c>
      <c r="B335" s="64"/>
      <c r="C335" s="64"/>
      <c r="D335" s="68"/>
      <c r="E335" s="66"/>
      <c r="F335" s="66"/>
    </row>
    <row r="336" spans="1:6" x14ac:dyDescent="0.2">
      <c r="A336" s="64" t="str">
        <f t="shared" si="5"/>
        <v/>
      </c>
      <c r="B336" s="64"/>
      <c r="C336" s="64"/>
      <c r="D336" s="68"/>
      <c r="E336" s="66"/>
      <c r="F336" s="66"/>
    </row>
    <row r="337" spans="1:6" x14ac:dyDescent="0.2">
      <c r="A337" s="64" t="str">
        <f t="shared" si="5"/>
        <v/>
      </c>
      <c r="B337" s="64"/>
      <c r="C337" s="64"/>
      <c r="D337" s="68"/>
      <c r="E337" s="66"/>
      <c r="F337" s="66"/>
    </row>
    <row r="338" spans="1:6" x14ac:dyDescent="0.2">
      <c r="A338" s="64" t="str">
        <f t="shared" si="5"/>
        <v/>
      </c>
      <c r="B338" s="64"/>
      <c r="C338" s="64"/>
      <c r="D338" s="68"/>
      <c r="E338" s="66"/>
      <c r="F338" s="66"/>
    </row>
    <row r="339" spans="1:6" x14ac:dyDescent="0.2">
      <c r="A339" s="64" t="str">
        <f t="shared" si="5"/>
        <v/>
      </c>
      <c r="B339" s="64"/>
      <c r="C339" s="64"/>
      <c r="D339" s="68"/>
      <c r="E339" s="66"/>
      <c r="F339" s="66"/>
    </row>
    <row r="340" spans="1:6" x14ac:dyDescent="0.2">
      <c r="A340" s="64" t="str">
        <f t="shared" si="5"/>
        <v/>
      </c>
      <c r="B340" s="64"/>
      <c r="C340" s="64"/>
      <c r="D340" s="68"/>
      <c r="E340" s="66"/>
      <c r="F340" s="66"/>
    </row>
    <row r="341" spans="1:6" x14ac:dyDescent="0.2">
      <c r="A341" s="64" t="str">
        <f t="shared" si="5"/>
        <v/>
      </c>
      <c r="B341" s="64"/>
      <c r="C341" s="64"/>
      <c r="D341" s="68"/>
      <c r="E341" s="66"/>
      <c r="F341" s="66"/>
    </row>
    <row r="342" spans="1:6" x14ac:dyDescent="0.2">
      <c r="A342" s="64" t="str">
        <f t="shared" si="5"/>
        <v/>
      </c>
      <c r="B342" s="64"/>
      <c r="C342" s="64"/>
      <c r="D342" s="68"/>
      <c r="E342" s="66"/>
      <c r="F342" s="66"/>
    </row>
    <row r="343" spans="1:6" x14ac:dyDescent="0.2">
      <c r="A343" s="64" t="str">
        <f t="shared" si="5"/>
        <v/>
      </c>
      <c r="B343" s="64"/>
      <c r="C343" s="64"/>
      <c r="D343" s="68"/>
      <c r="E343" s="66"/>
      <c r="F343" s="66"/>
    </row>
    <row r="344" spans="1:6" x14ac:dyDescent="0.2">
      <c r="A344" s="64" t="str">
        <f t="shared" si="5"/>
        <v/>
      </c>
      <c r="B344" s="64"/>
      <c r="C344" s="64"/>
      <c r="D344" s="68"/>
      <c r="E344" s="66"/>
      <c r="F344" s="66"/>
    </row>
    <row r="345" spans="1:6" x14ac:dyDescent="0.2">
      <c r="A345" s="64" t="str">
        <f t="shared" si="5"/>
        <v/>
      </c>
      <c r="B345" s="64"/>
      <c r="C345" s="64"/>
      <c r="D345" s="68"/>
      <c r="E345" s="66"/>
      <c r="F345" s="66"/>
    </row>
    <row r="346" spans="1:6" x14ac:dyDescent="0.2">
      <c r="A346" s="64" t="str">
        <f t="shared" si="5"/>
        <v/>
      </c>
      <c r="B346" s="64"/>
      <c r="C346" s="64"/>
      <c r="D346" s="68"/>
      <c r="E346" s="66"/>
      <c r="F346" s="66"/>
    </row>
    <row r="347" spans="1:6" x14ac:dyDescent="0.2">
      <c r="A347" s="64" t="str">
        <f t="shared" si="5"/>
        <v/>
      </c>
      <c r="B347" s="64"/>
      <c r="C347" s="64"/>
      <c r="D347" s="68"/>
      <c r="E347" s="66"/>
      <c r="F347" s="66"/>
    </row>
    <row r="348" spans="1:6" x14ac:dyDescent="0.2">
      <c r="A348" s="64" t="str">
        <f t="shared" si="5"/>
        <v/>
      </c>
      <c r="B348" s="64"/>
      <c r="C348" s="64"/>
      <c r="D348" s="68"/>
      <c r="E348" s="66"/>
      <c r="F348" s="66"/>
    </row>
    <row r="349" spans="1:6" x14ac:dyDescent="0.2">
      <c r="A349" s="64" t="str">
        <f t="shared" si="5"/>
        <v/>
      </c>
      <c r="B349" s="64"/>
      <c r="C349" s="64"/>
      <c r="D349" s="68"/>
      <c r="E349" s="66"/>
      <c r="F349" s="66"/>
    </row>
    <row r="350" spans="1:6" x14ac:dyDescent="0.2">
      <c r="A350" s="64" t="str">
        <f t="shared" si="5"/>
        <v/>
      </c>
      <c r="B350" s="64"/>
      <c r="C350" s="64"/>
      <c r="D350" s="68"/>
      <c r="E350" s="66"/>
      <c r="F350" s="66"/>
    </row>
    <row r="351" spans="1:6" x14ac:dyDescent="0.2">
      <c r="A351" s="64" t="str">
        <f t="shared" si="5"/>
        <v/>
      </c>
      <c r="B351" s="64"/>
      <c r="C351" s="64"/>
      <c r="D351" s="68"/>
      <c r="E351" s="66"/>
      <c r="F351" s="66"/>
    </row>
    <row r="352" spans="1:6" x14ac:dyDescent="0.2">
      <c r="A352" s="64" t="str">
        <f t="shared" si="5"/>
        <v/>
      </c>
      <c r="B352" s="64"/>
      <c r="C352" s="64"/>
      <c r="D352" s="68"/>
      <c r="E352" s="66"/>
      <c r="F352" s="66"/>
    </row>
    <row r="353" spans="1:6" x14ac:dyDescent="0.2">
      <c r="A353" s="64" t="str">
        <f t="shared" si="5"/>
        <v/>
      </c>
      <c r="B353" s="64"/>
      <c r="C353" s="64"/>
      <c r="D353" s="68"/>
      <c r="E353" s="66"/>
      <c r="F353" s="66"/>
    </row>
    <row r="354" spans="1:6" x14ac:dyDescent="0.2">
      <c r="A354" s="64" t="str">
        <f t="shared" si="5"/>
        <v/>
      </c>
      <c r="B354" s="64"/>
      <c r="C354" s="64"/>
      <c r="D354" s="68"/>
      <c r="E354" s="66"/>
      <c r="F354" s="66"/>
    </row>
    <row r="355" spans="1:6" x14ac:dyDescent="0.2">
      <c r="A355" s="64" t="str">
        <f t="shared" si="5"/>
        <v/>
      </c>
      <c r="B355" s="64"/>
      <c r="C355" s="64"/>
      <c r="D355" s="68"/>
      <c r="E355" s="66"/>
      <c r="F355" s="66"/>
    </row>
    <row r="356" spans="1:6" x14ac:dyDescent="0.2">
      <c r="A356" s="64" t="str">
        <f t="shared" si="5"/>
        <v/>
      </c>
      <c r="B356" s="64"/>
      <c r="C356" s="64"/>
      <c r="D356" s="68"/>
      <c r="E356" s="66"/>
      <c r="F356" s="66"/>
    </row>
    <row r="357" spans="1:6" x14ac:dyDescent="0.2">
      <c r="A357" s="64" t="str">
        <f t="shared" si="5"/>
        <v/>
      </c>
      <c r="B357" s="64"/>
      <c r="C357" s="64"/>
      <c r="D357" s="68"/>
      <c r="E357" s="66"/>
      <c r="F357" s="66"/>
    </row>
    <row r="358" spans="1:6" x14ac:dyDescent="0.2">
      <c r="A358" s="64" t="str">
        <f t="shared" si="5"/>
        <v/>
      </c>
      <c r="B358" s="64"/>
      <c r="C358" s="64"/>
      <c r="D358" s="68"/>
      <c r="E358" s="66"/>
      <c r="F358" s="66"/>
    </row>
    <row r="359" spans="1:6" x14ac:dyDescent="0.2">
      <c r="A359" s="64" t="str">
        <f t="shared" si="5"/>
        <v/>
      </c>
      <c r="B359" s="64"/>
      <c r="C359" s="64"/>
      <c r="D359" s="68"/>
      <c r="E359" s="66"/>
      <c r="F359" s="66"/>
    </row>
    <row r="360" spans="1:6" x14ac:dyDescent="0.2">
      <c r="A360" s="64" t="str">
        <f t="shared" si="5"/>
        <v/>
      </c>
      <c r="B360" s="64"/>
      <c r="C360" s="64"/>
      <c r="D360" s="68"/>
      <c r="E360" s="66"/>
      <c r="F360" s="66"/>
    </row>
    <row r="361" spans="1:6" x14ac:dyDescent="0.2">
      <c r="A361" s="64" t="str">
        <f t="shared" si="5"/>
        <v/>
      </c>
      <c r="B361" s="64"/>
      <c r="C361" s="64"/>
      <c r="D361" s="68"/>
      <c r="E361" s="66"/>
      <c r="F361" s="66"/>
    </row>
    <row r="362" spans="1:6" x14ac:dyDescent="0.2">
      <c r="A362" s="64" t="str">
        <f t="shared" si="5"/>
        <v/>
      </c>
      <c r="B362" s="64"/>
      <c r="C362" s="64"/>
      <c r="D362" s="68"/>
      <c r="E362" s="66"/>
      <c r="F362" s="66"/>
    </row>
    <row r="363" spans="1:6" x14ac:dyDescent="0.2">
      <c r="A363" s="64" t="str">
        <f t="shared" si="5"/>
        <v/>
      </c>
      <c r="B363" s="64"/>
      <c r="C363" s="64"/>
      <c r="D363" s="68"/>
      <c r="E363" s="66"/>
      <c r="F363" s="66"/>
    </row>
    <row r="364" spans="1:6" x14ac:dyDescent="0.2">
      <c r="A364" s="64" t="str">
        <f t="shared" si="5"/>
        <v/>
      </c>
      <c r="B364" s="64"/>
      <c r="C364" s="64"/>
      <c r="D364" s="68"/>
      <c r="E364" s="66"/>
      <c r="F364" s="66"/>
    </row>
    <row r="365" spans="1:6" x14ac:dyDescent="0.2">
      <c r="A365" s="64" t="str">
        <f t="shared" si="5"/>
        <v/>
      </c>
      <c r="B365" s="64"/>
      <c r="C365" s="64"/>
      <c r="D365" s="68"/>
      <c r="E365" s="66"/>
      <c r="F365" s="66"/>
    </row>
    <row r="366" spans="1:6" x14ac:dyDescent="0.2">
      <c r="A366" s="64" t="str">
        <f t="shared" si="5"/>
        <v/>
      </c>
      <c r="B366" s="64"/>
      <c r="C366" s="64"/>
      <c r="D366" s="68"/>
      <c r="E366" s="66"/>
      <c r="F366" s="66"/>
    </row>
    <row r="367" spans="1:6" x14ac:dyDescent="0.2">
      <c r="A367" s="64" t="str">
        <f t="shared" si="5"/>
        <v/>
      </c>
      <c r="B367" s="64"/>
      <c r="C367" s="64"/>
      <c r="D367" s="68"/>
      <c r="E367" s="66"/>
      <c r="F367" s="66"/>
    </row>
    <row r="368" spans="1:6" x14ac:dyDescent="0.2">
      <c r="A368" s="64" t="str">
        <f t="shared" si="5"/>
        <v/>
      </c>
      <c r="B368" s="64"/>
      <c r="C368" s="64"/>
      <c r="D368" s="68"/>
      <c r="E368" s="66"/>
      <c r="F368" s="66"/>
    </row>
    <row r="369" spans="1:6" x14ac:dyDescent="0.2">
      <c r="A369" s="64" t="str">
        <f t="shared" si="5"/>
        <v/>
      </c>
      <c r="B369" s="64"/>
      <c r="C369" s="64"/>
      <c r="D369" s="68"/>
      <c r="E369" s="66"/>
      <c r="F369" s="66"/>
    </row>
    <row r="370" spans="1:6" x14ac:dyDescent="0.2">
      <c r="A370" s="64" t="str">
        <f t="shared" si="5"/>
        <v/>
      </c>
      <c r="B370" s="64"/>
      <c r="C370" s="64"/>
      <c r="D370" s="68"/>
      <c r="E370" s="66"/>
      <c r="F370" s="66"/>
    </row>
    <row r="371" spans="1:6" x14ac:dyDescent="0.2">
      <c r="A371" s="64" t="str">
        <f t="shared" si="5"/>
        <v/>
      </c>
      <c r="B371" s="64"/>
      <c r="C371" s="64"/>
      <c r="D371" s="68"/>
      <c r="E371" s="66"/>
      <c r="F371" s="66"/>
    </row>
    <row r="372" spans="1:6" x14ac:dyDescent="0.2">
      <c r="A372" s="64" t="str">
        <f t="shared" si="5"/>
        <v/>
      </c>
      <c r="B372" s="64"/>
      <c r="C372" s="64"/>
      <c r="D372" s="68"/>
      <c r="E372" s="66"/>
      <c r="F372" s="66"/>
    </row>
    <row r="373" spans="1:6" x14ac:dyDescent="0.2">
      <c r="A373" s="64" t="str">
        <f t="shared" si="5"/>
        <v/>
      </c>
      <c r="B373" s="64"/>
      <c r="C373" s="64"/>
      <c r="D373" s="68"/>
      <c r="E373" s="66"/>
      <c r="F373" s="66"/>
    </row>
    <row r="374" spans="1:6" x14ac:dyDescent="0.2">
      <c r="A374" s="64" t="str">
        <f t="shared" si="5"/>
        <v/>
      </c>
      <c r="B374" s="64"/>
      <c r="C374" s="64"/>
      <c r="D374" s="68"/>
      <c r="E374" s="66"/>
      <c r="F374" s="66"/>
    </row>
    <row r="375" spans="1:6" x14ac:dyDescent="0.2">
      <c r="A375" s="64" t="str">
        <f t="shared" si="5"/>
        <v/>
      </c>
      <c r="B375" s="64"/>
      <c r="C375" s="64"/>
      <c r="D375" s="68"/>
      <c r="E375" s="66"/>
      <c r="F375" s="66"/>
    </row>
    <row r="376" spans="1:6" x14ac:dyDescent="0.2">
      <c r="A376" s="64" t="str">
        <f t="shared" si="5"/>
        <v/>
      </c>
      <c r="B376" s="64"/>
      <c r="C376" s="64"/>
      <c r="D376" s="68"/>
      <c r="E376" s="66"/>
      <c r="F376" s="66"/>
    </row>
    <row r="377" spans="1:6" x14ac:dyDescent="0.2">
      <c r="A377" s="64" t="str">
        <f t="shared" si="5"/>
        <v/>
      </c>
      <c r="B377" s="64"/>
      <c r="C377" s="64"/>
      <c r="D377" s="68"/>
      <c r="E377" s="66"/>
      <c r="F377" s="66"/>
    </row>
    <row r="378" spans="1:6" x14ac:dyDescent="0.2">
      <c r="A378" s="64" t="str">
        <f t="shared" si="5"/>
        <v/>
      </c>
      <c r="B378" s="64"/>
      <c r="C378" s="64"/>
      <c r="D378" s="68"/>
      <c r="E378" s="66"/>
      <c r="F378" s="66"/>
    </row>
    <row r="379" spans="1:6" x14ac:dyDescent="0.2">
      <c r="A379" s="64" t="str">
        <f t="shared" si="5"/>
        <v/>
      </c>
      <c r="B379" s="64"/>
      <c r="C379" s="64"/>
      <c r="D379" s="68"/>
      <c r="E379" s="66"/>
      <c r="F379" s="66"/>
    </row>
    <row r="380" spans="1:6" x14ac:dyDescent="0.2">
      <c r="A380" s="64" t="str">
        <f t="shared" si="5"/>
        <v/>
      </c>
      <c r="B380" s="64"/>
      <c r="C380" s="64"/>
      <c r="D380" s="68"/>
      <c r="E380" s="66"/>
      <c r="F380" s="66"/>
    </row>
    <row r="381" spans="1:6" x14ac:dyDescent="0.2">
      <c r="A381" s="64" t="str">
        <f t="shared" si="5"/>
        <v/>
      </c>
      <c r="B381" s="64"/>
      <c r="C381" s="64"/>
      <c r="D381" s="68"/>
      <c r="E381" s="66"/>
      <c r="F381" s="66"/>
    </row>
    <row r="382" spans="1:6" x14ac:dyDescent="0.2">
      <c r="A382" s="64" t="str">
        <f t="shared" si="5"/>
        <v/>
      </c>
      <c r="B382" s="64"/>
      <c r="C382" s="64"/>
      <c r="D382" s="68"/>
      <c r="E382" s="66"/>
      <c r="F382" s="66"/>
    </row>
    <row r="383" spans="1:6" x14ac:dyDescent="0.2">
      <c r="A383" s="64" t="str">
        <f t="shared" si="5"/>
        <v/>
      </c>
      <c r="B383" s="64"/>
      <c r="C383" s="64"/>
      <c r="D383" s="68"/>
      <c r="E383" s="66"/>
      <c r="F383" s="66"/>
    </row>
    <row r="384" spans="1:6" x14ac:dyDescent="0.2">
      <c r="A384" s="64" t="str">
        <f t="shared" si="5"/>
        <v/>
      </c>
      <c r="B384" s="64"/>
      <c r="C384" s="64"/>
      <c r="D384" s="68"/>
      <c r="E384" s="66"/>
      <c r="F384" s="66"/>
    </row>
    <row r="385" spans="1:6" x14ac:dyDescent="0.2">
      <c r="A385" s="64" t="str">
        <f t="shared" si="5"/>
        <v/>
      </c>
      <c r="B385" s="64"/>
      <c r="C385" s="64"/>
      <c r="D385" s="68"/>
      <c r="E385" s="66"/>
      <c r="F385" s="66"/>
    </row>
    <row r="386" spans="1:6" x14ac:dyDescent="0.2">
      <c r="A386" s="64" t="str">
        <f t="shared" ref="A386:A449" si="6">CONCATENATE(B386, C386, D386)</f>
        <v/>
      </c>
      <c r="B386" s="64"/>
      <c r="C386" s="64"/>
      <c r="D386" s="68"/>
      <c r="E386" s="66"/>
      <c r="F386" s="66"/>
    </row>
    <row r="387" spans="1:6" x14ac:dyDescent="0.2">
      <c r="A387" s="64" t="str">
        <f t="shared" si="6"/>
        <v/>
      </c>
      <c r="B387" s="64"/>
      <c r="C387" s="64"/>
      <c r="D387" s="68"/>
      <c r="E387" s="66"/>
      <c r="F387" s="66"/>
    </row>
    <row r="388" spans="1:6" x14ac:dyDescent="0.2">
      <c r="A388" s="64" t="str">
        <f t="shared" si="6"/>
        <v/>
      </c>
      <c r="B388" s="64"/>
      <c r="C388" s="64"/>
      <c r="D388" s="68"/>
      <c r="E388" s="66"/>
      <c r="F388" s="66"/>
    </row>
    <row r="389" spans="1:6" x14ac:dyDescent="0.2">
      <c r="A389" s="64" t="str">
        <f t="shared" si="6"/>
        <v/>
      </c>
      <c r="B389" s="64"/>
      <c r="C389" s="64"/>
      <c r="D389" s="68"/>
      <c r="E389" s="66"/>
      <c r="F389" s="66"/>
    </row>
    <row r="390" spans="1:6" x14ac:dyDescent="0.2">
      <c r="A390" s="64" t="str">
        <f t="shared" si="6"/>
        <v/>
      </c>
      <c r="B390" s="64"/>
      <c r="C390" s="64"/>
      <c r="D390" s="68"/>
      <c r="E390" s="66"/>
      <c r="F390" s="66"/>
    </row>
    <row r="391" spans="1:6" x14ac:dyDescent="0.2">
      <c r="A391" s="64" t="str">
        <f t="shared" si="6"/>
        <v/>
      </c>
      <c r="B391" s="64"/>
      <c r="C391" s="64"/>
      <c r="D391" s="68"/>
      <c r="E391" s="66"/>
      <c r="F391" s="66"/>
    </row>
    <row r="392" spans="1:6" x14ac:dyDescent="0.2">
      <c r="A392" s="64" t="str">
        <f t="shared" si="6"/>
        <v/>
      </c>
      <c r="B392" s="64"/>
      <c r="C392" s="64"/>
      <c r="D392" s="68"/>
      <c r="E392" s="66"/>
      <c r="F392" s="66"/>
    </row>
    <row r="393" spans="1:6" x14ac:dyDescent="0.2">
      <c r="A393" s="64" t="str">
        <f t="shared" si="6"/>
        <v/>
      </c>
      <c r="B393" s="64"/>
      <c r="C393" s="64"/>
      <c r="D393" s="68"/>
      <c r="E393" s="66"/>
      <c r="F393" s="66"/>
    </row>
    <row r="394" spans="1:6" x14ac:dyDescent="0.2">
      <c r="A394" s="64" t="str">
        <f t="shared" si="6"/>
        <v/>
      </c>
      <c r="B394" s="64"/>
      <c r="C394" s="64"/>
      <c r="D394" s="68"/>
      <c r="E394" s="66"/>
      <c r="F394" s="66"/>
    </row>
    <row r="395" spans="1:6" x14ac:dyDescent="0.2">
      <c r="A395" s="64" t="str">
        <f t="shared" si="6"/>
        <v/>
      </c>
      <c r="B395" s="64"/>
      <c r="C395" s="64"/>
      <c r="D395" s="68"/>
      <c r="E395" s="66"/>
      <c r="F395" s="66"/>
    </row>
    <row r="396" spans="1:6" x14ac:dyDescent="0.2">
      <c r="A396" s="64" t="str">
        <f t="shared" si="6"/>
        <v/>
      </c>
      <c r="B396" s="64"/>
      <c r="C396" s="64"/>
      <c r="D396" s="68"/>
      <c r="E396" s="66"/>
      <c r="F396" s="66"/>
    </row>
    <row r="397" spans="1:6" x14ac:dyDescent="0.2">
      <c r="A397" s="64" t="str">
        <f t="shared" si="6"/>
        <v/>
      </c>
      <c r="B397" s="64"/>
      <c r="C397" s="64"/>
      <c r="D397" s="68"/>
      <c r="E397" s="66"/>
      <c r="F397" s="66"/>
    </row>
    <row r="398" spans="1:6" x14ac:dyDescent="0.2">
      <c r="A398" s="64" t="str">
        <f t="shared" si="6"/>
        <v/>
      </c>
      <c r="B398" s="64"/>
      <c r="C398" s="64"/>
      <c r="D398" s="68"/>
      <c r="E398" s="66"/>
      <c r="F398" s="66"/>
    </row>
    <row r="399" spans="1:6" x14ac:dyDescent="0.2">
      <c r="A399" s="64" t="str">
        <f t="shared" si="6"/>
        <v/>
      </c>
      <c r="B399" s="64"/>
      <c r="C399" s="64"/>
      <c r="D399" s="68"/>
      <c r="E399" s="66"/>
      <c r="F399" s="66"/>
    </row>
    <row r="400" spans="1:6" x14ac:dyDescent="0.2">
      <c r="A400" s="64" t="str">
        <f t="shared" si="6"/>
        <v/>
      </c>
      <c r="B400" s="64"/>
      <c r="C400" s="64"/>
      <c r="D400" s="68"/>
      <c r="E400" s="66"/>
      <c r="F400" s="66"/>
    </row>
    <row r="401" spans="1:6" x14ac:dyDescent="0.2">
      <c r="A401" s="64" t="str">
        <f t="shared" si="6"/>
        <v/>
      </c>
      <c r="B401" s="64"/>
      <c r="C401" s="64"/>
      <c r="D401" s="68"/>
      <c r="E401" s="66"/>
      <c r="F401" s="66"/>
    </row>
    <row r="402" spans="1:6" x14ac:dyDescent="0.2">
      <c r="A402" s="64" t="str">
        <f t="shared" si="6"/>
        <v/>
      </c>
      <c r="B402" s="64"/>
      <c r="C402" s="64"/>
      <c r="D402" s="68"/>
      <c r="E402" s="66"/>
      <c r="F402" s="66"/>
    </row>
    <row r="403" spans="1:6" x14ac:dyDescent="0.2">
      <c r="A403" s="64" t="str">
        <f t="shared" si="6"/>
        <v/>
      </c>
      <c r="B403" s="64"/>
      <c r="C403" s="64"/>
      <c r="D403" s="68"/>
      <c r="E403" s="66"/>
      <c r="F403" s="66"/>
    </row>
    <row r="404" spans="1:6" x14ac:dyDescent="0.2">
      <c r="A404" s="64" t="str">
        <f t="shared" si="6"/>
        <v/>
      </c>
      <c r="B404" s="64"/>
      <c r="C404" s="64"/>
      <c r="D404" s="68"/>
      <c r="E404" s="66"/>
      <c r="F404" s="66"/>
    </row>
    <row r="405" spans="1:6" x14ac:dyDescent="0.2">
      <c r="A405" s="64" t="str">
        <f t="shared" si="6"/>
        <v/>
      </c>
      <c r="B405" s="64"/>
      <c r="C405" s="64"/>
      <c r="D405" s="68"/>
      <c r="E405" s="66"/>
      <c r="F405" s="66"/>
    </row>
    <row r="406" spans="1:6" x14ac:dyDescent="0.2">
      <c r="A406" s="64" t="str">
        <f t="shared" si="6"/>
        <v/>
      </c>
      <c r="B406" s="64"/>
      <c r="C406" s="64"/>
      <c r="D406" s="68"/>
      <c r="E406" s="66"/>
      <c r="F406" s="66"/>
    </row>
    <row r="407" spans="1:6" x14ac:dyDescent="0.2">
      <c r="A407" s="64" t="str">
        <f t="shared" si="6"/>
        <v/>
      </c>
      <c r="B407" s="64"/>
      <c r="C407" s="64"/>
      <c r="D407" s="68"/>
      <c r="E407" s="66"/>
      <c r="F407" s="66"/>
    </row>
    <row r="408" spans="1:6" x14ac:dyDescent="0.2">
      <c r="A408" s="64" t="str">
        <f t="shared" si="6"/>
        <v/>
      </c>
      <c r="B408" s="64"/>
      <c r="C408" s="64"/>
      <c r="D408" s="68"/>
      <c r="E408" s="66"/>
      <c r="F408" s="66"/>
    </row>
    <row r="409" spans="1:6" x14ac:dyDescent="0.2">
      <c r="A409" s="64" t="str">
        <f t="shared" si="6"/>
        <v/>
      </c>
      <c r="B409" s="64"/>
      <c r="C409" s="64"/>
      <c r="D409" s="68"/>
      <c r="E409" s="66"/>
      <c r="F409" s="66"/>
    </row>
    <row r="410" spans="1:6" x14ac:dyDescent="0.2">
      <c r="A410" s="64" t="str">
        <f t="shared" si="6"/>
        <v/>
      </c>
      <c r="B410" s="64"/>
      <c r="C410" s="64"/>
      <c r="D410" s="68"/>
      <c r="E410" s="66"/>
      <c r="F410" s="66"/>
    </row>
    <row r="411" spans="1:6" x14ac:dyDescent="0.2">
      <c r="A411" s="64" t="str">
        <f t="shared" si="6"/>
        <v/>
      </c>
      <c r="B411" s="64"/>
      <c r="C411" s="64"/>
      <c r="D411" s="68"/>
      <c r="E411" s="66"/>
      <c r="F411" s="66"/>
    </row>
    <row r="412" spans="1:6" x14ac:dyDescent="0.2">
      <c r="A412" s="64" t="str">
        <f t="shared" si="6"/>
        <v/>
      </c>
      <c r="B412" s="64"/>
      <c r="C412" s="64"/>
      <c r="D412" s="68"/>
      <c r="E412" s="66"/>
      <c r="F412" s="66"/>
    </row>
    <row r="413" spans="1:6" x14ac:dyDescent="0.2">
      <c r="A413" s="64" t="str">
        <f t="shared" si="6"/>
        <v/>
      </c>
      <c r="B413" s="64"/>
      <c r="C413" s="64"/>
      <c r="D413" s="68"/>
      <c r="E413" s="66"/>
      <c r="F413" s="66"/>
    </row>
    <row r="414" spans="1:6" x14ac:dyDescent="0.2">
      <c r="A414" s="64" t="str">
        <f t="shared" si="6"/>
        <v/>
      </c>
      <c r="B414" s="64"/>
      <c r="C414" s="64"/>
      <c r="D414" s="68"/>
      <c r="E414" s="66"/>
      <c r="F414" s="66"/>
    </row>
    <row r="415" spans="1:6" x14ac:dyDescent="0.2">
      <c r="A415" s="64" t="str">
        <f t="shared" si="6"/>
        <v/>
      </c>
      <c r="B415" s="64"/>
      <c r="C415" s="64"/>
      <c r="D415" s="68"/>
      <c r="E415" s="66"/>
      <c r="F415" s="66"/>
    </row>
    <row r="416" spans="1:6" x14ac:dyDescent="0.2">
      <c r="A416" s="64" t="str">
        <f t="shared" si="6"/>
        <v/>
      </c>
      <c r="B416" s="64"/>
      <c r="C416" s="64"/>
      <c r="D416" s="68"/>
      <c r="E416" s="66"/>
      <c r="F416" s="66"/>
    </row>
    <row r="417" spans="1:6" x14ac:dyDescent="0.2">
      <c r="A417" s="64" t="str">
        <f t="shared" si="6"/>
        <v/>
      </c>
      <c r="B417" s="64"/>
      <c r="C417" s="64"/>
      <c r="D417" s="68"/>
      <c r="E417" s="66"/>
      <c r="F417" s="66"/>
    </row>
    <row r="418" spans="1:6" x14ac:dyDescent="0.2">
      <c r="A418" s="64" t="str">
        <f t="shared" si="6"/>
        <v/>
      </c>
      <c r="B418" s="64"/>
      <c r="C418" s="64"/>
      <c r="D418" s="68"/>
      <c r="E418" s="66"/>
      <c r="F418" s="66"/>
    </row>
    <row r="419" spans="1:6" x14ac:dyDescent="0.2">
      <c r="A419" s="64" t="str">
        <f t="shared" si="6"/>
        <v/>
      </c>
      <c r="B419" s="64"/>
      <c r="C419" s="64"/>
      <c r="D419" s="68"/>
      <c r="E419" s="66"/>
      <c r="F419" s="66"/>
    </row>
    <row r="420" spans="1:6" x14ac:dyDescent="0.2">
      <c r="A420" s="64" t="str">
        <f t="shared" si="6"/>
        <v/>
      </c>
      <c r="B420" s="64"/>
      <c r="C420" s="64"/>
      <c r="D420" s="68"/>
      <c r="E420" s="66"/>
      <c r="F420" s="66"/>
    </row>
    <row r="421" spans="1:6" x14ac:dyDescent="0.2">
      <c r="A421" s="64" t="str">
        <f t="shared" si="6"/>
        <v/>
      </c>
      <c r="B421" s="64"/>
      <c r="C421" s="64"/>
      <c r="D421" s="68"/>
      <c r="E421" s="66"/>
      <c r="F421" s="66"/>
    </row>
    <row r="422" spans="1:6" x14ac:dyDescent="0.2">
      <c r="A422" s="64" t="str">
        <f t="shared" si="6"/>
        <v/>
      </c>
      <c r="B422" s="64"/>
      <c r="C422" s="64"/>
      <c r="D422" s="68"/>
      <c r="E422" s="66"/>
      <c r="F422" s="66"/>
    </row>
    <row r="423" spans="1:6" x14ac:dyDescent="0.2">
      <c r="A423" s="64" t="str">
        <f t="shared" si="6"/>
        <v/>
      </c>
      <c r="B423" s="64"/>
      <c r="C423" s="64"/>
      <c r="D423" s="68"/>
      <c r="E423" s="66"/>
      <c r="F423" s="66"/>
    </row>
    <row r="424" spans="1:6" x14ac:dyDescent="0.2">
      <c r="A424" s="64" t="str">
        <f t="shared" si="6"/>
        <v/>
      </c>
      <c r="B424" s="64"/>
      <c r="C424" s="64"/>
      <c r="D424" s="68"/>
      <c r="E424" s="66"/>
      <c r="F424" s="66"/>
    </row>
    <row r="425" spans="1:6" x14ac:dyDescent="0.2">
      <c r="A425" s="64" t="str">
        <f t="shared" si="6"/>
        <v/>
      </c>
      <c r="B425" s="64"/>
      <c r="C425" s="64"/>
      <c r="D425" s="68"/>
      <c r="E425" s="66"/>
      <c r="F425" s="66"/>
    </row>
    <row r="426" spans="1:6" x14ac:dyDescent="0.2">
      <c r="A426" s="64" t="str">
        <f t="shared" si="6"/>
        <v/>
      </c>
      <c r="B426" s="64"/>
      <c r="C426" s="64"/>
      <c r="D426" s="68"/>
      <c r="E426" s="66"/>
      <c r="F426" s="66"/>
    </row>
    <row r="427" spans="1:6" x14ac:dyDescent="0.2">
      <c r="A427" s="64" t="str">
        <f t="shared" si="6"/>
        <v/>
      </c>
      <c r="B427" s="64"/>
      <c r="C427" s="64"/>
      <c r="D427" s="68"/>
      <c r="E427" s="66"/>
      <c r="F427" s="66"/>
    </row>
    <row r="428" spans="1:6" x14ac:dyDescent="0.2">
      <c r="A428" s="64" t="str">
        <f t="shared" si="6"/>
        <v/>
      </c>
      <c r="B428" s="64"/>
      <c r="C428" s="64"/>
      <c r="D428" s="68"/>
      <c r="E428" s="66"/>
      <c r="F428" s="66"/>
    </row>
    <row r="429" spans="1:6" x14ac:dyDescent="0.2">
      <c r="A429" s="64" t="str">
        <f t="shared" si="6"/>
        <v/>
      </c>
      <c r="B429" s="64"/>
      <c r="C429" s="64"/>
      <c r="D429" s="68"/>
      <c r="E429" s="66"/>
      <c r="F429" s="66"/>
    </row>
    <row r="430" spans="1:6" x14ac:dyDescent="0.2">
      <c r="A430" s="64" t="str">
        <f t="shared" si="6"/>
        <v/>
      </c>
      <c r="B430" s="64"/>
      <c r="C430" s="64"/>
      <c r="D430" s="68"/>
      <c r="E430" s="66"/>
      <c r="F430" s="66"/>
    </row>
    <row r="431" spans="1:6" x14ac:dyDescent="0.2">
      <c r="A431" s="64" t="str">
        <f t="shared" si="6"/>
        <v/>
      </c>
      <c r="B431" s="64"/>
      <c r="C431" s="64"/>
      <c r="D431" s="68"/>
      <c r="E431" s="66"/>
      <c r="F431" s="66"/>
    </row>
    <row r="432" spans="1:6" x14ac:dyDescent="0.2">
      <c r="A432" s="64" t="str">
        <f t="shared" si="6"/>
        <v/>
      </c>
      <c r="B432" s="64"/>
      <c r="C432" s="64"/>
      <c r="D432" s="68"/>
      <c r="E432" s="66"/>
      <c r="F432" s="66"/>
    </row>
    <row r="433" spans="1:6" x14ac:dyDescent="0.2">
      <c r="A433" s="64" t="str">
        <f t="shared" si="6"/>
        <v/>
      </c>
      <c r="B433" s="64"/>
      <c r="C433" s="64"/>
      <c r="D433" s="68"/>
      <c r="E433" s="66"/>
      <c r="F433" s="66"/>
    </row>
    <row r="434" spans="1:6" x14ac:dyDescent="0.2">
      <c r="A434" s="64" t="str">
        <f t="shared" si="6"/>
        <v/>
      </c>
      <c r="B434" s="64"/>
      <c r="C434" s="64"/>
      <c r="D434" s="68"/>
      <c r="E434" s="66"/>
      <c r="F434" s="66"/>
    </row>
    <row r="435" spans="1:6" x14ac:dyDescent="0.2">
      <c r="A435" s="64" t="str">
        <f t="shared" si="6"/>
        <v/>
      </c>
      <c r="B435" s="64"/>
      <c r="C435" s="64"/>
      <c r="D435" s="68"/>
      <c r="E435" s="66"/>
      <c r="F435" s="66"/>
    </row>
    <row r="436" spans="1:6" x14ac:dyDescent="0.2">
      <c r="A436" s="64" t="str">
        <f t="shared" si="6"/>
        <v/>
      </c>
      <c r="B436" s="64"/>
      <c r="C436" s="64"/>
      <c r="D436" s="68"/>
      <c r="E436" s="66"/>
      <c r="F436" s="66"/>
    </row>
    <row r="437" spans="1:6" x14ac:dyDescent="0.2">
      <c r="A437" s="64" t="str">
        <f t="shared" si="6"/>
        <v/>
      </c>
      <c r="B437" s="64"/>
      <c r="C437" s="64"/>
      <c r="D437" s="68"/>
      <c r="E437" s="66"/>
      <c r="F437" s="66"/>
    </row>
    <row r="438" spans="1:6" x14ac:dyDescent="0.2">
      <c r="A438" s="64" t="str">
        <f t="shared" si="6"/>
        <v/>
      </c>
      <c r="B438" s="64"/>
      <c r="C438" s="64"/>
      <c r="D438" s="68"/>
      <c r="E438" s="66"/>
      <c r="F438" s="66"/>
    </row>
    <row r="439" spans="1:6" x14ac:dyDescent="0.2">
      <c r="A439" s="64" t="str">
        <f t="shared" si="6"/>
        <v/>
      </c>
      <c r="B439" s="64"/>
      <c r="C439" s="64"/>
      <c r="D439" s="68"/>
      <c r="E439" s="66"/>
      <c r="F439" s="66"/>
    </row>
    <row r="440" spans="1:6" x14ac:dyDescent="0.2">
      <c r="A440" s="64" t="str">
        <f t="shared" si="6"/>
        <v/>
      </c>
      <c r="B440" s="64"/>
      <c r="C440" s="64"/>
      <c r="D440" s="68"/>
      <c r="E440" s="66"/>
      <c r="F440" s="66"/>
    </row>
    <row r="441" spans="1:6" x14ac:dyDescent="0.2">
      <c r="A441" s="64" t="str">
        <f t="shared" si="6"/>
        <v/>
      </c>
      <c r="B441" s="64"/>
      <c r="C441" s="64"/>
      <c r="D441" s="68"/>
      <c r="E441" s="66"/>
      <c r="F441" s="66"/>
    </row>
    <row r="442" spans="1:6" x14ac:dyDescent="0.2">
      <c r="A442" s="64" t="str">
        <f t="shared" si="6"/>
        <v/>
      </c>
      <c r="B442" s="64"/>
      <c r="C442" s="64"/>
      <c r="D442" s="68"/>
      <c r="E442" s="66"/>
      <c r="F442" s="66"/>
    </row>
    <row r="443" spans="1:6" x14ac:dyDescent="0.2">
      <c r="A443" s="64" t="str">
        <f t="shared" si="6"/>
        <v/>
      </c>
      <c r="B443" s="64"/>
      <c r="C443" s="64"/>
      <c r="D443" s="68"/>
      <c r="E443" s="66"/>
      <c r="F443" s="66"/>
    </row>
    <row r="444" spans="1:6" x14ac:dyDescent="0.2">
      <c r="A444" s="64" t="str">
        <f t="shared" si="6"/>
        <v/>
      </c>
      <c r="B444" s="64"/>
      <c r="C444" s="64"/>
      <c r="D444" s="68"/>
      <c r="E444" s="66"/>
      <c r="F444" s="66"/>
    </row>
    <row r="445" spans="1:6" x14ac:dyDescent="0.2">
      <c r="A445" s="64" t="str">
        <f t="shared" si="6"/>
        <v/>
      </c>
      <c r="B445" s="64"/>
      <c r="C445" s="64"/>
      <c r="D445" s="68"/>
      <c r="E445" s="66"/>
      <c r="F445" s="66"/>
    </row>
    <row r="446" spans="1:6" x14ac:dyDescent="0.2">
      <c r="A446" s="64" t="str">
        <f t="shared" si="6"/>
        <v/>
      </c>
      <c r="B446" s="64"/>
      <c r="C446" s="64"/>
      <c r="D446" s="68"/>
      <c r="E446" s="66"/>
      <c r="F446" s="66"/>
    </row>
    <row r="447" spans="1:6" x14ac:dyDescent="0.2">
      <c r="A447" s="64" t="str">
        <f t="shared" si="6"/>
        <v/>
      </c>
      <c r="B447" s="64"/>
      <c r="C447" s="64"/>
      <c r="D447" s="68"/>
      <c r="E447" s="66"/>
      <c r="F447" s="66"/>
    </row>
    <row r="448" spans="1:6" x14ac:dyDescent="0.2">
      <c r="A448" s="64" t="str">
        <f t="shared" si="6"/>
        <v/>
      </c>
      <c r="B448" s="64"/>
      <c r="C448" s="64"/>
      <c r="D448" s="68"/>
      <c r="E448" s="66"/>
      <c r="F448" s="66"/>
    </row>
    <row r="449" spans="1:6" x14ac:dyDescent="0.2">
      <c r="A449" s="64" t="str">
        <f t="shared" si="6"/>
        <v/>
      </c>
      <c r="B449" s="64"/>
      <c r="C449" s="64"/>
      <c r="D449" s="68"/>
      <c r="E449" s="66"/>
      <c r="F449" s="66"/>
    </row>
    <row r="450" spans="1:6" x14ac:dyDescent="0.2">
      <c r="A450" s="64" t="str">
        <f t="shared" ref="A450:A513" si="7">CONCATENATE(B450, C450, D450)</f>
        <v/>
      </c>
      <c r="B450" s="64"/>
      <c r="C450" s="64"/>
      <c r="D450" s="68"/>
      <c r="E450" s="66"/>
      <c r="F450" s="66"/>
    </row>
    <row r="451" spans="1:6" x14ac:dyDescent="0.2">
      <c r="A451" s="64" t="str">
        <f t="shared" si="7"/>
        <v/>
      </c>
      <c r="B451" s="64"/>
      <c r="C451" s="64"/>
      <c r="D451" s="68"/>
      <c r="E451" s="66"/>
      <c r="F451" s="66"/>
    </row>
    <row r="452" spans="1:6" x14ac:dyDescent="0.2">
      <c r="A452" s="64" t="str">
        <f t="shared" si="7"/>
        <v/>
      </c>
      <c r="B452" s="64"/>
      <c r="C452" s="64"/>
      <c r="D452" s="68"/>
      <c r="E452" s="66"/>
      <c r="F452" s="66"/>
    </row>
    <row r="453" spans="1:6" x14ac:dyDescent="0.2">
      <c r="A453" s="64" t="str">
        <f t="shared" si="7"/>
        <v/>
      </c>
      <c r="B453" s="64"/>
      <c r="C453" s="64"/>
      <c r="D453" s="68"/>
      <c r="E453" s="66"/>
      <c r="F453" s="66"/>
    </row>
    <row r="454" spans="1:6" x14ac:dyDescent="0.2">
      <c r="A454" s="64" t="str">
        <f t="shared" si="7"/>
        <v/>
      </c>
      <c r="B454" s="64"/>
      <c r="C454" s="64"/>
      <c r="D454" s="68"/>
      <c r="E454" s="66"/>
      <c r="F454" s="66"/>
    </row>
    <row r="455" spans="1:6" x14ac:dyDescent="0.2">
      <c r="A455" s="64" t="str">
        <f t="shared" si="7"/>
        <v/>
      </c>
      <c r="B455" s="64"/>
      <c r="C455" s="64"/>
      <c r="D455" s="68"/>
      <c r="E455" s="66"/>
      <c r="F455" s="66"/>
    </row>
    <row r="456" spans="1:6" x14ac:dyDescent="0.2">
      <c r="A456" s="64" t="str">
        <f t="shared" si="7"/>
        <v/>
      </c>
      <c r="B456" s="64"/>
      <c r="C456" s="64"/>
      <c r="D456" s="68"/>
      <c r="E456" s="66"/>
      <c r="F456" s="66"/>
    </row>
    <row r="457" spans="1:6" x14ac:dyDescent="0.2">
      <c r="A457" s="64" t="str">
        <f t="shared" si="7"/>
        <v/>
      </c>
      <c r="B457" s="64"/>
      <c r="C457" s="64"/>
      <c r="D457" s="68"/>
      <c r="E457" s="66"/>
      <c r="F457" s="66"/>
    </row>
    <row r="458" spans="1:6" x14ac:dyDescent="0.2">
      <c r="A458" s="64" t="str">
        <f t="shared" si="7"/>
        <v/>
      </c>
      <c r="B458" s="64"/>
      <c r="C458" s="64"/>
      <c r="D458" s="68"/>
      <c r="E458" s="66"/>
      <c r="F458" s="66"/>
    </row>
    <row r="459" spans="1:6" x14ac:dyDescent="0.2">
      <c r="A459" s="64" t="str">
        <f t="shared" si="7"/>
        <v/>
      </c>
      <c r="B459" s="64"/>
      <c r="C459" s="64"/>
      <c r="D459" s="68"/>
      <c r="E459" s="66"/>
      <c r="F459" s="66"/>
    </row>
    <row r="460" spans="1:6" x14ac:dyDescent="0.2">
      <c r="A460" s="64" t="str">
        <f t="shared" si="7"/>
        <v/>
      </c>
      <c r="B460" s="64"/>
      <c r="C460" s="64"/>
      <c r="D460" s="68"/>
      <c r="E460" s="66"/>
      <c r="F460" s="66"/>
    </row>
    <row r="461" spans="1:6" x14ac:dyDescent="0.2">
      <c r="A461" s="64" t="str">
        <f t="shared" si="7"/>
        <v/>
      </c>
      <c r="B461" s="64"/>
      <c r="C461" s="64"/>
      <c r="D461" s="68"/>
      <c r="E461" s="66"/>
      <c r="F461" s="66"/>
    </row>
    <row r="462" spans="1:6" x14ac:dyDescent="0.2">
      <c r="A462" s="64" t="str">
        <f t="shared" si="7"/>
        <v/>
      </c>
      <c r="B462" s="64"/>
      <c r="C462" s="64"/>
      <c r="D462" s="68"/>
      <c r="E462" s="66"/>
      <c r="F462" s="66"/>
    </row>
    <row r="463" spans="1:6" x14ac:dyDescent="0.2">
      <c r="A463" s="64" t="str">
        <f t="shared" si="7"/>
        <v/>
      </c>
      <c r="B463" s="64"/>
      <c r="C463" s="64"/>
      <c r="D463" s="68"/>
      <c r="E463" s="66"/>
      <c r="F463" s="66"/>
    </row>
    <row r="464" spans="1:6" x14ac:dyDescent="0.2">
      <c r="A464" s="64" t="str">
        <f t="shared" si="7"/>
        <v/>
      </c>
      <c r="B464" s="64"/>
      <c r="C464" s="64"/>
      <c r="D464" s="68"/>
      <c r="E464" s="66"/>
      <c r="F464" s="66"/>
    </row>
    <row r="465" spans="1:6" x14ac:dyDescent="0.2">
      <c r="A465" s="64" t="str">
        <f t="shared" si="7"/>
        <v/>
      </c>
      <c r="B465" s="64"/>
      <c r="C465" s="64"/>
      <c r="D465" s="68"/>
      <c r="E465" s="66"/>
      <c r="F465" s="66"/>
    </row>
    <row r="466" spans="1:6" x14ac:dyDescent="0.2">
      <c r="A466" s="64" t="str">
        <f t="shared" si="7"/>
        <v/>
      </c>
      <c r="B466" s="64"/>
      <c r="C466" s="64"/>
      <c r="D466" s="68"/>
      <c r="E466" s="66"/>
      <c r="F466" s="66"/>
    </row>
    <row r="467" spans="1:6" x14ac:dyDescent="0.2">
      <c r="A467" s="64" t="str">
        <f t="shared" si="7"/>
        <v/>
      </c>
      <c r="B467" s="64"/>
      <c r="C467" s="64"/>
      <c r="D467" s="68"/>
      <c r="E467" s="66"/>
      <c r="F467" s="66"/>
    </row>
    <row r="468" spans="1:6" x14ac:dyDescent="0.2">
      <c r="A468" s="64" t="str">
        <f t="shared" si="7"/>
        <v/>
      </c>
      <c r="B468" s="64"/>
      <c r="C468" s="64"/>
      <c r="D468" s="68"/>
      <c r="E468" s="66"/>
      <c r="F468" s="66"/>
    </row>
    <row r="469" spans="1:6" x14ac:dyDescent="0.2">
      <c r="A469" s="64" t="str">
        <f t="shared" si="7"/>
        <v/>
      </c>
      <c r="B469" s="64"/>
      <c r="C469" s="64"/>
      <c r="D469" s="68"/>
      <c r="E469" s="66"/>
      <c r="F469" s="66"/>
    </row>
    <row r="470" spans="1:6" x14ac:dyDescent="0.2">
      <c r="A470" s="64" t="str">
        <f t="shared" si="7"/>
        <v/>
      </c>
      <c r="B470" s="64"/>
      <c r="C470" s="64"/>
      <c r="D470" s="68"/>
      <c r="E470" s="66"/>
      <c r="F470" s="66"/>
    </row>
    <row r="471" spans="1:6" x14ac:dyDescent="0.2">
      <c r="A471" s="64" t="str">
        <f t="shared" si="7"/>
        <v/>
      </c>
      <c r="B471" s="64"/>
      <c r="C471" s="64"/>
      <c r="D471" s="68"/>
      <c r="E471" s="66"/>
      <c r="F471" s="66"/>
    </row>
    <row r="472" spans="1:6" x14ac:dyDescent="0.2">
      <c r="A472" s="64" t="str">
        <f t="shared" si="7"/>
        <v/>
      </c>
      <c r="B472" s="64"/>
      <c r="C472" s="64"/>
      <c r="D472" s="68"/>
      <c r="E472" s="66"/>
      <c r="F472" s="66"/>
    </row>
    <row r="473" spans="1:6" x14ac:dyDescent="0.2">
      <c r="A473" s="64" t="str">
        <f t="shared" si="7"/>
        <v/>
      </c>
      <c r="B473" s="64"/>
      <c r="C473" s="64"/>
      <c r="D473" s="68"/>
      <c r="E473" s="66"/>
      <c r="F473" s="66"/>
    </row>
    <row r="474" spans="1:6" x14ac:dyDescent="0.2">
      <c r="A474" s="64" t="str">
        <f t="shared" si="7"/>
        <v/>
      </c>
      <c r="B474" s="64"/>
      <c r="C474" s="64"/>
      <c r="D474" s="68"/>
      <c r="E474" s="66"/>
      <c r="F474" s="66"/>
    </row>
    <row r="475" spans="1:6" x14ac:dyDescent="0.2">
      <c r="A475" s="64" t="str">
        <f t="shared" si="7"/>
        <v/>
      </c>
      <c r="B475" s="64"/>
      <c r="C475" s="64"/>
      <c r="D475" s="68"/>
      <c r="E475" s="66"/>
      <c r="F475" s="66"/>
    </row>
    <row r="476" spans="1:6" x14ac:dyDescent="0.2">
      <c r="A476" s="64" t="str">
        <f t="shared" si="7"/>
        <v/>
      </c>
      <c r="B476" s="64"/>
      <c r="C476" s="64"/>
      <c r="D476" s="68"/>
      <c r="E476" s="66"/>
      <c r="F476" s="66"/>
    </row>
    <row r="477" spans="1:6" x14ac:dyDescent="0.2">
      <c r="A477" s="64" t="str">
        <f t="shared" si="7"/>
        <v/>
      </c>
      <c r="B477" s="64"/>
      <c r="C477" s="64"/>
      <c r="D477" s="68"/>
      <c r="E477" s="66"/>
      <c r="F477" s="66"/>
    </row>
    <row r="478" spans="1:6" x14ac:dyDescent="0.2">
      <c r="A478" s="64" t="str">
        <f t="shared" si="7"/>
        <v/>
      </c>
      <c r="B478" s="64"/>
      <c r="C478" s="64"/>
      <c r="D478" s="68"/>
      <c r="E478" s="66"/>
      <c r="F478" s="66"/>
    </row>
    <row r="479" spans="1:6" x14ac:dyDescent="0.2">
      <c r="A479" s="64" t="str">
        <f t="shared" si="7"/>
        <v/>
      </c>
      <c r="B479" s="64"/>
      <c r="C479" s="64"/>
      <c r="D479" s="68"/>
      <c r="E479" s="66"/>
      <c r="F479" s="66"/>
    </row>
    <row r="480" spans="1:6" x14ac:dyDescent="0.2">
      <c r="A480" s="64" t="str">
        <f t="shared" si="7"/>
        <v/>
      </c>
      <c r="B480" s="64"/>
      <c r="C480" s="64"/>
      <c r="D480" s="68"/>
      <c r="E480" s="66"/>
      <c r="F480" s="66"/>
    </row>
    <row r="481" spans="1:6" x14ac:dyDescent="0.2">
      <c r="A481" s="64" t="str">
        <f t="shared" si="7"/>
        <v/>
      </c>
      <c r="B481" s="64"/>
      <c r="C481" s="64"/>
      <c r="D481" s="68"/>
      <c r="E481" s="66"/>
      <c r="F481" s="66"/>
    </row>
    <row r="482" spans="1:6" x14ac:dyDescent="0.2">
      <c r="A482" s="64" t="str">
        <f t="shared" si="7"/>
        <v/>
      </c>
      <c r="B482" s="64"/>
      <c r="C482" s="64"/>
      <c r="D482" s="68"/>
      <c r="E482" s="66"/>
      <c r="F482" s="66"/>
    </row>
    <row r="483" spans="1:6" x14ac:dyDescent="0.2">
      <c r="A483" s="64" t="str">
        <f t="shared" si="7"/>
        <v/>
      </c>
      <c r="B483" s="64"/>
      <c r="C483" s="64"/>
      <c r="D483" s="68"/>
      <c r="E483" s="66"/>
      <c r="F483" s="66"/>
    </row>
    <row r="484" spans="1:6" x14ac:dyDescent="0.2">
      <c r="A484" s="64" t="str">
        <f t="shared" si="7"/>
        <v/>
      </c>
      <c r="B484" s="64"/>
      <c r="C484" s="64"/>
      <c r="D484" s="68"/>
      <c r="E484" s="66"/>
      <c r="F484" s="66"/>
    </row>
    <row r="485" spans="1:6" x14ac:dyDescent="0.2">
      <c r="A485" s="64" t="str">
        <f t="shared" si="7"/>
        <v/>
      </c>
      <c r="B485" s="64"/>
      <c r="C485" s="64"/>
      <c r="D485" s="68"/>
      <c r="E485" s="66"/>
      <c r="F485" s="66"/>
    </row>
    <row r="486" spans="1:6" x14ac:dyDescent="0.2">
      <c r="A486" s="64" t="str">
        <f t="shared" si="7"/>
        <v/>
      </c>
      <c r="B486" s="64"/>
      <c r="C486" s="64"/>
      <c r="D486" s="68"/>
      <c r="E486" s="66"/>
      <c r="F486" s="66"/>
    </row>
    <row r="487" spans="1:6" x14ac:dyDescent="0.2">
      <c r="A487" s="64" t="str">
        <f t="shared" si="7"/>
        <v/>
      </c>
      <c r="B487" s="64"/>
      <c r="C487" s="64"/>
      <c r="D487" s="68"/>
      <c r="E487" s="66"/>
      <c r="F487" s="66"/>
    </row>
    <row r="488" spans="1:6" x14ac:dyDescent="0.2">
      <c r="A488" s="64" t="str">
        <f t="shared" si="7"/>
        <v/>
      </c>
      <c r="B488" s="64"/>
      <c r="C488" s="64"/>
      <c r="D488" s="68"/>
      <c r="E488" s="66"/>
      <c r="F488" s="66"/>
    </row>
    <row r="489" spans="1:6" x14ac:dyDescent="0.2">
      <c r="A489" s="64" t="str">
        <f t="shared" si="7"/>
        <v/>
      </c>
      <c r="B489" s="64"/>
      <c r="C489" s="64"/>
      <c r="D489" s="68"/>
      <c r="E489" s="66"/>
      <c r="F489" s="66"/>
    </row>
    <row r="490" spans="1:6" x14ac:dyDescent="0.2">
      <c r="A490" s="64" t="str">
        <f t="shared" si="7"/>
        <v/>
      </c>
      <c r="B490" s="64"/>
      <c r="C490" s="64"/>
      <c r="D490" s="68"/>
      <c r="E490" s="66"/>
      <c r="F490" s="66"/>
    </row>
    <row r="491" spans="1:6" x14ac:dyDescent="0.2">
      <c r="A491" s="64" t="str">
        <f t="shared" si="7"/>
        <v/>
      </c>
      <c r="B491" s="64"/>
      <c r="C491" s="64"/>
      <c r="D491" s="68"/>
      <c r="E491" s="66"/>
      <c r="F491" s="66"/>
    </row>
    <row r="492" spans="1:6" x14ac:dyDescent="0.2">
      <c r="A492" s="64" t="str">
        <f t="shared" si="7"/>
        <v/>
      </c>
      <c r="B492" s="64"/>
      <c r="C492" s="64"/>
      <c r="D492" s="68"/>
      <c r="E492" s="66"/>
      <c r="F492" s="66"/>
    </row>
    <row r="493" spans="1:6" x14ac:dyDescent="0.2">
      <c r="A493" s="64" t="str">
        <f t="shared" si="7"/>
        <v/>
      </c>
      <c r="B493" s="64"/>
      <c r="C493" s="64"/>
      <c r="D493" s="68"/>
      <c r="E493" s="66"/>
      <c r="F493" s="66"/>
    </row>
    <row r="494" spans="1:6" x14ac:dyDescent="0.2">
      <c r="A494" s="64" t="str">
        <f t="shared" si="7"/>
        <v/>
      </c>
      <c r="B494" s="64"/>
      <c r="C494" s="64"/>
      <c r="D494" s="68"/>
      <c r="E494" s="66"/>
      <c r="F494" s="66"/>
    </row>
    <row r="495" spans="1:6" x14ac:dyDescent="0.2">
      <c r="A495" s="64" t="str">
        <f t="shared" si="7"/>
        <v/>
      </c>
      <c r="B495" s="64"/>
      <c r="C495" s="64"/>
      <c r="D495" s="68"/>
      <c r="E495" s="66"/>
      <c r="F495" s="66"/>
    </row>
    <row r="496" spans="1:6" x14ac:dyDescent="0.2">
      <c r="A496" s="64" t="str">
        <f t="shared" si="7"/>
        <v/>
      </c>
      <c r="B496" s="64"/>
      <c r="C496" s="64"/>
      <c r="D496" s="68"/>
      <c r="E496" s="66"/>
      <c r="F496" s="66"/>
    </row>
    <row r="497" spans="1:6" x14ac:dyDescent="0.2">
      <c r="A497" s="64" t="str">
        <f t="shared" si="7"/>
        <v/>
      </c>
      <c r="B497" s="64"/>
      <c r="C497" s="64"/>
      <c r="D497" s="68"/>
      <c r="E497" s="66"/>
      <c r="F497" s="66"/>
    </row>
    <row r="498" spans="1:6" x14ac:dyDescent="0.2">
      <c r="A498" s="64" t="str">
        <f t="shared" si="7"/>
        <v/>
      </c>
      <c r="B498" s="64"/>
      <c r="C498" s="64"/>
      <c r="D498" s="68"/>
      <c r="E498" s="66"/>
      <c r="F498" s="66"/>
    </row>
    <row r="499" spans="1:6" x14ac:dyDescent="0.2">
      <c r="A499" s="64" t="str">
        <f t="shared" si="7"/>
        <v/>
      </c>
      <c r="B499" s="64"/>
      <c r="C499" s="64"/>
      <c r="D499" s="68"/>
      <c r="E499" s="66"/>
      <c r="F499" s="66"/>
    </row>
    <row r="500" spans="1:6" x14ac:dyDescent="0.2">
      <c r="A500" s="64" t="str">
        <f t="shared" si="7"/>
        <v/>
      </c>
      <c r="B500" s="64"/>
      <c r="C500" s="64"/>
      <c r="D500" s="68"/>
      <c r="E500" s="66"/>
      <c r="F500" s="66"/>
    </row>
    <row r="501" spans="1:6" x14ac:dyDescent="0.2">
      <c r="A501" s="64" t="str">
        <f t="shared" si="7"/>
        <v/>
      </c>
      <c r="B501" s="64"/>
      <c r="C501" s="64"/>
      <c r="D501" s="68"/>
      <c r="E501" s="66"/>
      <c r="F501" s="66"/>
    </row>
    <row r="502" spans="1:6" x14ac:dyDescent="0.2">
      <c r="A502" s="64" t="str">
        <f t="shared" si="7"/>
        <v/>
      </c>
      <c r="B502" s="64"/>
      <c r="C502" s="64"/>
      <c r="D502" s="68"/>
      <c r="E502" s="66"/>
      <c r="F502" s="66"/>
    </row>
    <row r="503" spans="1:6" x14ac:dyDescent="0.2">
      <c r="A503" s="64" t="str">
        <f t="shared" si="7"/>
        <v/>
      </c>
      <c r="B503" s="64"/>
      <c r="C503" s="64"/>
      <c r="D503" s="68"/>
      <c r="E503" s="66"/>
      <c r="F503" s="66"/>
    </row>
    <row r="504" spans="1:6" x14ac:dyDescent="0.2">
      <c r="A504" s="64" t="str">
        <f t="shared" si="7"/>
        <v/>
      </c>
      <c r="B504" s="64"/>
      <c r="C504" s="64"/>
      <c r="D504" s="68"/>
      <c r="E504" s="66"/>
      <c r="F504" s="66"/>
    </row>
    <row r="505" spans="1:6" x14ac:dyDescent="0.2">
      <c r="A505" s="64" t="str">
        <f t="shared" si="7"/>
        <v/>
      </c>
      <c r="B505" s="64"/>
      <c r="C505" s="64"/>
      <c r="D505" s="68"/>
      <c r="E505" s="66"/>
      <c r="F505" s="66"/>
    </row>
    <row r="506" spans="1:6" x14ac:dyDescent="0.2">
      <c r="A506" s="64" t="str">
        <f t="shared" si="7"/>
        <v/>
      </c>
      <c r="B506" s="64"/>
      <c r="C506" s="64"/>
      <c r="D506" s="68"/>
      <c r="E506" s="66"/>
      <c r="F506" s="66"/>
    </row>
    <row r="507" spans="1:6" x14ac:dyDescent="0.2">
      <c r="A507" s="64" t="str">
        <f t="shared" si="7"/>
        <v/>
      </c>
      <c r="B507" s="64"/>
      <c r="C507" s="64"/>
      <c r="D507" s="68"/>
      <c r="E507" s="66"/>
      <c r="F507" s="66"/>
    </row>
    <row r="508" spans="1:6" x14ac:dyDescent="0.2">
      <c r="A508" s="64" t="str">
        <f t="shared" si="7"/>
        <v/>
      </c>
      <c r="B508" s="64"/>
      <c r="C508" s="64"/>
      <c r="D508" s="68"/>
      <c r="E508" s="66"/>
      <c r="F508" s="66"/>
    </row>
    <row r="509" spans="1:6" x14ac:dyDescent="0.2">
      <c r="A509" s="64" t="str">
        <f t="shared" si="7"/>
        <v/>
      </c>
      <c r="B509" s="64"/>
      <c r="C509" s="64"/>
      <c r="D509" s="68"/>
      <c r="E509" s="66"/>
      <c r="F509" s="66"/>
    </row>
    <row r="510" spans="1:6" x14ac:dyDescent="0.2">
      <c r="A510" s="64" t="str">
        <f t="shared" si="7"/>
        <v/>
      </c>
      <c r="B510" s="64"/>
      <c r="C510" s="64"/>
      <c r="D510" s="68"/>
      <c r="E510" s="66"/>
      <c r="F510" s="66"/>
    </row>
    <row r="511" spans="1:6" x14ac:dyDescent="0.2">
      <c r="A511" s="64" t="str">
        <f t="shared" si="7"/>
        <v/>
      </c>
      <c r="B511" s="64"/>
      <c r="C511" s="64"/>
      <c r="D511" s="68"/>
      <c r="E511" s="66"/>
      <c r="F511" s="66"/>
    </row>
    <row r="512" spans="1:6" x14ac:dyDescent="0.2">
      <c r="A512" s="64" t="str">
        <f t="shared" si="7"/>
        <v/>
      </c>
      <c r="B512" s="64"/>
      <c r="C512" s="64"/>
      <c r="D512" s="68"/>
      <c r="E512" s="66"/>
      <c r="F512" s="66"/>
    </row>
    <row r="513" spans="1:6" x14ac:dyDescent="0.2">
      <c r="A513" s="64" t="str">
        <f t="shared" si="7"/>
        <v/>
      </c>
      <c r="B513" s="64"/>
      <c r="C513" s="64"/>
      <c r="D513" s="68"/>
      <c r="E513" s="66"/>
      <c r="F513" s="66"/>
    </row>
    <row r="514" spans="1:6" x14ac:dyDescent="0.2">
      <c r="A514" s="64" t="str">
        <f t="shared" ref="A514:A577" si="8">CONCATENATE(B514, C514, D514)</f>
        <v/>
      </c>
      <c r="B514" s="64"/>
      <c r="C514" s="64"/>
      <c r="D514" s="68"/>
      <c r="E514" s="66"/>
      <c r="F514" s="66"/>
    </row>
    <row r="515" spans="1:6" x14ac:dyDescent="0.2">
      <c r="A515" s="64" t="str">
        <f t="shared" si="8"/>
        <v/>
      </c>
      <c r="B515" s="64"/>
      <c r="C515" s="64"/>
      <c r="D515" s="68"/>
      <c r="E515" s="66"/>
      <c r="F515" s="66"/>
    </row>
    <row r="516" spans="1:6" x14ac:dyDescent="0.2">
      <c r="A516" s="64" t="str">
        <f t="shared" si="8"/>
        <v/>
      </c>
      <c r="B516" s="64"/>
      <c r="C516" s="64"/>
      <c r="D516" s="68"/>
      <c r="E516" s="66"/>
      <c r="F516" s="66"/>
    </row>
    <row r="517" spans="1:6" x14ac:dyDescent="0.2">
      <c r="A517" s="64" t="str">
        <f t="shared" si="8"/>
        <v/>
      </c>
      <c r="B517" s="64"/>
      <c r="C517" s="64"/>
      <c r="D517" s="68"/>
      <c r="E517" s="66"/>
      <c r="F517" s="66"/>
    </row>
    <row r="518" spans="1:6" x14ac:dyDescent="0.2">
      <c r="A518" s="64" t="str">
        <f t="shared" si="8"/>
        <v/>
      </c>
      <c r="B518" s="64"/>
      <c r="C518" s="64"/>
      <c r="D518" s="68"/>
      <c r="E518" s="66"/>
      <c r="F518" s="66"/>
    </row>
    <row r="519" spans="1:6" x14ac:dyDescent="0.2">
      <c r="A519" s="64" t="str">
        <f t="shared" si="8"/>
        <v/>
      </c>
      <c r="B519" s="64"/>
      <c r="C519" s="64"/>
      <c r="D519" s="68"/>
      <c r="E519" s="66"/>
      <c r="F519" s="66"/>
    </row>
    <row r="520" spans="1:6" x14ac:dyDescent="0.2">
      <c r="A520" s="64" t="str">
        <f t="shared" si="8"/>
        <v/>
      </c>
      <c r="B520" s="64"/>
      <c r="C520" s="64"/>
      <c r="D520" s="68"/>
      <c r="E520" s="66"/>
      <c r="F520" s="66"/>
    </row>
    <row r="521" spans="1:6" x14ac:dyDescent="0.2">
      <c r="A521" s="64" t="str">
        <f t="shared" si="8"/>
        <v/>
      </c>
      <c r="B521" s="64"/>
      <c r="C521" s="64"/>
      <c r="D521" s="68"/>
      <c r="E521" s="66"/>
      <c r="F521" s="66"/>
    </row>
    <row r="522" spans="1:6" x14ac:dyDescent="0.2">
      <c r="A522" s="64" t="str">
        <f t="shared" si="8"/>
        <v/>
      </c>
      <c r="B522" s="64"/>
      <c r="C522" s="64"/>
      <c r="D522" s="68"/>
      <c r="E522" s="66"/>
      <c r="F522" s="66"/>
    </row>
    <row r="523" spans="1:6" x14ac:dyDescent="0.2">
      <c r="A523" s="64" t="str">
        <f t="shared" si="8"/>
        <v/>
      </c>
      <c r="B523" s="64"/>
      <c r="C523" s="64"/>
      <c r="D523" s="68"/>
      <c r="E523" s="66"/>
      <c r="F523" s="66"/>
    </row>
    <row r="524" spans="1:6" x14ac:dyDescent="0.2">
      <c r="A524" s="64" t="str">
        <f t="shared" si="8"/>
        <v/>
      </c>
      <c r="B524" s="64"/>
      <c r="C524" s="64"/>
      <c r="D524" s="68"/>
      <c r="E524" s="66"/>
      <c r="F524" s="66"/>
    </row>
    <row r="525" spans="1:6" x14ac:dyDescent="0.2">
      <c r="A525" s="64" t="str">
        <f t="shared" si="8"/>
        <v/>
      </c>
      <c r="B525" s="64"/>
      <c r="C525" s="64"/>
      <c r="D525" s="68"/>
      <c r="E525" s="66"/>
      <c r="F525" s="66"/>
    </row>
    <row r="526" spans="1:6" x14ac:dyDescent="0.2">
      <c r="A526" s="64" t="str">
        <f t="shared" si="8"/>
        <v/>
      </c>
      <c r="B526" s="64"/>
      <c r="C526" s="64"/>
      <c r="D526" s="68"/>
      <c r="E526" s="66"/>
      <c r="F526" s="66"/>
    </row>
    <row r="527" spans="1:6" x14ac:dyDescent="0.2">
      <c r="A527" s="64" t="str">
        <f t="shared" si="8"/>
        <v/>
      </c>
      <c r="B527" s="64"/>
      <c r="C527" s="64"/>
      <c r="D527" s="68"/>
      <c r="E527" s="66"/>
      <c r="F527" s="66"/>
    </row>
    <row r="528" spans="1:6" x14ac:dyDescent="0.2">
      <c r="A528" s="64" t="str">
        <f t="shared" si="8"/>
        <v/>
      </c>
      <c r="B528" s="64"/>
      <c r="C528" s="64"/>
      <c r="D528" s="68"/>
      <c r="E528" s="66"/>
      <c r="F528" s="66"/>
    </row>
    <row r="529" spans="1:6" x14ac:dyDescent="0.2">
      <c r="A529" s="64" t="str">
        <f t="shared" si="8"/>
        <v/>
      </c>
      <c r="B529" s="64"/>
      <c r="C529" s="64"/>
      <c r="D529" s="68"/>
      <c r="E529" s="66"/>
      <c r="F529" s="66"/>
    </row>
    <row r="530" spans="1:6" x14ac:dyDescent="0.2">
      <c r="A530" s="64" t="str">
        <f t="shared" si="8"/>
        <v/>
      </c>
      <c r="B530" s="64"/>
      <c r="C530" s="64"/>
      <c r="D530" s="68"/>
      <c r="E530" s="66"/>
      <c r="F530" s="66"/>
    </row>
    <row r="531" spans="1:6" x14ac:dyDescent="0.2">
      <c r="A531" s="64" t="str">
        <f t="shared" si="8"/>
        <v/>
      </c>
      <c r="B531" s="64"/>
      <c r="C531" s="64"/>
      <c r="D531" s="68"/>
      <c r="E531" s="66"/>
      <c r="F531" s="66"/>
    </row>
    <row r="532" spans="1:6" x14ac:dyDescent="0.2">
      <c r="A532" s="64" t="str">
        <f t="shared" si="8"/>
        <v/>
      </c>
      <c r="B532" s="64"/>
      <c r="C532" s="64"/>
      <c r="D532" s="68"/>
      <c r="E532" s="66"/>
      <c r="F532" s="66"/>
    </row>
    <row r="533" spans="1:6" x14ac:dyDescent="0.2">
      <c r="A533" s="64" t="str">
        <f t="shared" si="8"/>
        <v/>
      </c>
      <c r="B533" s="64"/>
      <c r="C533" s="64"/>
      <c r="D533" s="68"/>
      <c r="E533" s="66"/>
      <c r="F533" s="66"/>
    </row>
    <row r="534" spans="1:6" x14ac:dyDescent="0.2">
      <c r="A534" s="64" t="str">
        <f t="shared" si="8"/>
        <v/>
      </c>
      <c r="B534" s="64"/>
      <c r="C534" s="64"/>
      <c r="D534" s="68"/>
      <c r="E534" s="66"/>
      <c r="F534" s="66"/>
    </row>
    <row r="535" spans="1:6" x14ac:dyDescent="0.2">
      <c r="A535" s="64" t="str">
        <f t="shared" si="8"/>
        <v/>
      </c>
      <c r="B535" s="64"/>
      <c r="C535" s="64"/>
      <c r="D535" s="68"/>
      <c r="E535" s="66"/>
      <c r="F535" s="66"/>
    </row>
    <row r="536" spans="1:6" x14ac:dyDescent="0.2">
      <c r="A536" s="64" t="str">
        <f t="shared" si="8"/>
        <v/>
      </c>
      <c r="B536" s="64"/>
      <c r="C536" s="64"/>
      <c r="D536" s="68"/>
      <c r="E536" s="66"/>
      <c r="F536" s="66"/>
    </row>
    <row r="537" spans="1:6" x14ac:dyDescent="0.2">
      <c r="A537" s="64" t="str">
        <f t="shared" si="8"/>
        <v/>
      </c>
      <c r="B537" s="64"/>
      <c r="C537" s="64"/>
      <c r="D537" s="68"/>
      <c r="E537" s="66"/>
      <c r="F537" s="66"/>
    </row>
    <row r="538" spans="1:6" x14ac:dyDescent="0.2">
      <c r="A538" s="64" t="str">
        <f t="shared" si="8"/>
        <v/>
      </c>
      <c r="B538" s="64"/>
      <c r="C538" s="64"/>
      <c r="D538" s="68"/>
      <c r="E538" s="66"/>
      <c r="F538" s="66"/>
    </row>
    <row r="539" spans="1:6" x14ac:dyDescent="0.2">
      <c r="A539" s="64" t="str">
        <f t="shared" si="8"/>
        <v/>
      </c>
      <c r="B539" s="64"/>
      <c r="C539" s="64"/>
      <c r="D539" s="68"/>
      <c r="E539" s="66"/>
      <c r="F539" s="66"/>
    </row>
    <row r="540" spans="1:6" x14ac:dyDescent="0.2">
      <c r="A540" s="64" t="str">
        <f t="shared" si="8"/>
        <v/>
      </c>
      <c r="B540" s="64"/>
      <c r="C540" s="64"/>
      <c r="D540" s="68"/>
      <c r="E540" s="66"/>
      <c r="F540" s="66"/>
    </row>
    <row r="541" spans="1:6" x14ac:dyDescent="0.2">
      <c r="A541" s="64" t="str">
        <f t="shared" si="8"/>
        <v/>
      </c>
      <c r="B541" s="64"/>
      <c r="C541" s="64"/>
      <c r="D541" s="68"/>
      <c r="E541" s="66"/>
      <c r="F541" s="66"/>
    </row>
    <row r="542" spans="1:6" x14ac:dyDescent="0.2">
      <c r="A542" s="64" t="str">
        <f t="shared" si="8"/>
        <v/>
      </c>
      <c r="B542" s="64"/>
      <c r="C542" s="64"/>
      <c r="D542" s="68"/>
      <c r="E542" s="66"/>
      <c r="F542" s="66"/>
    </row>
    <row r="543" spans="1:6" x14ac:dyDescent="0.2">
      <c r="A543" s="64" t="str">
        <f t="shared" si="8"/>
        <v/>
      </c>
      <c r="B543" s="64"/>
      <c r="C543" s="64"/>
      <c r="D543" s="68"/>
      <c r="E543" s="66"/>
      <c r="F543" s="66"/>
    </row>
    <row r="544" spans="1:6" x14ac:dyDescent="0.2">
      <c r="A544" s="64" t="str">
        <f t="shared" si="8"/>
        <v/>
      </c>
      <c r="B544" s="64"/>
      <c r="C544" s="64"/>
      <c r="D544" s="68"/>
      <c r="E544" s="66"/>
      <c r="F544" s="66"/>
    </row>
    <row r="545" spans="1:6" x14ac:dyDescent="0.2">
      <c r="A545" s="64" t="str">
        <f t="shared" si="8"/>
        <v/>
      </c>
      <c r="B545" s="64"/>
      <c r="C545" s="64"/>
      <c r="D545" s="68"/>
      <c r="E545" s="66"/>
      <c r="F545" s="66"/>
    </row>
    <row r="546" spans="1:6" x14ac:dyDescent="0.2">
      <c r="A546" s="64" t="str">
        <f t="shared" si="8"/>
        <v/>
      </c>
      <c r="B546" s="64"/>
      <c r="C546" s="64"/>
      <c r="D546" s="68"/>
      <c r="E546" s="66"/>
      <c r="F546" s="66"/>
    </row>
    <row r="547" spans="1:6" x14ac:dyDescent="0.2">
      <c r="A547" s="64" t="str">
        <f t="shared" si="8"/>
        <v/>
      </c>
      <c r="B547" s="64"/>
      <c r="C547" s="64"/>
      <c r="D547" s="68"/>
      <c r="E547" s="66"/>
      <c r="F547" s="66"/>
    </row>
    <row r="548" spans="1:6" x14ac:dyDescent="0.2">
      <c r="A548" s="64" t="str">
        <f t="shared" si="8"/>
        <v/>
      </c>
      <c r="B548" s="64"/>
      <c r="C548" s="64"/>
      <c r="D548" s="68"/>
      <c r="E548" s="66"/>
      <c r="F548" s="66"/>
    </row>
    <row r="549" spans="1:6" x14ac:dyDescent="0.2">
      <c r="A549" s="64" t="str">
        <f t="shared" si="8"/>
        <v/>
      </c>
      <c r="B549" s="64"/>
      <c r="C549" s="64"/>
      <c r="D549" s="68"/>
      <c r="E549" s="66"/>
      <c r="F549" s="66"/>
    </row>
    <row r="550" spans="1:6" x14ac:dyDescent="0.2">
      <c r="A550" s="64" t="str">
        <f t="shared" si="8"/>
        <v/>
      </c>
      <c r="B550" s="64"/>
      <c r="C550" s="64"/>
      <c r="D550" s="68"/>
      <c r="E550" s="66"/>
      <c r="F550" s="66"/>
    </row>
    <row r="551" spans="1:6" x14ac:dyDescent="0.2">
      <c r="A551" s="64" t="str">
        <f t="shared" si="8"/>
        <v/>
      </c>
      <c r="B551" s="64"/>
      <c r="C551" s="64"/>
      <c r="D551" s="68"/>
      <c r="E551" s="66"/>
      <c r="F551" s="66"/>
    </row>
    <row r="552" spans="1:6" x14ac:dyDescent="0.2">
      <c r="A552" s="64" t="str">
        <f t="shared" si="8"/>
        <v/>
      </c>
      <c r="B552" s="64"/>
      <c r="C552" s="64"/>
      <c r="D552" s="68"/>
      <c r="E552" s="66"/>
      <c r="F552" s="66"/>
    </row>
    <row r="553" spans="1:6" x14ac:dyDescent="0.2">
      <c r="A553" s="64" t="str">
        <f t="shared" si="8"/>
        <v/>
      </c>
      <c r="B553" s="64"/>
      <c r="C553" s="64"/>
      <c r="D553" s="68"/>
      <c r="E553" s="66"/>
      <c r="F553" s="66"/>
    </row>
    <row r="554" spans="1:6" x14ac:dyDescent="0.2">
      <c r="A554" s="64" t="str">
        <f t="shared" si="8"/>
        <v/>
      </c>
      <c r="B554" s="64"/>
      <c r="C554" s="64"/>
      <c r="D554" s="68"/>
      <c r="E554" s="66"/>
      <c r="F554" s="66"/>
    </row>
    <row r="555" spans="1:6" x14ac:dyDescent="0.2">
      <c r="A555" s="64" t="str">
        <f t="shared" si="8"/>
        <v/>
      </c>
      <c r="B555" s="64"/>
      <c r="C555" s="64"/>
      <c r="D555" s="68"/>
      <c r="E555" s="66"/>
      <c r="F555" s="66"/>
    </row>
    <row r="556" spans="1:6" x14ac:dyDescent="0.2">
      <c r="A556" s="64" t="str">
        <f t="shared" si="8"/>
        <v/>
      </c>
      <c r="B556" s="64"/>
      <c r="C556" s="64"/>
      <c r="D556" s="68"/>
      <c r="E556" s="66"/>
      <c r="F556" s="66"/>
    </row>
    <row r="557" spans="1:6" x14ac:dyDescent="0.2">
      <c r="A557" s="64" t="str">
        <f t="shared" si="8"/>
        <v/>
      </c>
      <c r="B557" s="64"/>
      <c r="C557" s="64"/>
      <c r="D557" s="68"/>
      <c r="E557" s="66"/>
      <c r="F557" s="66"/>
    </row>
    <row r="558" spans="1:6" x14ac:dyDescent="0.2">
      <c r="A558" s="64" t="str">
        <f t="shared" si="8"/>
        <v/>
      </c>
      <c r="B558" s="64"/>
      <c r="C558" s="64"/>
      <c r="D558" s="68"/>
      <c r="E558" s="66"/>
      <c r="F558" s="66"/>
    </row>
    <row r="559" spans="1:6" x14ac:dyDescent="0.2">
      <c r="A559" s="64" t="str">
        <f t="shared" si="8"/>
        <v/>
      </c>
      <c r="B559" s="64"/>
      <c r="C559" s="64"/>
      <c r="D559" s="68"/>
      <c r="E559" s="66"/>
      <c r="F559" s="66"/>
    </row>
    <row r="560" spans="1:6" x14ac:dyDescent="0.2">
      <c r="A560" s="64" t="str">
        <f t="shared" si="8"/>
        <v/>
      </c>
      <c r="B560" s="64"/>
      <c r="C560" s="64"/>
      <c r="D560" s="68"/>
      <c r="E560" s="66"/>
      <c r="F560" s="66"/>
    </row>
    <row r="561" spans="1:6" x14ac:dyDescent="0.2">
      <c r="A561" s="64" t="str">
        <f t="shared" si="8"/>
        <v/>
      </c>
      <c r="B561" s="64"/>
      <c r="C561" s="64"/>
      <c r="D561" s="68"/>
      <c r="E561" s="66"/>
      <c r="F561" s="66"/>
    </row>
    <row r="562" spans="1:6" x14ac:dyDescent="0.2">
      <c r="A562" s="64" t="str">
        <f t="shared" si="8"/>
        <v/>
      </c>
      <c r="B562" s="64"/>
      <c r="C562" s="64"/>
      <c r="D562" s="68"/>
      <c r="E562" s="66"/>
      <c r="F562" s="66"/>
    </row>
    <row r="563" spans="1:6" x14ac:dyDescent="0.2">
      <c r="A563" s="64" t="str">
        <f t="shared" si="8"/>
        <v/>
      </c>
      <c r="B563" s="64"/>
      <c r="C563" s="64"/>
      <c r="D563" s="68"/>
      <c r="E563" s="66"/>
      <c r="F563" s="66"/>
    </row>
    <row r="564" spans="1:6" x14ac:dyDescent="0.2">
      <c r="A564" s="64" t="str">
        <f t="shared" si="8"/>
        <v/>
      </c>
      <c r="B564" s="64"/>
      <c r="C564" s="64"/>
      <c r="D564" s="68"/>
      <c r="E564" s="66"/>
      <c r="F564" s="66"/>
    </row>
    <row r="565" spans="1:6" x14ac:dyDescent="0.2">
      <c r="A565" s="64" t="str">
        <f t="shared" si="8"/>
        <v/>
      </c>
      <c r="B565" s="64"/>
      <c r="C565" s="64"/>
      <c r="D565" s="68"/>
      <c r="E565" s="66"/>
      <c r="F565" s="66"/>
    </row>
    <row r="566" spans="1:6" x14ac:dyDescent="0.2">
      <c r="A566" s="64" t="str">
        <f t="shared" si="8"/>
        <v/>
      </c>
      <c r="B566" s="64"/>
      <c r="C566" s="64"/>
      <c r="D566" s="68"/>
      <c r="E566" s="66"/>
      <c r="F566" s="66"/>
    </row>
    <row r="567" spans="1:6" x14ac:dyDescent="0.2">
      <c r="A567" s="64" t="str">
        <f t="shared" si="8"/>
        <v/>
      </c>
      <c r="B567" s="64"/>
      <c r="C567" s="64"/>
      <c r="D567" s="68"/>
      <c r="E567" s="66"/>
      <c r="F567" s="66"/>
    </row>
    <row r="568" spans="1:6" x14ac:dyDescent="0.2">
      <c r="A568" s="64" t="str">
        <f t="shared" si="8"/>
        <v/>
      </c>
      <c r="B568" s="64"/>
      <c r="C568" s="64"/>
      <c r="D568" s="68"/>
      <c r="E568" s="66"/>
      <c r="F568" s="66"/>
    </row>
    <row r="569" spans="1:6" x14ac:dyDescent="0.2">
      <c r="A569" s="64" t="str">
        <f t="shared" si="8"/>
        <v/>
      </c>
      <c r="B569" s="64"/>
      <c r="C569" s="64"/>
      <c r="D569" s="68"/>
      <c r="E569" s="66"/>
      <c r="F569" s="66"/>
    </row>
    <row r="570" spans="1:6" x14ac:dyDescent="0.2">
      <c r="A570" s="64" t="str">
        <f t="shared" si="8"/>
        <v/>
      </c>
      <c r="B570" s="64"/>
      <c r="C570" s="64"/>
      <c r="D570" s="68"/>
      <c r="E570" s="66"/>
      <c r="F570" s="66"/>
    </row>
    <row r="571" spans="1:6" x14ac:dyDescent="0.2">
      <c r="A571" s="64" t="str">
        <f t="shared" si="8"/>
        <v/>
      </c>
      <c r="B571" s="64"/>
      <c r="C571" s="64"/>
      <c r="D571" s="68"/>
      <c r="E571" s="66"/>
      <c r="F571" s="66"/>
    </row>
    <row r="572" spans="1:6" x14ac:dyDescent="0.2">
      <c r="A572" s="64" t="str">
        <f t="shared" si="8"/>
        <v/>
      </c>
      <c r="B572" s="64"/>
      <c r="C572" s="64"/>
      <c r="D572" s="68"/>
      <c r="E572" s="66"/>
      <c r="F572" s="66"/>
    </row>
    <row r="573" spans="1:6" x14ac:dyDescent="0.2">
      <c r="A573" s="64" t="str">
        <f t="shared" si="8"/>
        <v/>
      </c>
      <c r="B573" s="64"/>
      <c r="C573" s="64"/>
      <c r="D573" s="68"/>
      <c r="E573" s="66"/>
      <c r="F573" s="66"/>
    </row>
    <row r="574" spans="1:6" x14ac:dyDescent="0.2">
      <c r="A574" s="64" t="str">
        <f t="shared" si="8"/>
        <v/>
      </c>
      <c r="B574" s="64"/>
      <c r="C574" s="64"/>
      <c r="D574" s="68"/>
      <c r="E574" s="66"/>
      <c r="F574" s="66"/>
    </row>
    <row r="575" spans="1:6" x14ac:dyDescent="0.2">
      <c r="A575" s="64" t="str">
        <f t="shared" si="8"/>
        <v/>
      </c>
      <c r="B575" s="64"/>
      <c r="C575" s="64"/>
      <c r="D575" s="68"/>
      <c r="E575" s="66"/>
      <c r="F575" s="66"/>
    </row>
    <row r="576" spans="1:6" x14ac:dyDescent="0.2">
      <c r="A576" s="64" t="str">
        <f t="shared" si="8"/>
        <v/>
      </c>
      <c r="B576" s="64"/>
      <c r="C576" s="64"/>
      <c r="D576" s="68"/>
      <c r="E576" s="66"/>
      <c r="F576" s="66"/>
    </row>
    <row r="577" spans="1:6" x14ac:dyDescent="0.2">
      <c r="A577" s="64" t="str">
        <f t="shared" si="8"/>
        <v/>
      </c>
      <c r="B577" s="64"/>
      <c r="C577" s="64"/>
      <c r="D577" s="68"/>
      <c r="E577" s="66"/>
      <c r="F577" s="66"/>
    </row>
    <row r="578" spans="1:6" x14ac:dyDescent="0.2">
      <c r="A578" s="64" t="str">
        <f t="shared" ref="A578:A641" si="9">CONCATENATE(B578, C578, D578)</f>
        <v/>
      </c>
      <c r="B578" s="64"/>
      <c r="C578" s="64"/>
      <c r="D578" s="68"/>
      <c r="E578" s="66"/>
      <c r="F578" s="66"/>
    </row>
    <row r="579" spans="1:6" x14ac:dyDescent="0.2">
      <c r="A579" s="64" t="str">
        <f t="shared" si="9"/>
        <v/>
      </c>
      <c r="B579" s="64"/>
      <c r="C579" s="64"/>
      <c r="D579" s="68"/>
      <c r="E579" s="66"/>
      <c r="F579" s="66"/>
    </row>
    <row r="580" spans="1:6" x14ac:dyDescent="0.2">
      <c r="A580" s="64" t="str">
        <f t="shared" si="9"/>
        <v/>
      </c>
      <c r="B580" s="64"/>
      <c r="C580" s="64"/>
      <c r="D580" s="68"/>
      <c r="E580" s="66"/>
      <c r="F580" s="66"/>
    </row>
    <row r="581" spans="1:6" x14ac:dyDescent="0.2">
      <c r="A581" s="64" t="str">
        <f t="shared" si="9"/>
        <v/>
      </c>
      <c r="B581" s="64"/>
      <c r="C581" s="64"/>
      <c r="D581" s="68"/>
      <c r="E581" s="66"/>
      <c r="F581" s="66"/>
    </row>
    <row r="582" spans="1:6" x14ac:dyDescent="0.2">
      <c r="A582" s="64" t="str">
        <f t="shared" si="9"/>
        <v/>
      </c>
      <c r="B582" s="64"/>
      <c r="C582" s="64"/>
      <c r="D582" s="68"/>
      <c r="E582" s="66"/>
      <c r="F582" s="66"/>
    </row>
    <row r="583" spans="1:6" x14ac:dyDescent="0.2">
      <c r="A583" s="64" t="str">
        <f t="shared" si="9"/>
        <v/>
      </c>
      <c r="B583" s="64"/>
      <c r="C583" s="64"/>
      <c r="D583" s="68"/>
      <c r="E583" s="66"/>
      <c r="F583" s="66"/>
    </row>
    <row r="584" spans="1:6" x14ac:dyDescent="0.2">
      <c r="A584" s="64" t="str">
        <f t="shared" si="9"/>
        <v/>
      </c>
      <c r="B584" s="64"/>
      <c r="C584" s="64"/>
      <c r="D584" s="68"/>
      <c r="E584" s="66"/>
      <c r="F584" s="66"/>
    </row>
    <row r="585" spans="1:6" x14ac:dyDescent="0.2">
      <c r="A585" s="64" t="str">
        <f t="shared" si="9"/>
        <v/>
      </c>
      <c r="B585" s="64"/>
      <c r="C585" s="64"/>
      <c r="D585" s="68"/>
      <c r="E585" s="66"/>
      <c r="F585" s="66"/>
    </row>
    <row r="586" spans="1:6" x14ac:dyDescent="0.2">
      <c r="A586" s="64" t="str">
        <f t="shared" si="9"/>
        <v/>
      </c>
      <c r="B586" s="64"/>
      <c r="C586" s="64"/>
      <c r="D586" s="68"/>
      <c r="E586" s="66"/>
      <c r="F586" s="66"/>
    </row>
    <row r="587" spans="1:6" x14ac:dyDescent="0.2">
      <c r="A587" s="64" t="str">
        <f t="shared" si="9"/>
        <v/>
      </c>
      <c r="B587" s="64"/>
      <c r="C587" s="64"/>
      <c r="D587" s="68"/>
      <c r="E587" s="66"/>
      <c r="F587" s="66"/>
    </row>
    <row r="588" spans="1:6" x14ac:dyDescent="0.2">
      <c r="A588" s="64" t="str">
        <f t="shared" si="9"/>
        <v/>
      </c>
      <c r="B588" s="64"/>
      <c r="C588" s="64"/>
      <c r="D588" s="68"/>
      <c r="E588" s="66"/>
      <c r="F588" s="66"/>
    </row>
    <row r="589" spans="1:6" x14ac:dyDescent="0.2">
      <c r="A589" s="64" t="str">
        <f t="shared" si="9"/>
        <v/>
      </c>
      <c r="B589" s="64"/>
      <c r="C589" s="64"/>
      <c r="D589" s="68"/>
      <c r="E589" s="66"/>
      <c r="F589" s="66"/>
    </row>
    <row r="590" spans="1:6" x14ac:dyDescent="0.2">
      <c r="A590" s="64" t="str">
        <f t="shared" si="9"/>
        <v/>
      </c>
      <c r="B590" s="64"/>
      <c r="C590" s="64"/>
      <c r="D590" s="68"/>
      <c r="E590" s="66"/>
      <c r="F590" s="66"/>
    </row>
    <row r="591" spans="1:6" x14ac:dyDescent="0.2">
      <c r="A591" s="64" t="str">
        <f t="shared" si="9"/>
        <v/>
      </c>
      <c r="B591" s="64"/>
      <c r="C591" s="64"/>
      <c r="D591" s="68"/>
      <c r="E591" s="66"/>
      <c r="F591" s="66"/>
    </row>
    <row r="592" spans="1:6" x14ac:dyDescent="0.2">
      <c r="A592" s="64" t="str">
        <f t="shared" si="9"/>
        <v/>
      </c>
      <c r="B592" s="64"/>
      <c r="C592" s="64"/>
      <c r="D592" s="68"/>
      <c r="E592" s="66"/>
      <c r="F592" s="66"/>
    </row>
    <row r="593" spans="1:6" x14ac:dyDescent="0.2">
      <c r="A593" s="64" t="str">
        <f t="shared" si="9"/>
        <v/>
      </c>
      <c r="B593" s="64"/>
      <c r="C593" s="64"/>
      <c r="D593" s="68"/>
      <c r="E593" s="66"/>
      <c r="F593" s="66"/>
    </row>
    <row r="594" spans="1:6" x14ac:dyDescent="0.2">
      <c r="A594" s="64" t="str">
        <f t="shared" si="9"/>
        <v/>
      </c>
      <c r="B594" s="64"/>
      <c r="C594" s="64"/>
      <c r="D594" s="68"/>
      <c r="E594" s="66"/>
      <c r="F594" s="66"/>
    </row>
    <row r="595" spans="1:6" x14ac:dyDescent="0.2">
      <c r="A595" s="64" t="str">
        <f t="shared" si="9"/>
        <v/>
      </c>
      <c r="B595" s="64"/>
      <c r="C595" s="64"/>
      <c r="D595" s="68"/>
      <c r="E595" s="66"/>
      <c r="F595" s="66"/>
    </row>
    <row r="596" spans="1:6" x14ac:dyDescent="0.2">
      <c r="A596" s="64" t="str">
        <f t="shared" si="9"/>
        <v/>
      </c>
      <c r="B596" s="64"/>
      <c r="C596" s="64"/>
      <c r="D596" s="68"/>
      <c r="E596" s="66"/>
      <c r="F596" s="66"/>
    </row>
    <row r="597" spans="1:6" x14ac:dyDescent="0.2">
      <c r="A597" s="64" t="str">
        <f t="shared" si="9"/>
        <v/>
      </c>
      <c r="B597" s="64"/>
      <c r="C597" s="64"/>
      <c r="D597" s="68"/>
      <c r="E597" s="66"/>
      <c r="F597" s="66"/>
    </row>
    <row r="598" spans="1:6" x14ac:dyDescent="0.2">
      <c r="A598" s="64" t="str">
        <f t="shared" si="9"/>
        <v/>
      </c>
      <c r="B598" s="64"/>
      <c r="C598" s="64"/>
      <c r="D598" s="68"/>
      <c r="E598" s="66"/>
      <c r="F598" s="66"/>
    </row>
    <row r="599" spans="1:6" x14ac:dyDescent="0.2">
      <c r="A599" s="64" t="str">
        <f t="shared" si="9"/>
        <v/>
      </c>
      <c r="B599" s="64"/>
      <c r="C599" s="64"/>
      <c r="D599" s="68"/>
      <c r="E599" s="66"/>
      <c r="F599" s="66"/>
    </row>
    <row r="600" spans="1:6" x14ac:dyDescent="0.2">
      <c r="A600" s="64" t="str">
        <f t="shared" si="9"/>
        <v/>
      </c>
      <c r="B600" s="64"/>
      <c r="C600" s="64"/>
      <c r="D600" s="68"/>
      <c r="E600" s="66"/>
      <c r="F600" s="66"/>
    </row>
    <row r="601" spans="1:6" x14ac:dyDescent="0.2">
      <c r="A601" s="64" t="str">
        <f t="shared" si="9"/>
        <v/>
      </c>
      <c r="B601" s="64"/>
      <c r="C601" s="64"/>
      <c r="D601" s="68"/>
      <c r="E601" s="66"/>
      <c r="F601" s="66"/>
    </row>
    <row r="602" spans="1:6" x14ac:dyDescent="0.2">
      <c r="A602" s="64" t="str">
        <f t="shared" si="9"/>
        <v/>
      </c>
      <c r="B602" s="64"/>
      <c r="C602" s="64"/>
      <c r="D602" s="68"/>
      <c r="E602" s="66"/>
      <c r="F602" s="66"/>
    </row>
    <row r="603" spans="1:6" x14ac:dyDescent="0.2">
      <c r="A603" s="64" t="str">
        <f t="shared" si="9"/>
        <v/>
      </c>
      <c r="B603" s="64"/>
      <c r="C603" s="64"/>
      <c r="D603" s="68"/>
      <c r="E603" s="66"/>
      <c r="F603" s="66"/>
    </row>
    <row r="604" spans="1:6" x14ac:dyDescent="0.2">
      <c r="A604" s="64" t="str">
        <f t="shared" si="9"/>
        <v/>
      </c>
      <c r="B604" s="64"/>
      <c r="C604" s="64"/>
      <c r="D604" s="68"/>
      <c r="E604" s="66"/>
      <c r="F604" s="66"/>
    </row>
    <row r="605" spans="1:6" x14ac:dyDescent="0.2">
      <c r="A605" s="64" t="str">
        <f t="shared" si="9"/>
        <v/>
      </c>
      <c r="B605" s="64"/>
      <c r="C605" s="64"/>
      <c r="D605" s="68"/>
      <c r="E605" s="66"/>
      <c r="F605" s="66"/>
    </row>
    <row r="606" spans="1:6" x14ac:dyDescent="0.2">
      <c r="A606" s="64" t="str">
        <f t="shared" si="9"/>
        <v/>
      </c>
      <c r="B606" s="64"/>
      <c r="C606" s="64"/>
      <c r="D606" s="68"/>
      <c r="E606" s="66"/>
      <c r="F606" s="66"/>
    </row>
    <row r="607" spans="1:6" x14ac:dyDescent="0.2">
      <c r="A607" s="64" t="str">
        <f t="shared" si="9"/>
        <v/>
      </c>
      <c r="B607" s="64"/>
      <c r="C607" s="64"/>
      <c r="D607" s="68"/>
      <c r="E607" s="66"/>
      <c r="F607" s="66"/>
    </row>
    <row r="608" spans="1:6" x14ac:dyDescent="0.2">
      <c r="A608" s="64" t="str">
        <f t="shared" si="9"/>
        <v/>
      </c>
      <c r="B608" s="64"/>
      <c r="C608" s="64"/>
      <c r="D608" s="68"/>
      <c r="E608" s="66"/>
      <c r="F608" s="66"/>
    </row>
    <row r="609" spans="1:6" x14ac:dyDescent="0.2">
      <c r="A609" s="64" t="str">
        <f t="shared" si="9"/>
        <v/>
      </c>
      <c r="B609" s="64"/>
      <c r="C609" s="64"/>
      <c r="D609" s="68"/>
      <c r="E609" s="66"/>
      <c r="F609" s="66"/>
    </row>
    <row r="610" spans="1:6" x14ac:dyDescent="0.2">
      <c r="A610" s="64" t="str">
        <f t="shared" si="9"/>
        <v/>
      </c>
      <c r="B610" s="64"/>
      <c r="C610" s="64"/>
      <c r="D610" s="68"/>
      <c r="E610" s="66"/>
      <c r="F610" s="66"/>
    </row>
    <row r="611" spans="1:6" x14ac:dyDescent="0.2">
      <c r="A611" s="64" t="str">
        <f t="shared" si="9"/>
        <v/>
      </c>
      <c r="B611" s="64"/>
      <c r="C611" s="64"/>
      <c r="D611" s="68"/>
      <c r="E611" s="66"/>
      <c r="F611" s="66"/>
    </row>
    <row r="612" spans="1:6" x14ac:dyDescent="0.2">
      <c r="A612" s="64" t="str">
        <f t="shared" si="9"/>
        <v/>
      </c>
      <c r="B612" s="64"/>
      <c r="C612" s="64"/>
      <c r="D612" s="68"/>
      <c r="E612" s="66"/>
      <c r="F612" s="66"/>
    </row>
    <row r="613" spans="1:6" x14ac:dyDescent="0.2">
      <c r="A613" s="64" t="str">
        <f t="shared" si="9"/>
        <v/>
      </c>
      <c r="B613" s="64"/>
      <c r="C613" s="64"/>
      <c r="D613" s="68"/>
      <c r="E613" s="66"/>
      <c r="F613" s="66"/>
    </row>
    <row r="614" spans="1:6" x14ac:dyDescent="0.2">
      <c r="A614" s="64" t="str">
        <f t="shared" si="9"/>
        <v/>
      </c>
      <c r="B614" s="64"/>
      <c r="C614" s="64"/>
      <c r="D614" s="68"/>
      <c r="E614" s="66"/>
      <c r="F614" s="66"/>
    </row>
    <row r="615" spans="1:6" x14ac:dyDescent="0.2">
      <c r="A615" s="64" t="str">
        <f t="shared" si="9"/>
        <v/>
      </c>
      <c r="B615" s="64"/>
      <c r="C615" s="64"/>
      <c r="D615" s="68"/>
      <c r="E615" s="66"/>
      <c r="F615" s="66"/>
    </row>
    <row r="616" spans="1:6" x14ac:dyDescent="0.2">
      <c r="A616" s="64" t="str">
        <f t="shared" si="9"/>
        <v/>
      </c>
      <c r="B616" s="64"/>
      <c r="C616" s="64"/>
      <c r="D616" s="68"/>
      <c r="E616" s="66"/>
      <c r="F616" s="66"/>
    </row>
    <row r="617" spans="1:6" x14ac:dyDescent="0.2">
      <c r="A617" s="64" t="str">
        <f t="shared" si="9"/>
        <v/>
      </c>
      <c r="B617" s="64"/>
      <c r="C617" s="64"/>
      <c r="D617" s="68"/>
      <c r="E617" s="66"/>
      <c r="F617" s="66"/>
    </row>
    <row r="618" spans="1:6" x14ac:dyDescent="0.2">
      <c r="A618" s="64" t="str">
        <f t="shared" si="9"/>
        <v/>
      </c>
      <c r="B618" s="64"/>
      <c r="C618" s="64"/>
      <c r="D618" s="68"/>
      <c r="E618" s="66"/>
      <c r="F618" s="66"/>
    </row>
    <row r="619" spans="1:6" x14ac:dyDescent="0.2">
      <c r="A619" s="64" t="str">
        <f t="shared" si="9"/>
        <v/>
      </c>
      <c r="B619" s="64"/>
      <c r="C619" s="64"/>
      <c r="D619" s="68"/>
      <c r="E619" s="66"/>
      <c r="F619" s="66"/>
    </row>
    <row r="620" spans="1:6" x14ac:dyDescent="0.2">
      <c r="A620" s="64" t="str">
        <f t="shared" si="9"/>
        <v/>
      </c>
      <c r="B620" s="64"/>
      <c r="C620" s="64"/>
      <c r="D620" s="68"/>
      <c r="E620" s="66"/>
      <c r="F620" s="66"/>
    </row>
    <row r="621" spans="1:6" x14ac:dyDescent="0.2">
      <c r="A621" s="64" t="str">
        <f t="shared" si="9"/>
        <v/>
      </c>
      <c r="B621" s="64"/>
      <c r="C621" s="64"/>
      <c r="D621" s="68"/>
      <c r="E621" s="66"/>
      <c r="F621" s="66"/>
    </row>
    <row r="622" spans="1:6" x14ac:dyDescent="0.2">
      <c r="A622" s="64" t="str">
        <f t="shared" si="9"/>
        <v/>
      </c>
      <c r="B622" s="64"/>
      <c r="C622" s="64"/>
      <c r="D622" s="68"/>
      <c r="E622" s="66"/>
      <c r="F622" s="66"/>
    </row>
    <row r="623" spans="1:6" x14ac:dyDescent="0.2">
      <c r="A623" s="64" t="str">
        <f t="shared" si="9"/>
        <v/>
      </c>
      <c r="B623" s="64"/>
      <c r="C623" s="64"/>
      <c r="D623" s="68"/>
      <c r="E623" s="66"/>
      <c r="F623" s="66"/>
    </row>
    <row r="624" spans="1:6" x14ac:dyDescent="0.2">
      <c r="A624" s="64" t="str">
        <f t="shared" si="9"/>
        <v/>
      </c>
      <c r="B624" s="64"/>
      <c r="C624" s="64"/>
      <c r="D624" s="68"/>
      <c r="E624" s="66"/>
      <c r="F624" s="66"/>
    </row>
    <row r="625" spans="1:6" x14ac:dyDescent="0.2">
      <c r="A625" s="64" t="str">
        <f t="shared" si="9"/>
        <v/>
      </c>
      <c r="B625" s="64"/>
      <c r="C625" s="64"/>
      <c r="D625" s="68"/>
      <c r="E625" s="66"/>
      <c r="F625" s="66"/>
    </row>
    <row r="626" spans="1:6" x14ac:dyDescent="0.2">
      <c r="A626" s="64" t="str">
        <f t="shared" si="9"/>
        <v/>
      </c>
      <c r="B626" s="64"/>
      <c r="C626" s="64"/>
      <c r="D626" s="68"/>
      <c r="E626" s="66"/>
      <c r="F626" s="66"/>
    </row>
    <row r="627" spans="1:6" x14ac:dyDescent="0.2">
      <c r="A627" s="64" t="str">
        <f t="shared" si="9"/>
        <v/>
      </c>
      <c r="B627" s="64"/>
      <c r="C627" s="64"/>
      <c r="D627" s="68"/>
      <c r="E627" s="66"/>
      <c r="F627" s="66"/>
    </row>
    <row r="628" spans="1:6" x14ac:dyDescent="0.2">
      <c r="A628" s="64" t="str">
        <f t="shared" si="9"/>
        <v/>
      </c>
      <c r="B628" s="64"/>
      <c r="C628" s="64"/>
      <c r="D628" s="68"/>
      <c r="E628" s="66"/>
      <c r="F628" s="66"/>
    </row>
    <row r="629" spans="1:6" x14ac:dyDescent="0.2">
      <c r="A629" s="64" t="str">
        <f t="shared" si="9"/>
        <v/>
      </c>
      <c r="B629" s="64"/>
      <c r="C629" s="64"/>
      <c r="D629" s="68"/>
      <c r="E629" s="66"/>
      <c r="F629" s="66"/>
    </row>
    <row r="630" spans="1:6" x14ac:dyDescent="0.2">
      <c r="A630" s="64" t="str">
        <f t="shared" si="9"/>
        <v/>
      </c>
      <c r="B630" s="64"/>
      <c r="C630" s="64"/>
      <c r="D630" s="68"/>
      <c r="E630" s="66"/>
      <c r="F630" s="66"/>
    </row>
    <row r="631" spans="1:6" x14ac:dyDescent="0.2">
      <c r="A631" s="64" t="str">
        <f t="shared" si="9"/>
        <v/>
      </c>
      <c r="B631" s="64"/>
      <c r="C631" s="64"/>
      <c r="D631" s="68"/>
      <c r="E631" s="66"/>
      <c r="F631" s="66"/>
    </row>
    <row r="632" spans="1:6" x14ac:dyDescent="0.2">
      <c r="A632" s="64" t="str">
        <f t="shared" si="9"/>
        <v/>
      </c>
      <c r="B632" s="64"/>
      <c r="C632" s="64"/>
      <c r="D632" s="68"/>
      <c r="E632" s="66"/>
      <c r="F632" s="66"/>
    </row>
    <row r="633" spans="1:6" x14ac:dyDescent="0.2">
      <c r="A633" s="64" t="str">
        <f t="shared" si="9"/>
        <v/>
      </c>
      <c r="B633" s="64"/>
      <c r="C633" s="64"/>
      <c r="D633" s="68"/>
      <c r="E633" s="66"/>
      <c r="F633" s="66"/>
    </row>
    <row r="634" spans="1:6" x14ac:dyDescent="0.2">
      <c r="A634" s="64" t="str">
        <f t="shared" si="9"/>
        <v/>
      </c>
      <c r="B634" s="64"/>
      <c r="C634" s="64"/>
      <c r="D634" s="68"/>
      <c r="E634" s="66"/>
      <c r="F634" s="66"/>
    </row>
    <row r="635" spans="1:6" x14ac:dyDescent="0.2">
      <c r="A635" s="64" t="str">
        <f t="shared" si="9"/>
        <v/>
      </c>
      <c r="B635" s="64"/>
      <c r="C635" s="64"/>
      <c r="D635" s="68"/>
      <c r="E635" s="66"/>
      <c r="F635" s="66"/>
    </row>
    <row r="636" spans="1:6" x14ac:dyDescent="0.2">
      <c r="A636" s="64" t="str">
        <f t="shared" si="9"/>
        <v/>
      </c>
      <c r="B636" s="64"/>
      <c r="C636" s="64"/>
      <c r="D636" s="68"/>
      <c r="E636" s="66"/>
      <c r="F636" s="66"/>
    </row>
    <row r="637" spans="1:6" x14ac:dyDescent="0.2">
      <c r="A637" s="64" t="str">
        <f t="shared" si="9"/>
        <v/>
      </c>
      <c r="B637" s="64"/>
      <c r="C637" s="64"/>
      <c r="D637" s="68"/>
      <c r="E637" s="66"/>
      <c r="F637" s="66"/>
    </row>
    <row r="638" spans="1:6" x14ac:dyDescent="0.2">
      <c r="A638" s="64" t="str">
        <f t="shared" si="9"/>
        <v/>
      </c>
      <c r="B638" s="64"/>
      <c r="C638" s="64"/>
      <c r="D638" s="68"/>
      <c r="E638" s="66"/>
      <c r="F638" s="66"/>
    </row>
    <row r="639" spans="1:6" x14ac:dyDescent="0.2">
      <c r="A639" s="64" t="str">
        <f t="shared" si="9"/>
        <v/>
      </c>
      <c r="B639" s="64"/>
      <c r="C639" s="64"/>
      <c r="D639" s="68"/>
      <c r="E639" s="66"/>
      <c r="F639" s="66"/>
    </row>
    <row r="640" spans="1:6" x14ac:dyDescent="0.2">
      <c r="A640" s="64" t="str">
        <f t="shared" si="9"/>
        <v/>
      </c>
      <c r="B640" s="64"/>
      <c r="C640" s="64"/>
      <c r="D640" s="68"/>
      <c r="E640" s="66"/>
      <c r="F640" s="66"/>
    </row>
    <row r="641" spans="1:6" x14ac:dyDescent="0.2">
      <c r="A641" s="64" t="str">
        <f t="shared" si="9"/>
        <v/>
      </c>
      <c r="B641" s="64"/>
      <c r="C641" s="64"/>
      <c r="D641" s="68"/>
      <c r="E641" s="66"/>
      <c r="F641" s="66"/>
    </row>
    <row r="642" spans="1:6" x14ac:dyDescent="0.2">
      <c r="A642" s="64" t="str">
        <f t="shared" ref="A642:A705" si="10">CONCATENATE(B642, C642, D642)</f>
        <v/>
      </c>
      <c r="B642" s="64"/>
      <c r="C642" s="64"/>
      <c r="D642" s="68"/>
      <c r="E642" s="66"/>
      <c r="F642" s="66"/>
    </row>
    <row r="643" spans="1:6" x14ac:dyDescent="0.2">
      <c r="A643" s="64" t="str">
        <f t="shared" si="10"/>
        <v/>
      </c>
      <c r="B643" s="64"/>
      <c r="C643" s="64"/>
      <c r="D643" s="68"/>
      <c r="E643" s="66"/>
      <c r="F643" s="66"/>
    </row>
    <row r="644" spans="1:6" x14ac:dyDescent="0.2">
      <c r="A644" s="64" t="str">
        <f t="shared" si="10"/>
        <v/>
      </c>
      <c r="B644" s="64"/>
      <c r="C644" s="64"/>
      <c r="D644" s="68"/>
      <c r="E644" s="66"/>
      <c r="F644" s="66"/>
    </row>
    <row r="645" spans="1:6" x14ac:dyDescent="0.2">
      <c r="A645" s="64" t="str">
        <f t="shared" si="10"/>
        <v/>
      </c>
      <c r="B645" s="64"/>
      <c r="C645" s="64"/>
      <c r="D645" s="68"/>
      <c r="E645" s="66"/>
      <c r="F645" s="66"/>
    </row>
    <row r="646" spans="1:6" x14ac:dyDescent="0.2">
      <c r="A646" s="64" t="str">
        <f t="shared" si="10"/>
        <v/>
      </c>
      <c r="B646" s="64"/>
      <c r="C646" s="64"/>
      <c r="D646" s="68"/>
      <c r="E646" s="66"/>
      <c r="F646" s="66"/>
    </row>
    <row r="647" spans="1:6" x14ac:dyDescent="0.2">
      <c r="A647" s="64" t="str">
        <f t="shared" si="10"/>
        <v/>
      </c>
      <c r="B647" s="64"/>
      <c r="C647" s="64"/>
      <c r="D647" s="68"/>
      <c r="E647" s="66"/>
      <c r="F647" s="66"/>
    </row>
    <row r="648" spans="1:6" x14ac:dyDescent="0.2">
      <c r="A648" s="64" t="str">
        <f t="shared" si="10"/>
        <v/>
      </c>
      <c r="B648" s="64"/>
      <c r="C648" s="64"/>
      <c r="D648" s="68"/>
      <c r="E648" s="66"/>
      <c r="F648" s="66"/>
    </row>
    <row r="649" spans="1:6" x14ac:dyDescent="0.2">
      <c r="A649" s="64" t="str">
        <f t="shared" si="10"/>
        <v/>
      </c>
      <c r="B649" s="64"/>
      <c r="C649" s="64"/>
      <c r="D649" s="68"/>
      <c r="E649" s="66"/>
      <c r="F649" s="66"/>
    </row>
    <row r="650" spans="1:6" x14ac:dyDescent="0.2">
      <c r="A650" s="64" t="str">
        <f t="shared" si="10"/>
        <v/>
      </c>
      <c r="B650" s="64"/>
      <c r="C650" s="64"/>
      <c r="D650" s="68"/>
      <c r="E650" s="66"/>
      <c r="F650" s="66"/>
    </row>
    <row r="651" spans="1:6" x14ac:dyDescent="0.2">
      <c r="A651" s="64" t="str">
        <f t="shared" si="10"/>
        <v/>
      </c>
      <c r="B651" s="64"/>
      <c r="C651" s="64"/>
      <c r="D651" s="68"/>
      <c r="E651" s="66"/>
      <c r="F651" s="66"/>
    </row>
    <row r="652" spans="1:6" x14ac:dyDescent="0.2">
      <c r="A652" s="64" t="str">
        <f t="shared" si="10"/>
        <v/>
      </c>
      <c r="B652" s="64"/>
      <c r="C652" s="64"/>
      <c r="D652" s="68"/>
      <c r="E652" s="66"/>
      <c r="F652" s="66"/>
    </row>
    <row r="653" spans="1:6" x14ac:dyDescent="0.2">
      <c r="A653" s="64" t="str">
        <f t="shared" si="10"/>
        <v/>
      </c>
      <c r="B653" s="64"/>
      <c r="C653" s="64"/>
      <c r="D653" s="68"/>
      <c r="E653" s="66"/>
      <c r="F653" s="66"/>
    </row>
    <row r="654" spans="1:6" x14ac:dyDescent="0.2">
      <c r="A654" s="64" t="str">
        <f t="shared" si="10"/>
        <v/>
      </c>
      <c r="B654" s="64"/>
      <c r="C654" s="64"/>
      <c r="D654" s="68"/>
      <c r="E654" s="66"/>
      <c r="F654" s="66"/>
    </row>
    <row r="655" spans="1:6" x14ac:dyDescent="0.2">
      <c r="A655" s="64" t="str">
        <f t="shared" si="10"/>
        <v/>
      </c>
      <c r="B655" s="64"/>
      <c r="C655" s="64"/>
      <c r="D655" s="68"/>
      <c r="E655" s="66"/>
      <c r="F655" s="66"/>
    </row>
    <row r="656" spans="1:6" x14ac:dyDescent="0.2">
      <c r="A656" s="64" t="str">
        <f t="shared" si="10"/>
        <v/>
      </c>
      <c r="B656" s="64"/>
      <c r="C656" s="64"/>
      <c r="D656" s="68"/>
      <c r="E656" s="66"/>
      <c r="F656" s="66"/>
    </row>
    <row r="657" spans="1:6" x14ac:dyDescent="0.2">
      <c r="A657" s="64" t="str">
        <f t="shared" si="10"/>
        <v/>
      </c>
      <c r="B657" s="64"/>
      <c r="C657" s="64"/>
      <c r="D657" s="68"/>
      <c r="E657" s="66"/>
      <c r="F657" s="66"/>
    </row>
    <row r="658" spans="1:6" x14ac:dyDescent="0.2">
      <c r="A658" s="64" t="str">
        <f t="shared" si="10"/>
        <v/>
      </c>
      <c r="B658" s="64"/>
      <c r="C658" s="64"/>
      <c r="D658" s="68"/>
      <c r="E658" s="66"/>
      <c r="F658" s="66"/>
    </row>
    <row r="659" spans="1:6" x14ac:dyDescent="0.2">
      <c r="A659" s="64" t="str">
        <f t="shared" si="10"/>
        <v/>
      </c>
      <c r="B659" s="64"/>
      <c r="C659" s="64"/>
      <c r="D659" s="68"/>
      <c r="E659" s="66"/>
      <c r="F659" s="66"/>
    </row>
    <row r="660" spans="1:6" x14ac:dyDescent="0.2">
      <c r="A660" s="64" t="str">
        <f t="shared" si="10"/>
        <v/>
      </c>
      <c r="B660" s="64"/>
      <c r="C660" s="64"/>
      <c r="D660" s="68"/>
      <c r="E660" s="66"/>
      <c r="F660" s="66"/>
    </row>
    <row r="661" spans="1:6" x14ac:dyDescent="0.2">
      <c r="A661" s="64" t="str">
        <f t="shared" si="10"/>
        <v/>
      </c>
      <c r="B661" s="64"/>
      <c r="C661" s="64"/>
      <c r="D661" s="68"/>
      <c r="E661" s="66"/>
      <c r="F661" s="66"/>
    </row>
    <row r="662" spans="1:6" x14ac:dyDescent="0.2">
      <c r="A662" s="64" t="str">
        <f t="shared" si="10"/>
        <v/>
      </c>
      <c r="B662" s="64"/>
      <c r="C662" s="64"/>
      <c r="D662" s="68"/>
      <c r="E662" s="66"/>
      <c r="F662" s="66"/>
    </row>
    <row r="663" spans="1:6" x14ac:dyDescent="0.2">
      <c r="A663" s="64" t="str">
        <f t="shared" si="10"/>
        <v/>
      </c>
      <c r="B663" s="64"/>
      <c r="C663" s="64"/>
      <c r="D663" s="68"/>
      <c r="E663" s="66"/>
      <c r="F663" s="66"/>
    </row>
    <row r="664" spans="1:6" x14ac:dyDescent="0.2">
      <c r="A664" s="64" t="str">
        <f t="shared" si="10"/>
        <v/>
      </c>
      <c r="B664" s="64"/>
      <c r="C664" s="64"/>
      <c r="D664" s="68"/>
      <c r="E664" s="66"/>
      <c r="F664" s="66"/>
    </row>
    <row r="665" spans="1:6" x14ac:dyDescent="0.2">
      <c r="A665" s="64" t="str">
        <f t="shared" si="10"/>
        <v/>
      </c>
      <c r="B665" s="64"/>
      <c r="C665" s="64"/>
      <c r="D665" s="68"/>
      <c r="E665" s="66"/>
      <c r="F665" s="66"/>
    </row>
    <row r="666" spans="1:6" x14ac:dyDescent="0.2">
      <c r="A666" s="64" t="str">
        <f t="shared" si="10"/>
        <v/>
      </c>
      <c r="B666" s="64"/>
      <c r="C666" s="64"/>
      <c r="D666" s="68"/>
      <c r="E666" s="66"/>
      <c r="F666" s="66"/>
    </row>
    <row r="667" spans="1:6" x14ac:dyDescent="0.2">
      <c r="A667" s="64" t="str">
        <f t="shared" si="10"/>
        <v/>
      </c>
      <c r="B667" s="64"/>
      <c r="C667" s="64"/>
      <c r="D667" s="68"/>
      <c r="E667" s="66"/>
      <c r="F667" s="66"/>
    </row>
    <row r="668" spans="1:6" x14ac:dyDescent="0.2">
      <c r="A668" s="64" t="str">
        <f t="shared" si="10"/>
        <v/>
      </c>
      <c r="B668" s="64"/>
      <c r="C668" s="64"/>
      <c r="D668" s="68"/>
      <c r="E668" s="66"/>
      <c r="F668" s="66"/>
    </row>
    <row r="669" spans="1:6" x14ac:dyDescent="0.2">
      <c r="A669" s="64" t="str">
        <f t="shared" si="10"/>
        <v/>
      </c>
      <c r="B669" s="64"/>
      <c r="C669" s="64"/>
      <c r="D669" s="68"/>
      <c r="E669" s="66"/>
      <c r="F669" s="66"/>
    </row>
    <row r="670" spans="1:6" x14ac:dyDescent="0.2">
      <c r="A670" s="64" t="str">
        <f t="shared" si="10"/>
        <v/>
      </c>
      <c r="B670" s="64"/>
      <c r="C670" s="64"/>
      <c r="D670" s="68"/>
      <c r="E670" s="66"/>
      <c r="F670" s="66"/>
    </row>
    <row r="671" spans="1:6" x14ac:dyDescent="0.2">
      <c r="A671" s="64" t="str">
        <f t="shared" si="10"/>
        <v/>
      </c>
      <c r="B671" s="64"/>
      <c r="C671" s="64"/>
      <c r="D671" s="68"/>
      <c r="E671" s="66"/>
      <c r="F671" s="66"/>
    </row>
    <row r="672" spans="1:6" x14ac:dyDescent="0.2">
      <c r="A672" s="64" t="str">
        <f t="shared" si="10"/>
        <v/>
      </c>
      <c r="B672" s="64"/>
      <c r="C672" s="64"/>
      <c r="D672" s="68"/>
      <c r="E672" s="66"/>
      <c r="F672" s="66"/>
    </row>
    <row r="673" spans="1:6" x14ac:dyDescent="0.2">
      <c r="A673" s="64" t="str">
        <f t="shared" si="10"/>
        <v/>
      </c>
      <c r="B673" s="64"/>
      <c r="C673" s="64"/>
      <c r="D673" s="68"/>
      <c r="E673" s="66"/>
      <c r="F673" s="66"/>
    </row>
    <row r="674" spans="1:6" x14ac:dyDescent="0.2">
      <c r="A674" s="64" t="str">
        <f t="shared" si="10"/>
        <v/>
      </c>
      <c r="B674" s="64"/>
      <c r="C674" s="64"/>
      <c r="D674" s="68"/>
      <c r="E674" s="66"/>
      <c r="F674" s="66"/>
    </row>
    <row r="675" spans="1:6" x14ac:dyDescent="0.2">
      <c r="A675" s="64" t="str">
        <f t="shared" si="10"/>
        <v/>
      </c>
      <c r="B675" s="64"/>
      <c r="C675" s="64"/>
      <c r="D675" s="68"/>
      <c r="E675" s="66"/>
      <c r="F675" s="66"/>
    </row>
    <row r="676" spans="1:6" x14ac:dyDescent="0.2">
      <c r="A676" s="64" t="str">
        <f t="shared" si="10"/>
        <v/>
      </c>
      <c r="B676" s="64"/>
      <c r="C676" s="64"/>
      <c r="D676" s="68"/>
      <c r="E676" s="66"/>
      <c r="F676" s="66"/>
    </row>
    <row r="677" spans="1:6" x14ac:dyDescent="0.2">
      <c r="A677" s="64" t="str">
        <f t="shared" si="10"/>
        <v/>
      </c>
      <c r="B677" s="64"/>
      <c r="C677" s="64"/>
      <c r="D677" s="68"/>
      <c r="E677" s="66"/>
      <c r="F677" s="66"/>
    </row>
    <row r="678" spans="1:6" x14ac:dyDescent="0.2">
      <c r="A678" s="64" t="str">
        <f t="shared" si="10"/>
        <v/>
      </c>
      <c r="B678" s="64"/>
      <c r="C678" s="64"/>
      <c r="D678" s="68"/>
      <c r="E678" s="66"/>
      <c r="F678" s="66"/>
    </row>
    <row r="679" spans="1:6" x14ac:dyDescent="0.2">
      <c r="A679" s="64" t="str">
        <f t="shared" si="10"/>
        <v/>
      </c>
      <c r="B679" s="64"/>
      <c r="C679" s="64"/>
      <c r="D679" s="68"/>
      <c r="E679" s="66"/>
      <c r="F679" s="66"/>
    </row>
    <row r="680" spans="1:6" x14ac:dyDescent="0.2">
      <c r="A680" s="64" t="str">
        <f t="shared" si="10"/>
        <v/>
      </c>
      <c r="B680" s="64"/>
      <c r="C680" s="64"/>
      <c r="D680" s="68"/>
      <c r="E680" s="66"/>
      <c r="F680" s="66"/>
    </row>
    <row r="681" spans="1:6" x14ac:dyDescent="0.2">
      <c r="A681" s="64" t="str">
        <f t="shared" si="10"/>
        <v/>
      </c>
      <c r="B681" s="64"/>
      <c r="C681" s="64"/>
      <c r="D681" s="68"/>
      <c r="E681" s="66"/>
      <c r="F681" s="66"/>
    </row>
    <row r="682" spans="1:6" x14ac:dyDescent="0.2">
      <c r="A682" s="64" t="str">
        <f t="shared" si="10"/>
        <v/>
      </c>
      <c r="B682" s="64"/>
      <c r="C682" s="64"/>
      <c r="D682" s="68"/>
      <c r="E682" s="66"/>
      <c r="F682" s="66"/>
    </row>
    <row r="683" spans="1:6" x14ac:dyDescent="0.2">
      <c r="A683" s="64" t="str">
        <f t="shared" si="10"/>
        <v/>
      </c>
      <c r="B683" s="64"/>
      <c r="C683" s="64"/>
      <c r="D683" s="68"/>
      <c r="E683" s="66"/>
      <c r="F683" s="66"/>
    </row>
    <row r="684" spans="1:6" x14ac:dyDescent="0.2">
      <c r="A684" s="64" t="str">
        <f t="shared" si="10"/>
        <v/>
      </c>
      <c r="B684" s="64"/>
      <c r="C684" s="64"/>
      <c r="D684" s="68"/>
      <c r="E684" s="66"/>
      <c r="F684" s="66"/>
    </row>
    <row r="685" spans="1:6" x14ac:dyDescent="0.2">
      <c r="A685" s="64" t="str">
        <f t="shared" si="10"/>
        <v/>
      </c>
      <c r="B685" s="64"/>
      <c r="C685" s="64"/>
      <c r="D685" s="68"/>
      <c r="E685" s="66"/>
      <c r="F685" s="66"/>
    </row>
    <row r="686" spans="1:6" x14ac:dyDescent="0.2">
      <c r="A686" s="64" t="str">
        <f t="shared" si="10"/>
        <v/>
      </c>
      <c r="B686" s="64"/>
      <c r="C686" s="64"/>
      <c r="D686" s="68"/>
      <c r="E686" s="66"/>
      <c r="F686" s="66"/>
    </row>
    <row r="687" spans="1:6" x14ac:dyDescent="0.2">
      <c r="A687" s="64" t="str">
        <f t="shared" si="10"/>
        <v/>
      </c>
      <c r="B687" s="64"/>
      <c r="C687" s="64"/>
      <c r="D687" s="68"/>
      <c r="E687" s="66"/>
      <c r="F687" s="66"/>
    </row>
    <row r="688" spans="1:6" x14ac:dyDescent="0.2">
      <c r="A688" s="64" t="str">
        <f t="shared" si="10"/>
        <v/>
      </c>
      <c r="B688" s="64"/>
      <c r="C688" s="64"/>
      <c r="D688" s="68"/>
      <c r="E688" s="66"/>
      <c r="F688" s="66"/>
    </row>
    <row r="689" spans="1:6" x14ac:dyDescent="0.2">
      <c r="A689" s="64" t="str">
        <f t="shared" si="10"/>
        <v/>
      </c>
      <c r="B689" s="64"/>
      <c r="C689" s="64"/>
      <c r="D689" s="68"/>
      <c r="E689" s="66"/>
      <c r="F689" s="66"/>
    </row>
    <row r="690" spans="1:6" x14ac:dyDescent="0.2">
      <c r="A690" s="64" t="str">
        <f t="shared" si="10"/>
        <v/>
      </c>
      <c r="B690" s="64"/>
      <c r="C690" s="64"/>
      <c r="D690" s="68"/>
      <c r="E690" s="66"/>
      <c r="F690" s="66"/>
    </row>
    <row r="691" spans="1:6" x14ac:dyDescent="0.2">
      <c r="A691" s="64" t="str">
        <f t="shared" si="10"/>
        <v/>
      </c>
      <c r="B691" s="64"/>
      <c r="C691" s="64"/>
      <c r="D691" s="68"/>
      <c r="E691" s="66"/>
      <c r="F691" s="66"/>
    </row>
    <row r="692" spans="1:6" x14ac:dyDescent="0.2">
      <c r="A692" s="64" t="str">
        <f t="shared" si="10"/>
        <v/>
      </c>
      <c r="B692" s="64"/>
      <c r="C692" s="64"/>
      <c r="D692" s="68"/>
      <c r="E692" s="66"/>
      <c r="F692" s="66"/>
    </row>
    <row r="693" spans="1:6" x14ac:dyDescent="0.2">
      <c r="A693" s="64" t="str">
        <f t="shared" si="10"/>
        <v/>
      </c>
      <c r="B693" s="64"/>
      <c r="C693" s="64"/>
      <c r="D693" s="68"/>
      <c r="E693" s="66"/>
      <c r="F693" s="66"/>
    </row>
    <row r="694" spans="1:6" x14ac:dyDescent="0.2">
      <c r="A694" s="64" t="str">
        <f t="shared" si="10"/>
        <v/>
      </c>
      <c r="B694" s="64"/>
      <c r="C694" s="64"/>
      <c r="D694" s="68"/>
      <c r="E694" s="66"/>
      <c r="F694" s="66"/>
    </row>
    <row r="695" spans="1:6" x14ac:dyDescent="0.2">
      <c r="A695" s="64" t="str">
        <f t="shared" si="10"/>
        <v/>
      </c>
      <c r="B695" s="64"/>
      <c r="C695" s="64"/>
      <c r="D695" s="68"/>
      <c r="E695" s="66"/>
      <c r="F695" s="66"/>
    </row>
    <row r="696" spans="1:6" x14ac:dyDescent="0.2">
      <c r="A696" s="64" t="str">
        <f t="shared" si="10"/>
        <v/>
      </c>
      <c r="B696" s="64"/>
      <c r="C696" s="64"/>
      <c r="D696" s="68"/>
      <c r="E696" s="66"/>
      <c r="F696" s="66"/>
    </row>
    <row r="697" spans="1:6" x14ac:dyDescent="0.2">
      <c r="A697" s="64" t="str">
        <f t="shared" si="10"/>
        <v/>
      </c>
      <c r="B697" s="64"/>
      <c r="C697" s="64"/>
      <c r="D697" s="68"/>
      <c r="E697" s="66"/>
      <c r="F697" s="66"/>
    </row>
    <row r="698" spans="1:6" x14ac:dyDescent="0.2">
      <c r="A698" s="64" t="str">
        <f t="shared" si="10"/>
        <v/>
      </c>
      <c r="B698" s="64"/>
      <c r="C698" s="64"/>
      <c r="D698" s="68"/>
      <c r="E698" s="66"/>
      <c r="F698" s="66"/>
    </row>
    <row r="699" spans="1:6" x14ac:dyDescent="0.2">
      <c r="A699" s="64" t="str">
        <f t="shared" si="10"/>
        <v/>
      </c>
      <c r="B699" s="64"/>
      <c r="C699" s="64"/>
      <c r="D699" s="68"/>
      <c r="E699" s="66"/>
      <c r="F699" s="66"/>
    </row>
    <row r="700" spans="1:6" x14ac:dyDescent="0.2">
      <c r="A700" s="64" t="str">
        <f t="shared" si="10"/>
        <v/>
      </c>
      <c r="B700" s="64"/>
      <c r="C700" s="64"/>
      <c r="D700" s="68"/>
      <c r="E700" s="66"/>
      <c r="F700" s="66"/>
    </row>
    <row r="701" spans="1:6" x14ac:dyDescent="0.2">
      <c r="A701" s="64" t="str">
        <f t="shared" si="10"/>
        <v/>
      </c>
      <c r="B701" s="64"/>
      <c r="C701" s="64"/>
      <c r="D701" s="68"/>
      <c r="E701" s="66"/>
      <c r="F701" s="66"/>
    </row>
    <row r="702" spans="1:6" x14ac:dyDescent="0.2">
      <c r="A702" s="64" t="str">
        <f t="shared" si="10"/>
        <v/>
      </c>
      <c r="B702" s="64"/>
      <c r="C702" s="64"/>
      <c r="D702" s="68"/>
      <c r="E702" s="66"/>
      <c r="F702" s="66"/>
    </row>
    <row r="703" spans="1:6" x14ac:dyDescent="0.2">
      <c r="A703" s="64" t="str">
        <f t="shared" si="10"/>
        <v/>
      </c>
      <c r="B703" s="64"/>
      <c r="C703" s="64"/>
      <c r="D703" s="68"/>
      <c r="E703" s="66"/>
      <c r="F703" s="66"/>
    </row>
    <row r="704" spans="1:6" x14ac:dyDescent="0.2">
      <c r="A704" s="64" t="str">
        <f t="shared" si="10"/>
        <v/>
      </c>
      <c r="B704" s="64"/>
      <c r="C704" s="64"/>
      <c r="D704" s="68"/>
      <c r="E704" s="66"/>
      <c r="F704" s="66"/>
    </row>
    <row r="705" spans="1:6" x14ac:dyDescent="0.2">
      <c r="A705" s="64" t="str">
        <f t="shared" si="10"/>
        <v/>
      </c>
      <c r="B705" s="64"/>
      <c r="C705" s="64"/>
      <c r="D705" s="68"/>
      <c r="E705" s="66"/>
      <c r="F705" s="66"/>
    </row>
    <row r="706" spans="1:6" x14ac:dyDescent="0.2">
      <c r="A706" s="64" t="str">
        <f t="shared" ref="A706:A769" si="11">CONCATENATE(B706, C706, D706)</f>
        <v/>
      </c>
      <c r="B706" s="64"/>
      <c r="C706" s="64"/>
      <c r="D706" s="68"/>
      <c r="E706" s="66"/>
      <c r="F706" s="66"/>
    </row>
    <row r="707" spans="1:6" x14ac:dyDescent="0.2">
      <c r="A707" s="64" t="str">
        <f t="shared" si="11"/>
        <v/>
      </c>
      <c r="B707" s="64"/>
      <c r="C707" s="64"/>
      <c r="D707" s="68"/>
      <c r="E707" s="66"/>
      <c r="F707" s="66"/>
    </row>
    <row r="708" spans="1:6" x14ac:dyDescent="0.2">
      <c r="A708" s="64" t="str">
        <f t="shared" si="11"/>
        <v/>
      </c>
      <c r="B708" s="64"/>
      <c r="C708" s="64"/>
      <c r="D708" s="68"/>
      <c r="E708" s="66"/>
      <c r="F708" s="66"/>
    </row>
    <row r="709" spans="1:6" x14ac:dyDescent="0.2">
      <c r="A709" s="64" t="str">
        <f t="shared" si="11"/>
        <v/>
      </c>
      <c r="B709" s="64"/>
      <c r="C709" s="64"/>
      <c r="D709" s="68"/>
      <c r="E709" s="66"/>
      <c r="F709" s="66"/>
    </row>
    <row r="710" spans="1:6" x14ac:dyDescent="0.2">
      <c r="A710" s="64" t="str">
        <f t="shared" si="11"/>
        <v/>
      </c>
      <c r="B710" s="64"/>
      <c r="C710" s="64"/>
      <c r="D710" s="68"/>
      <c r="E710" s="66"/>
      <c r="F710" s="66"/>
    </row>
    <row r="711" spans="1:6" x14ac:dyDescent="0.2">
      <c r="A711" s="64" t="str">
        <f t="shared" si="11"/>
        <v/>
      </c>
      <c r="B711" s="64"/>
      <c r="C711" s="64"/>
      <c r="D711" s="68"/>
      <c r="E711" s="66"/>
      <c r="F711" s="66"/>
    </row>
    <row r="712" spans="1:6" x14ac:dyDescent="0.2">
      <c r="A712" s="64" t="str">
        <f t="shared" si="11"/>
        <v/>
      </c>
      <c r="B712" s="64"/>
      <c r="C712" s="64"/>
      <c r="D712" s="68"/>
      <c r="E712" s="66"/>
      <c r="F712" s="66"/>
    </row>
    <row r="713" spans="1:6" x14ac:dyDescent="0.2">
      <c r="A713" s="64" t="str">
        <f t="shared" si="11"/>
        <v/>
      </c>
      <c r="B713" s="64"/>
      <c r="C713" s="64"/>
      <c r="D713" s="68"/>
      <c r="E713" s="66"/>
      <c r="F713" s="66"/>
    </row>
    <row r="714" spans="1:6" x14ac:dyDescent="0.2">
      <c r="A714" s="64" t="str">
        <f t="shared" si="11"/>
        <v/>
      </c>
      <c r="B714" s="64"/>
      <c r="C714" s="64"/>
      <c r="D714" s="68"/>
      <c r="E714" s="66"/>
      <c r="F714" s="66"/>
    </row>
    <row r="715" spans="1:6" x14ac:dyDescent="0.2">
      <c r="A715" s="64" t="str">
        <f t="shared" si="11"/>
        <v/>
      </c>
      <c r="B715" s="64"/>
      <c r="C715" s="64"/>
      <c r="D715" s="68"/>
      <c r="E715" s="66"/>
      <c r="F715" s="66"/>
    </row>
    <row r="716" spans="1:6" x14ac:dyDescent="0.2">
      <c r="A716" s="64" t="str">
        <f t="shared" si="11"/>
        <v/>
      </c>
      <c r="B716" s="64"/>
      <c r="C716" s="64"/>
      <c r="D716" s="68"/>
      <c r="E716" s="66"/>
      <c r="F716" s="66"/>
    </row>
    <row r="717" spans="1:6" x14ac:dyDescent="0.2">
      <c r="A717" s="64" t="str">
        <f t="shared" si="11"/>
        <v/>
      </c>
      <c r="B717" s="64"/>
      <c r="C717" s="64"/>
      <c r="D717" s="68"/>
      <c r="E717" s="66"/>
      <c r="F717" s="66"/>
    </row>
    <row r="718" spans="1:6" x14ac:dyDescent="0.2">
      <c r="A718" s="64" t="str">
        <f t="shared" si="11"/>
        <v/>
      </c>
      <c r="B718" s="64"/>
      <c r="C718" s="64"/>
      <c r="D718" s="68"/>
      <c r="E718" s="66"/>
      <c r="F718" s="66"/>
    </row>
    <row r="719" spans="1:6" x14ac:dyDescent="0.2">
      <c r="A719" s="64" t="str">
        <f t="shared" si="11"/>
        <v/>
      </c>
      <c r="B719" s="64"/>
      <c r="C719" s="64"/>
      <c r="D719" s="68"/>
      <c r="E719" s="66"/>
      <c r="F719" s="66"/>
    </row>
    <row r="720" spans="1:6" x14ac:dyDescent="0.2">
      <c r="A720" s="64" t="str">
        <f t="shared" si="11"/>
        <v/>
      </c>
      <c r="B720" s="64"/>
      <c r="C720" s="64"/>
      <c r="D720" s="68"/>
      <c r="E720" s="66"/>
      <c r="F720" s="66"/>
    </row>
    <row r="721" spans="1:6" x14ac:dyDescent="0.2">
      <c r="A721" s="64" t="str">
        <f t="shared" si="11"/>
        <v/>
      </c>
      <c r="B721" s="64"/>
      <c r="C721" s="64"/>
      <c r="D721" s="68"/>
      <c r="E721" s="66"/>
      <c r="F721" s="66"/>
    </row>
    <row r="722" spans="1:6" x14ac:dyDescent="0.2">
      <c r="A722" s="64" t="str">
        <f t="shared" si="11"/>
        <v/>
      </c>
      <c r="B722" s="64"/>
      <c r="C722" s="64"/>
      <c r="D722" s="68"/>
      <c r="E722" s="66"/>
      <c r="F722" s="66"/>
    </row>
    <row r="723" spans="1:6" x14ac:dyDescent="0.2">
      <c r="A723" s="64" t="str">
        <f t="shared" si="11"/>
        <v/>
      </c>
      <c r="B723" s="64"/>
      <c r="C723" s="64"/>
      <c r="D723" s="68"/>
      <c r="E723" s="66"/>
      <c r="F723" s="66"/>
    </row>
    <row r="724" spans="1:6" x14ac:dyDescent="0.2">
      <c r="A724" s="64" t="str">
        <f t="shared" si="11"/>
        <v/>
      </c>
      <c r="B724" s="64"/>
      <c r="C724" s="64"/>
      <c r="D724" s="68"/>
      <c r="E724" s="66"/>
      <c r="F724" s="66"/>
    </row>
    <row r="725" spans="1:6" x14ac:dyDescent="0.2">
      <c r="A725" s="64" t="str">
        <f t="shared" si="11"/>
        <v/>
      </c>
      <c r="B725" s="64"/>
      <c r="C725" s="64"/>
      <c r="D725" s="68"/>
      <c r="E725" s="66"/>
      <c r="F725" s="66"/>
    </row>
    <row r="726" spans="1:6" x14ac:dyDescent="0.2">
      <c r="A726" s="64" t="str">
        <f t="shared" si="11"/>
        <v/>
      </c>
      <c r="B726" s="64"/>
      <c r="C726" s="64"/>
      <c r="D726" s="68"/>
      <c r="E726" s="66"/>
      <c r="F726" s="66"/>
    </row>
    <row r="727" spans="1:6" x14ac:dyDescent="0.2">
      <c r="A727" s="64" t="str">
        <f t="shared" si="11"/>
        <v/>
      </c>
      <c r="B727" s="64"/>
      <c r="C727" s="64"/>
      <c r="D727" s="68"/>
      <c r="E727" s="66"/>
      <c r="F727" s="66"/>
    </row>
    <row r="728" spans="1:6" x14ac:dyDescent="0.2">
      <c r="A728" s="64" t="str">
        <f t="shared" si="11"/>
        <v/>
      </c>
      <c r="B728" s="64"/>
      <c r="C728" s="64"/>
      <c r="D728" s="68"/>
      <c r="E728" s="66"/>
      <c r="F728" s="66"/>
    </row>
    <row r="729" spans="1:6" x14ac:dyDescent="0.2">
      <c r="A729" s="64" t="str">
        <f t="shared" si="11"/>
        <v/>
      </c>
      <c r="B729" s="64"/>
      <c r="C729" s="64"/>
      <c r="D729" s="68"/>
      <c r="E729" s="66"/>
      <c r="F729" s="66"/>
    </row>
    <row r="730" spans="1:6" x14ac:dyDescent="0.2">
      <c r="A730" s="64" t="str">
        <f t="shared" si="11"/>
        <v/>
      </c>
      <c r="B730" s="64"/>
      <c r="C730" s="64"/>
      <c r="D730" s="68"/>
      <c r="E730" s="66"/>
      <c r="F730" s="66"/>
    </row>
    <row r="731" spans="1:6" x14ac:dyDescent="0.2">
      <c r="A731" s="64" t="str">
        <f t="shared" si="11"/>
        <v/>
      </c>
      <c r="B731" s="64"/>
      <c r="C731" s="64"/>
      <c r="D731" s="68"/>
      <c r="E731" s="66"/>
      <c r="F731" s="66"/>
    </row>
    <row r="732" spans="1:6" x14ac:dyDescent="0.2">
      <c r="A732" s="64" t="str">
        <f t="shared" si="11"/>
        <v/>
      </c>
      <c r="B732" s="64"/>
      <c r="C732" s="64"/>
      <c r="D732" s="68"/>
      <c r="E732" s="66"/>
      <c r="F732" s="66"/>
    </row>
    <row r="733" spans="1:6" x14ac:dyDescent="0.2">
      <c r="A733" s="64" t="str">
        <f t="shared" si="11"/>
        <v/>
      </c>
      <c r="B733" s="64"/>
      <c r="C733" s="64"/>
      <c r="D733" s="68"/>
      <c r="E733" s="66"/>
      <c r="F733" s="66"/>
    </row>
    <row r="734" spans="1:6" x14ac:dyDescent="0.2">
      <c r="A734" s="64" t="str">
        <f t="shared" si="11"/>
        <v/>
      </c>
      <c r="B734" s="64"/>
      <c r="C734" s="64"/>
      <c r="D734" s="68"/>
      <c r="E734" s="66"/>
      <c r="F734" s="66"/>
    </row>
    <row r="735" spans="1:6" x14ac:dyDescent="0.2">
      <c r="A735" s="64" t="str">
        <f t="shared" si="11"/>
        <v/>
      </c>
      <c r="B735" s="64"/>
      <c r="C735" s="64"/>
      <c r="D735" s="68"/>
      <c r="E735" s="66"/>
      <c r="F735" s="66"/>
    </row>
    <row r="736" spans="1:6" x14ac:dyDescent="0.2">
      <c r="A736" s="64" t="str">
        <f t="shared" si="11"/>
        <v/>
      </c>
      <c r="B736" s="64"/>
      <c r="C736" s="64"/>
      <c r="D736" s="68"/>
      <c r="E736" s="66"/>
      <c r="F736" s="66"/>
    </row>
    <row r="737" spans="1:6" x14ac:dyDescent="0.2">
      <c r="A737" s="64" t="str">
        <f t="shared" si="11"/>
        <v/>
      </c>
      <c r="B737" s="64"/>
      <c r="C737" s="64"/>
      <c r="D737" s="68"/>
      <c r="E737" s="66"/>
      <c r="F737" s="66"/>
    </row>
    <row r="738" spans="1:6" x14ac:dyDescent="0.2">
      <c r="A738" s="64" t="str">
        <f t="shared" si="11"/>
        <v/>
      </c>
      <c r="B738" s="64"/>
      <c r="C738" s="64"/>
      <c r="D738" s="68"/>
      <c r="E738" s="66"/>
      <c r="F738" s="66"/>
    </row>
    <row r="739" spans="1:6" x14ac:dyDescent="0.2">
      <c r="A739" s="64" t="str">
        <f t="shared" si="11"/>
        <v/>
      </c>
      <c r="B739" s="64"/>
      <c r="C739" s="64"/>
      <c r="D739" s="68"/>
      <c r="E739" s="66"/>
      <c r="F739" s="66"/>
    </row>
    <row r="740" spans="1:6" x14ac:dyDescent="0.2">
      <c r="A740" s="64" t="str">
        <f t="shared" si="11"/>
        <v/>
      </c>
      <c r="B740" s="64"/>
      <c r="C740" s="64"/>
      <c r="D740" s="68"/>
      <c r="E740" s="66"/>
      <c r="F740" s="66"/>
    </row>
    <row r="741" spans="1:6" x14ac:dyDescent="0.2">
      <c r="A741" s="64" t="str">
        <f t="shared" si="11"/>
        <v/>
      </c>
      <c r="B741" s="64"/>
      <c r="C741" s="64"/>
      <c r="D741" s="68"/>
      <c r="E741" s="66"/>
      <c r="F741" s="66"/>
    </row>
    <row r="742" spans="1:6" x14ac:dyDescent="0.2">
      <c r="A742" s="64" t="str">
        <f t="shared" si="11"/>
        <v/>
      </c>
      <c r="B742" s="64"/>
      <c r="C742" s="64"/>
      <c r="D742" s="68"/>
      <c r="E742" s="66"/>
      <c r="F742" s="66"/>
    </row>
    <row r="743" spans="1:6" x14ac:dyDescent="0.2">
      <c r="A743" s="64" t="str">
        <f t="shared" si="11"/>
        <v/>
      </c>
      <c r="B743" s="64"/>
      <c r="C743" s="64"/>
      <c r="D743" s="68"/>
      <c r="E743" s="66"/>
      <c r="F743" s="66"/>
    </row>
    <row r="744" spans="1:6" x14ac:dyDescent="0.2">
      <c r="A744" s="64" t="str">
        <f t="shared" si="11"/>
        <v/>
      </c>
      <c r="B744" s="64"/>
      <c r="C744" s="64"/>
      <c r="D744" s="68"/>
      <c r="E744" s="66"/>
      <c r="F744" s="66"/>
    </row>
    <row r="745" spans="1:6" x14ac:dyDescent="0.2">
      <c r="A745" s="64" t="str">
        <f t="shared" si="11"/>
        <v/>
      </c>
      <c r="B745" s="64"/>
      <c r="C745" s="64"/>
      <c r="D745" s="68"/>
      <c r="E745" s="66"/>
      <c r="F745" s="66"/>
    </row>
    <row r="746" spans="1:6" x14ac:dyDescent="0.2">
      <c r="A746" s="64" t="str">
        <f t="shared" si="11"/>
        <v/>
      </c>
      <c r="B746" s="64"/>
      <c r="C746" s="64"/>
      <c r="D746" s="68"/>
      <c r="E746" s="66"/>
      <c r="F746" s="66"/>
    </row>
    <row r="747" spans="1:6" x14ac:dyDescent="0.2">
      <c r="A747" s="64" t="str">
        <f t="shared" si="11"/>
        <v/>
      </c>
      <c r="B747" s="64"/>
      <c r="C747" s="64"/>
      <c r="D747" s="68"/>
      <c r="E747" s="66"/>
      <c r="F747" s="66"/>
    </row>
    <row r="748" spans="1:6" x14ac:dyDescent="0.2">
      <c r="A748" s="64" t="str">
        <f t="shared" si="11"/>
        <v/>
      </c>
      <c r="B748" s="64"/>
      <c r="C748" s="64"/>
      <c r="D748" s="68"/>
      <c r="E748" s="66"/>
      <c r="F748" s="66"/>
    </row>
    <row r="749" spans="1:6" x14ac:dyDescent="0.2">
      <c r="A749" s="64" t="str">
        <f t="shared" si="11"/>
        <v/>
      </c>
      <c r="B749" s="64"/>
      <c r="C749" s="64"/>
      <c r="D749" s="68"/>
      <c r="E749" s="66"/>
      <c r="F749" s="66"/>
    </row>
    <row r="750" spans="1:6" x14ac:dyDescent="0.2">
      <c r="A750" s="64" t="str">
        <f t="shared" si="11"/>
        <v/>
      </c>
      <c r="B750" s="64"/>
      <c r="C750" s="64"/>
      <c r="D750" s="68"/>
      <c r="E750" s="66"/>
      <c r="F750" s="66"/>
    </row>
    <row r="751" spans="1:6" x14ac:dyDescent="0.2">
      <c r="A751" s="64" t="str">
        <f t="shared" si="11"/>
        <v/>
      </c>
      <c r="B751" s="64"/>
      <c r="C751" s="64"/>
      <c r="D751" s="68"/>
      <c r="E751" s="66"/>
      <c r="F751" s="66"/>
    </row>
    <row r="752" spans="1:6" x14ac:dyDescent="0.2">
      <c r="A752" s="64" t="str">
        <f t="shared" si="11"/>
        <v/>
      </c>
      <c r="B752" s="64"/>
      <c r="C752" s="64"/>
      <c r="D752" s="68"/>
      <c r="E752" s="66"/>
      <c r="F752" s="66"/>
    </row>
    <row r="753" spans="1:6" x14ac:dyDescent="0.2">
      <c r="A753" s="64" t="str">
        <f t="shared" si="11"/>
        <v/>
      </c>
      <c r="B753" s="64"/>
      <c r="C753" s="64"/>
      <c r="D753" s="68"/>
      <c r="E753" s="66"/>
      <c r="F753" s="66"/>
    </row>
    <row r="754" spans="1:6" x14ac:dyDescent="0.2">
      <c r="A754" s="64" t="str">
        <f t="shared" si="11"/>
        <v/>
      </c>
      <c r="B754" s="64"/>
      <c r="C754" s="64"/>
      <c r="D754" s="68"/>
      <c r="E754" s="66"/>
      <c r="F754" s="66"/>
    </row>
    <row r="755" spans="1:6" x14ac:dyDescent="0.2">
      <c r="A755" s="64" t="str">
        <f t="shared" si="11"/>
        <v/>
      </c>
      <c r="B755" s="64"/>
      <c r="C755" s="64"/>
      <c r="D755" s="68"/>
      <c r="E755" s="66"/>
      <c r="F755" s="66"/>
    </row>
    <row r="756" spans="1:6" x14ac:dyDescent="0.2">
      <c r="A756" s="64" t="str">
        <f t="shared" si="11"/>
        <v/>
      </c>
      <c r="B756" s="64"/>
      <c r="C756" s="64"/>
      <c r="D756" s="68"/>
      <c r="E756" s="66"/>
      <c r="F756" s="66"/>
    </row>
    <row r="757" spans="1:6" x14ac:dyDescent="0.2">
      <c r="A757" s="64" t="str">
        <f t="shared" si="11"/>
        <v/>
      </c>
      <c r="B757" s="64"/>
      <c r="C757" s="64"/>
      <c r="D757" s="68"/>
      <c r="E757" s="66"/>
      <c r="F757" s="66"/>
    </row>
    <row r="758" spans="1:6" x14ac:dyDescent="0.2">
      <c r="A758" s="64" t="str">
        <f t="shared" si="11"/>
        <v/>
      </c>
      <c r="B758" s="64"/>
      <c r="C758" s="64"/>
      <c r="D758" s="68"/>
      <c r="E758" s="66"/>
      <c r="F758" s="66"/>
    </row>
    <row r="759" spans="1:6" x14ac:dyDescent="0.2">
      <c r="A759" s="64" t="str">
        <f t="shared" si="11"/>
        <v/>
      </c>
      <c r="B759" s="64"/>
      <c r="C759" s="64"/>
      <c r="D759" s="68"/>
      <c r="E759" s="66"/>
      <c r="F759" s="66"/>
    </row>
    <row r="760" spans="1:6" x14ac:dyDescent="0.2">
      <c r="A760" s="64" t="str">
        <f t="shared" si="11"/>
        <v/>
      </c>
      <c r="B760" s="64"/>
      <c r="C760" s="64"/>
      <c r="D760" s="68"/>
      <c r="E760" s="66"/>
      <c r="F760" s="66"/>
    </row>
    <row r="761" spans="1:6" x14ac:dyDescent="0.2">
      <c r="A761" s="64" t="str">
        <f t="shared" si="11"/>
        <v/>
      </c>
      <c r="B761" s="64"/>
      <c r="C761" s="64"/>
      <c r="D761" s="68"/>
      <c r="E761" s="66"/>
      <c r="F761" s="66"/>
    </row>
    <row r="762" spans="1:6" x14ac:dyDescent="0.2">
      <c r="A762" s="64" t="str">
        <f t="shared" si="11"/>
        <v/>
      </c>
      <c r="B762" s="64"/>
      <c r="C762" s="64"/>
      <c r="D762" s="68"/>
      <c r="E762" s="66"/>
      <c r="F762" s="66"/>
    </row>
    <row r="763" spans="1:6" x14ac:dyDescent="0.2">
      <c r="A763" s="64" t="str">
        <f t="shared" si="11"/>
        <v/>
      </c>
      <c r="B763" s="64"/>
      <c r="C763" s="64"/>
      <c r="D763" s="68"/>
      <c r="E763" s="66"/>
      <c r="F763" s="66"/>
    </row>
    <row r="764" spans="1:6" x14ac:dyDescent="0.2">
      <c r="A764" s="64" t="str">
        <f t="shared" si="11"/>
        <v/>
      </c>
      <c r="B764" s="64"/>
      <c r="C764" s="64"/>
      <c r="D764" s="68"/>
      <c r="E764" s="66"/>
      <c r="F764" s="66"/>
    </row>
    <row r="765" spans="1:6" x14ac:dyDescent="0.2">
      <c r="A765" s="64" t="str">
        <f t="shared" si="11"/>
        <v/>
      </c>
      <c r="B765" s="64"/>
      <c r="C765" s="64"/>
      <c r="D765" s="68"/>
      <c r="E765" s="66"/>
      <c r="F765" s="66"/>
    </row>
    <row r="766" spans="1:6" x14ac:dyDescent="0.2">
      <c r="A766" s="64" t="str">
        <f t="shared" si="11"/>
        <v/>
      </c>
      <c r="B766" s="64"/>
      <c r="C766" s="64"/>
      <c r="D766" s="68"/>
      <c r="E766" s="66"/>
      <c r="F766" s="66"/>
    </row>
    <row r="767" spans="1:6" x14ac:dyDescent="0.2">
      <c r="A767" s="64" t="str">
        <f t="shared" si="11"/>
        <v/>
      </c>
      <c r="B767" s="64"/>
      <c r="C767" s="64"/>
      <c r="D767" s="68"/>
      <c r="E767" s="66"/>
      <c r="F767" s="66"/>
    </row>
    <row r="768" spans="1:6" x14ac:dyDescent="0.2">
      <c r="A768" s="64" t="str">
        <f t="shared" si="11"/>
        <v/>
      </c>
      <c r="B768" s="64"/>
      <c r="C768" s="64"/>
      <c r="D768" s="68"/>
      <c r="E768" s="66"/>
      <c r="F768" s="66"/>
    </row>
    <row r="769" spans="1:6" x14ac:dyDescent="0.2">
      <c r="A769" s="64" t="str">
        <f t="shared" si="11"/>
        <v/>
      </c>
      <c r="B769" s="64"/>
      <c r="C769" s="64"/>
      <c r="D769" s="68"/>
      <c r="E769" s="66"/>
      <c r="F769" s="66"/>
    </row>
    <row r="770" spans="1:6" x14ac:dyDescent="0.2">
      <c r="A770" s="64" t="str">
        <f t="shared" ref="A770:A833" si="12">CONCATENATE(B770, C770, D770)</f>
        <v/>
      </c>
      <c r="B770" s="64"/>
      <c r="C770" s="64"/>
      <c r="D770" s="68"/>
      <c r="E770" s="66"/>
      <c r="F770" s="66"/>
    </row>
    <row r="771" spans="1:6" x14ac:dyDescent="0.2">
      <c r="A771" s="64" t="str">
        <f t="shared" si="12"/>
        <v/>
      </c>
      <c r="B771" s="64"/>
      <c r="C771" s="64"/>
      <c r="D771" s="68"/>
      <c r="E771" s="66"/>
      <c r="F771" s="66"/>
    </row>
    <row r="772" spans="1:6" x14ac:dyDescent="0.2">
      <c r="A772" s="64" t="str">
        <f t="shared" si="12"/>
        <v/>
      </c>
      <c r="B772" s="64"/>
      <c r="C772" s="64"/>
      <c r="D772" s="68"/>
      <c r="E772" s="66"/>
      <c r="F772" s="66"/>
    </row>
    <row r="773" spans="1:6" x14ac:dyDescent="0.2">
      <c r="A773" s="64" t="str">
        <f t="shared" si="12"/>
        <v/>
      </c>
      <c r="B773" s="64"/>
      <c r="C773" s="64"/>
      <c r="D773" s="68"/>
      <c r="E773" s="66"/>
      <c r="F773" s="66"/>
    </row>
    <row r="774" spans="1:6" x14ac:dyDescent="0.2">
      <c r="A774" s="64" t="str">
        <f t="shared" si="12"/>
        <v/>
      </c>
      <c r="B774" s="64"/>
      <c r="C774" s="64"/>
      <c r="D774" s="68"/>
      <c r="E774" s="66"/>
      <c r="F774" s="66"/>
    </row>
    <row r="775" spans="1:6" x14ac:dyDescent="0.2">
      <c r="A775" s="64" t="str">
        <f t="shared" si="12"/>
        <v/>
      </c>
      <c r="B775" s="64"/>
      <c r="C775" s="64"/>
      <c r="D775" s="68"/>
      <c r="E775" s="66"/>
      <c r="F775" s="66"/>
    </row>
    <row r="776" spans="1:6" x14ac:dyDescent="0.2">
      <c r="A776" s="64" t="str">
        <f t="shared" si="12"/>
        <v/>
      </c>
      <c r="B776" s="64"/>
      <c r="C776" s="64"/>
      <c r="D776" s="68"/>
      <c r="E776" s="66"/>
      <c r="F776" s="66"/>
    </row>
    <row r="777" spans="1:6" x14ac:dyDescent="0.2">
      <c r="A777" s="64" t="str">
        <f t="shared" si="12"/>
        <v/>
      </c>
      <c r="B777" s="64"/>
      <c r="C777" s="64"/>
      <c r="D777" s="68"/>
      <c r="E777" s="66"/>
      <c r="F777" s="66"/>
    </row>
    <row r="778" spans="1:6" x14ac:dyDescent="0.2">
      <c r="A778" s="64" t="str">
        <f t="shared" si="12"/>
        <v/>
      </c>
      <c r="B778" s="64"/>
      <c r="C778" s="64"/>
      <c r="D778" s="68"/>
      <c r="E778" s="66"/>
      <c r="F778" s="66"/>
    </row>
    <row r="779" spans="1:6" x14ac:dyDescent="0.2">
      <c r="A779" s="64" t="str">
        <f t="shared" si="12"/>
        <v/>
      </c>
      <c r="B779" s="64"/>
      <c r="C779" s="64"/>
      <c r="D779" s="68"/>
      <c r="E779" s="66"/>
      <c r="F779" s="66"/>
    </row>
    <row r="780" spans="1:6" x14ac:dyDescent="0.2">
      <c r="A780" s="64" t="str">
        <f t="shared" si="12"/>
        <v/>
      </c>
      <c r="B780" s="64"/>
      <c r="C780" s="64"/>
      <c r="D780" s="68"/>
      <c r="E780" s="66"/>
      <c r="F780" s="66"/>
    </row>
    <row r="781" spans="1:6" x14ac:dyDescent="0.2">
      <c r="A781" s="64" t="str">
        <f t="shared" si="12"/>
        <v/>
      </c>
      <c r="B781" s="64"/>
      <c r="C781" s="64"/>
      <c r="D781" s="68"/>
      <c r="E781" s="66"/>
      <c r="F781" s="66"/>
    </row>
    <row r="782" spans="1:6" x14ac:dyDescent="0.2">
      <c r="A782" s="64" t="str">
        <f t="shared" si="12"/>
        <v/>
      </c>
      <c r="B782" s="64"/>
      <c r="C782" s="64"/>
      <c r="D782" s="68"/>
      <c r="E782" s="66"/>
      <c r="F782" s="66"/>
    </row>
    <row r="783" spans="1:6" x14ac:dyDescent="0.2">
      <c r="A783" s="64" t="str">
        <f t="shared" si="12"/>
        <v/>
      </c>
      <c r="B783" s="64"/>
      <c r="C783" s="64"/>
      <c r="D783" s="68"/>
      <c r="E783" s="66"/>
      <c r="F783" s="66"/>
    </row>
    <row r="784" spans="1:6" x14ac:dyDescent="0.2">
      <c r="A784" s="64" t="str">
        <f t="shared" si="12"/>
        <v/>
      </c>
      <c r="B784" s="64"/>
      <c r="C784" s="64"/>
      <c r="D784" s="68"/>
      <c r="E784" s="66"/>
      <c r="F784" s="66"/>
    </row>
    <row r="785" spans="1:6" x14ac:dyDescent="0.2">
      <c r="A785" s="64" t="str">
        <f t="shared" si="12"/>
        <v/>
      </c>
      <c r="B785" s="64"/>
      <c r="C785" s="64"/>
      <c r="D785" s="68"/>
      <c r="E785" s="66"/>
      <c r="F785" s="66"/>
    </row>
    <row r="786" spans="1:6" x14ac:dyDescent="0.2">
      <c r="A786" s="64" t="str">
        <f t="shared" si="12"/>
        <v/>
      </c>
      <c r="B786" s="64"/>
      <c r="C786" s="64"/>
      <c r="D786" s="68"/>
      <c r="E786" s="66"/>
      <c r="F786" s="66"/>
    </row>
    <row r="787" spans="1:6" x14ac:dyDescent="0.2">
      <c r="A787" s="64" t="str">
        <f t="shared" si="12"/>
        <v/>
      </c>
      <c r="B787" s="64"/>
      <c r="C787" s="64"/>
      <c r="D787" s="68"/>
      <c r="E787" s="66"/>
      <c r="F787" s="66"/>
    </row>
    <row r="788" spans="1:6" x14ac:dyDescent="0.2">
      <c r="A788" s="64" t="str">
        <f t="shared" si="12"/>
        <v/>
      </c>
      <c r="B788" s="64"/>
      <c r="C788" s="64"/>
      <c r="D788" s="68"/>
      <c r="E788" s="66"/>
      <c r="F788" s="66"/>
    </row>
    <row r="789" spans="1:6" x14ac:dyDescent="0.2">
      <c r="A789" s="64" t="str">
        <f t="shared" si="12"/>
        <v/>
      </c>
      <c r="B789" s="64"/>
      <c r="C789" s="64"/>
      <c r="D789" s="68"/>
      <c r="E789" s="66"/>
      <c r="F789" s="66"/>
    </row>
    <row r="790" spans="1:6" x14ac:dyDescent="0.2">
      <c r="A790" s="64" t="str">
        <f t="shared" si="12"/>
        <v/>
      </c>
      <c r="B790" s="64"/>
      <c r="C790" s="64"/>
      <c r="D790" s="68"/>
      <c r="E790" s="66"/>
      <c r="F790" s="66"/>
    </row>
    <row r="791" spans="1:6" x14ac:dyDescent="0.2">
      <c r="A791" s="64" t="str">
        <f t="shared" si="12"/>
        <v/>
      </c>
      <c r="B791" s="64"/>
      <c r="C791" s="64"/>
      <c r="D791" s="68"/>
      <c r="E791" s="66"/>
      <c r="F791" s="66"/>
    </row>
    <row r="792" spans="1:6" x14ac:dyDescent="0.2">
      <c r="A792" s="64" t="str">
        <f t="shared" si="12"/>
        <v/>
      </c>
      <c r="B792" s="64"/>
      <c r="C792" s="64"/>
      <c r="D792" s="68"/>
      <c r="E792" s="66"/>
      <c r="F792" s="66"/>
    </row>
    <row r="793" spans="1:6" x14ac:dyDescent="0.2">
      <c r="A793" s="64" t="str">
        <f t="shared" si="12"/>
        <v/>
      </c>
      <c r="B793" s="64"/>
      <c r="C793" s="64"/>
      <c r="D793" s="68"/>
      <c r="E793" s="66"/>
      <c r="F793" s="66"/>
    </row>
    <row r="794" spans="1:6" x14ac:dyDescent="0.2">
      <c r="A794" s="64" t="str">
        <f t="shared" si="12"/>
        <v/>
      </c>
      <c r="B794" s="64"/>
      <c r="C794" s="64"/>
      <c r="D794" s="68"/>
      <c r="E794" s="66"/>
      <c r="F794" s="66"/>
    </row>
    <row r="795" spans="1:6" x14ac:dyDescent="0.2">
      <c r="A795" s="64" t="str">
        <f t="shared" si="12"/>
        <v/>
      </c>
      <c r="B795" s="64"/>
      <c r="C795" s="64"/>
      <c r="D795" s="68"/>
      <c r="E795" s="66"/>
      <c r="F795" s="66"/>
    </row>
    <row r="796" spans="1:6" x14ac:dyDescent="0.2">
      <c r="A796" s="64" t="str">
        <f t="shared" si="12"/>
        <v/>
      </c>
      <c r="B796" s="64"/>
      <c r="C796" s="64"/>
      <c r="D796" s="68"/>
      <c r="E796" s="66"/>
      <c r="F796" s="66"/>
    </row>
    <row r="797" spans="1:6" x14ac:dyDescent="0.2">
      <c r="A797" s="64" t="str">
        <f t="shared" si="12"/>
        <v/>
      </c>
      <c r="B797" s="64"/>
      <c r="C797" s="64"/>
      <c r="D797" s="68"/>
      <c r="E797" s="66"/>
      <c r="F797" s="66"/>
    </row>
    <row r="798" spans="1:6" x14ac:dyDescent="0.2">
      <c r="A798" s="64" t="str">
        <f t="shared" si="12"/>
        <v/>
      </c>
      <c r="B798" s="64"/>
      <c r="C798" s="64"/>
      <c r="D798" s="68"/>
      <c r="E798" s="66"/>
      <c r="F798" s="66"/>
    </row>
    <row r="799" spans="1:6" x14ac:dyDescent="0.2">
      <c r="A799" s="64" t="str">
        <f t="shared" si="12"/>
        <v/>
      </c>
      <c r="B799" s="64"/>
      <c r="C799" s="64"/>
      <c r="D799" s="68"/>
      <c r="E799" s="66"/>
      <c r="F799" s="66"/>
    </row>
    <row r="800" spans="1:6" x14ac:dyDescent="0.2">
      <c r="A800" s="64" t="str">
        <f t="shared" si="12"/>
        <v/>
      </c>
      <c r="B800" s="64"/>
      <c r="C800" s="64"/>
      <c r="D800" s="68"/>
      <c r="E800" s="66"/>
      <c r="F800" s="66"/>
    </row>
    <row r="801" spans="1:6" x14ac:dyDescent="0.2">
      <c r="A801" s="64" t="str">
        <f t="shared" si="12"/>
        <v/>
      </c>
      <c r="B801" s="64"/>
      <c r="C801" s="64"/>
      <c r="D801" s="68"/>
      <c r="E801" s="66"/>
      <c r="F801" s="66"/>
    </row>
    <row r="802" spans="1:6" x14ac:dyDescent="0.2">
      <c r="A802" s="64" t="str">
        <f t="shared" si="12"/>
        <v/>
      </c>
      <c r="B802" s="64"/>
      <c r="C802" s="64"/>
      <c r="D802" s="68"/>
      <c r="E802" s="66"/>
      <c r="F802" s="66"/>
    </row>
    <row r="803" spans="1:6" x14ac:dyDescent="0.2">
      <c r="A803" s="64" t="str">
        <f t="shared" si="12"/>
        <v/>
      </c>
      <c r="B803" s="64"/>
      <c r="C803" s="64"/>
      <c r="D803" s="68"/>
      <c r="E803" s="66"/>
      <c r="F803" s="66"/>
    </row>
    <row r="804" spans="1:6" x14ac:dyDescent="0.2">
      <c r="A804" s="64" t="str">
        <f t="shared" si="12"/>
        <v/>
      </c>
      <c r="B804" s="64"/>
      <c r="C804" s="64"/>
      <c r="D804" s="68"/>
      <c r="E804" s="66"/>
      <c r="F804" s="66"/>
    </row>
    <row r="805" spans="1:6" x14ac:dyDescent="0.2">
      <c r="A805" s="64" t="str">
        <f t="shared" si="12"/>
        <v/>
      </c>
      <c r="B805" s="64"/>
      <c r="C805" s="64"/>
      <c r="D805" s="68"/>
      <c r="E805" s="66"/>
      <c r="F805" s="66"/>
    </row>
    <row r="806" spans="1:6" x14ac:dyDescent="0.2">
      <c r="A806" s="64" t="str">
        <f t="shared" si="12"/>
        <v/>
      </c>
      <c r="B806" s="64"/>
      <c r="C806" s="64"/>
      <c r="D806" s="68"/>
      <c r="E806" s="66"/>
      <c r="F806" s="66"/>
    </row>
    <row r="807" spans="1:6" x14ac:dyDescent="0.2">
      <c r="A807" s="64" t="str">
        <f t="shared" si="12"/>
        <v/>
      </c>
      <c r="B807" s="64"/>
      <c r="C807" s="64"/>
      <c r="D807" s="68"/>
      <c r="E807" s="66"/>
      <c r="F807" s="66"/>
    </row>
    <row r="808" spans="1:6" x14ac:dyDescent="0.2">
      <c r="A808" s="64" t="str">
        <f t="shared" si="12"/>
        <v/>
      </c>
      <c r="B808" s="64"/>
      <c r="C808" s="64"/>
      <c r="D808" s="68"/>
      <c r="E808" s="66"/>
      <c r="F808" s="66"/>
    </row>
    <row r="809" spans="1:6" x14ac:dyDescent="0.2">
      <c r="A809" s="64" t="str">
        <f t="shared" si="12"/>
        <v/>
      </c>
      <c r="B809" s="64"/>
      <c r="C809" s="64"/>
      <c r="D809" s="68"/>
      <c r="E809" s="66"/>
      <c r="F809" s="66"/>
    </row>
    <row r="810" spans="1:6" x14ac:dyDescent="0.2">
      <c r="A810" s="64" t="str">
        <f t="shared" si="12"/>
        <v/>
      </c>
      <c r="B810" s="64"/>
      <c r="C810" s="64"/>
      <c r="D810" s="68"/>
      <c r="E810" s="66"/>
      <c r="F810" s="66"/>
    </row>
    <row r="811" spans="1:6" x14ac:dyDescent="0.2">
      <c r="A811" s="64" t="str">
        <f t="shared" si="12"/>
        <v/>
      </c>
      <c r="B811" s="64"/>
      <c r="C811" s="64"/>
      <c r="D811" s="68"/>
      <c r="E811" s="66"/>
      <c r="F811" s="66"/>
    </row>
    <row r="812" spans="1:6" x14ac:dyDescent="0.2">
      <c r="A812" s="64" t="str">
        <f t="shared" si="12"/>
        <v/>
      </c>
      <c r="B812" s="64"/>
      <c r="C812" s="64"/>
      <c r="D812" s="68"/>
      <c r="E812" s="66"/>
      <c r="F812" s="66"/>
    </row>
    <row r="813" spans="1:6" x14ac:dyDescent="0.2">
      <c r="A813" s="64" t="str">
        <f t="shared" si="12"/>
        <v/>
      </c>
      <c r="B813" s="64"/>
      <c r="C813" s="64"/>
      <c r="D813" s="68"/>
      <c r="E813" s="66"/>
      <c r="F813" s="66"/>
    </row>
    <row r="814" spans="1:6" x14ac:dyDescent="0.2">
      <c r="A814" s="64" t="str">
        <f t="shared" si="12"/>
        <v/>
      </c>
      <c r="B814" s="64"/>
      <c r="C814" s="64"/>
      <c r="D814" s="68"/>
      <c r="E814" s="66"/>
      <c r="F814" s="66"/>
    </row>
    <row r="815" spans="1:6" x14ac:dyDescent="0.2">
      <c r="A815" s="64" t="str">
        <f t="shared" si="12"/>
        <v/>
      </c>
      <c r="B815" s="64"/>
      <c r="C815" s="64"/>
      <c r="D815" s="68"/>
      <c r="E815" s="66"/>
      <c r="F815" s="66"/>
    </row>
    <row r="816" spans="1:6" x14ac:dyDescent="0.2">
      <c r="A816" s="64" t="str">
        <f t="shared" si="12"/>
        <v/>
      </c>
      <c r="B816" s="64"/>
      <c r="C816" s="64"/>
      <c r="D816" s="68"/>
      <c r="E816" s="66"/>
      <c r="F816" s="66"/>
    </row>
    <row r="817" spans="1:6" x14ac:dyDescent="0.2">
      <c r="A817" s="64" t="str">
        <f t="shared" si="12"/>
        <v/>
      </c>
      <c r="B817" s="64"/>
      <c r="C817" s="64"/>
      <c r="D817" s="68"/>
      <c r="E817" s="66"/>
      <c r="F817" s="66"/>
    </row>
    <row r="818" spans="1:6" x14ac:dyDescent="0.2">
      <c r="A818" s="64" t="str">
        <f t="shared" si="12"/>
        <v/>
      </c>
      <c r="B818" s="64"/>
      <c r="C818" s="64"/>
      <c r="D818" s="68"/>
      <c r="E818" s="66"/>
      <c r="F818" s="66"/>
    </row>
    <row r="819" spans="1:6" x14ac:dyDescent="0.2">
      <c r="A819" s="64" t="str">
        <f t="shared" si="12"/>
        <v/>
      </c>
      <c r="B819" s="64"/>
      <c r="C819" s="64"/>
      <c r="D819" s="68"/>
      <c r="E819" s="66"/>
      <c r="F819" s="66"/>
    </row>
    <row r="820" spans="1:6" x14ac:dyDescent="0.2">
      <c r="A820" s="64" t="str">
        <f t="shared" si="12"/>
        <v/>
      </c>
      <c r="B820" s="64"/>
      <c r="C820" s="64"/>
      <c r="D820" s="68"/>
      <c r="E820" s="66"/>
      <c r="F820" s="66"/>
    </row>
    <row r="821" spans="1:6" x14ac:dyDescent="0.2">
      <c r="A821" s="64" t="str">
        <f t="shared" si="12"/>
        <v/>
      </c>
      <c r="B821" s="64"/>
      <c r="C821" s="64"/>
      <c r="D821" s="68"/>
      <c r="E821" s="66"/>
      <c r="F821" s="66"/>
    </row>
    <row r="822" spans="1:6" x14ac:dyDescent="0.2">
      <c r="A822" s="64" t="str">
        <f t="shared" si="12"/>
        <v/>
      </c>
      <c r="B822" s="64"/>
      <c r="C822" s="64"/>
      <c r="D822" s="68"/>
      <c r="E822" s="66"/>
      <c r="F822" s="66"/>
    </row>
    <row r="823" spans="1:6" x14ac:dyDescent="0.2">
      <c r="A823" s="64" t="str">
        <f t="shared" si="12"/>
        <v/>
      </c>
      <c r="B823" s="64"/>
      <c r="C823" s="64"/>
      <c r="D823" s="68"/>
      <c r="E823" s="66"/>
      <c r="F823" s="66"/>
    </row>
    <row r="824" spans="1:6" x14ac:dyDescent="0.2">
      <c r="A824" s="64" t="str">
        <f t="shared" si="12"/>
        <v/>
      </c>
      <c r="B824" s="64"/>
      <c r="C824" s="64"/>
      <c r="D824" s="68"/>
      <c r="E824" s="66"/>
      <c r="F824" s="66"/>
    </row>
    <row r="825" spans="1:6" x14ac:dyDescent="0.2">
      <c r="A825" s="64" t="str">
        <f t="shared" si="12"/>
        <v/>
      </c>
      <c r="B825" s="64"/>
      <c r="C825" s="64"/>
      <c r="D825" s="68"/>
      <c r="E825" s="66"/>
      <c r="F825" s="66"/>
    </row>
    <row r="826" spans="1:6" x14ac:dyDescent="0.2">
      <c r="A826" s="64" t="str">
        <f t="shared" si="12"/>
        <v/>
      </c>
      <c r="B826" s="64"/>
      <c r="C826" s="64"/>
      <c r="D826" s="68"/>
      <c r="E826" s="66"/>
      <c r="F826" s="66"/>
    </row>
    <row r="827" spans="1:6" x14ac:dyDescent="0.2">
      <c r="A827" s="64" t="str">
        <f t="shared" si="12"/>
        <v/>
      </c>
      <c r="B827" s="64"/>
      <c r="C827" s="64"/>
      <c r="D827" s="68"/>
      <c r="E827" s="66"/>
      <c r="F827" s="66"/>
    </row>
    <row r="828" spans="1:6" x14ac:dyDescent="0.2">
      <c r="A828" s="64" t="str">
        <f t="shared" si="12"/>
        <v/>
      </c>
      <c r="B828" s="64"/>
      <c r="C828" s="64"/>
      <c r="D828" s="68"/>
      <c r="E828" s="66"/>
      <c r="F828" s="66"/>
    </row>
    <row r="829" spans="1:6" x14ac:dyDescent="0.2">
      <c r="A829" s="64" t="str">
        <f t="shared" si="12"/>
        <v/>
      </c>
      <c r="B829" s="64"/>
      <c r="C829" s="64"/>
      <c r="D829" s="68"/>
      <c r="E829" s="66"/>
      <c r="F829" s="66"/>
    </row>
    <row r="830" spans="1:6" x14ac:dyDescent="0.2">
      <c r="A830" s="64" t="str">
        <f t="shared" si="12"/>
        <v/>
      </c>
      <c r="B830" s="64"/>
      <c r="C830" s="64"/>
      <c r="D830" s="68"/>
      <c r="E830" s="66"/>
      <c r="F830" s="66"/>
    </row>
    <row r="831" spans="1:6" x14ac:dyDescent="0.2">
      <c r="A831" s="64" t="str">
        <f t="shared" si="12"/>
        <v/>
      </c>
      <c r="B831" s="64"/>
      <c r="C831" s="64"/>
      <c r="D831" s="68"/>
      <c r="E831" s="66"/>
      <c r="F831" s="66"/>
    </row>
    <row r="832" spans="1:6" x14ac:dyDescent="0.2">
      <c r="A832" s="64" t="str">
        <f t="shared" si="12"/>
        <v/>
      </c>
      <c r="B832" s="64"/>
      <c r="C832" s="64"/>
      <c r="D832" s="68"/>
      <c r="E832" s="66"/>
      <c r="F832" s="66"/>
    </row>
    <row r="833" spans="1:6" x14ac:dyDescent="0.2">
      <c r="A833" s="64" t="str">
        <f t="shared" si="12"/>
        <v/>
      </c>
      <c r="B833" s="64"/>
      <c r="C833" s="64"/>
      <c r="D833" s="68"/>
      <c r="E833" s="66"/>
      <c r="F833" s="66"/>
    </row>
    <row r="834" spans="1:6" x14ac:dyDescent="0.2">
      <c r="A834" s="64" t="str">
        <f t="shared" ref="A834:A897" si="13">CONCATENATE(B834, C834, D834)</f>
        <v/>
      </c>
      <c r="B834" s="64"/>
      <c r="C834" s="64"/>
      <c r="D834" s="68"/>
      <c r="E834" s="66"/>
      <c r="F834" s="66"/>
    </row>
    <row r="835" spans="1:6" x14ac:dyDescent="0.2">
      <c r="A835" s="64" t="str">
        <f t="shared" si="13"/>
        <v/>
      </c>
      <c r="B835" s="64"/>
      <c r="C835" s="64"/>
      <c r="D835" s="68"/>
      <c r="E835" s="66"/>
      <c r="F835" s="66"/>
    </row>
    <row r="836" spans="1:6" x14ac:dyDescent="0.2">
      <c r="A836" s="64" t="str">
        <f t="shared" si="13"/>
        <v/>
      </c>
      <c r="B836" s="64"/>
      <c r="C836" s="64"/>
      <c r="D836" s="68"/>
      <c r="E836" s="66"/>
      <c r="F836" s="66"/>
    </row>
    <row r="837" spans="1:6" x14ac:dyDescent="0.2">
      <c r="A837" s="64" t="str">
        <f t="shared" si="13"/>
        <v/>
      </c>
      <c r="B837" s="64"/>
      <c r="C837" s="64"/>
      <c r="D837" s="68"/>
      <c r="E837" s="66"/>
      <c r="F837" s="66"/>
    </row>
    <row r="838" spans="1:6" x14ac:dyDescent="0.2">
      <c r="A838" s="64" t="str">
        <f t="shared" si="13"/>
        <v/>
      </c>
      <c r="B838" s="64"/>
      <c r="C838" s="64"/>
      <c r="D838" s="68"/>
      <c r="E838" s="66"/>
      <c r="F838" s="66"/>
    </row>
    <row r="839" spans="1:6" x14ac:dyDescent="0.2">
      <c r="A839" s="64" t="str">
        <f t="shared" si="13"/>
        <v/>
      </c>
      <c r="B839" s="64"/>
      <c r="C839" s="64"/>
      <c r="D839" s="68"/>
      <c r="E839" s="66"/>
      <c r="F839" s="66"/>
    </row>
    <row r="840" spans="1:6" x14ac:dyDescent="0.2">
      <c r="A840" s="64" t="str">
        <f t="shared" si="13"/>
        <v/>
      </c>
      <c r="B840" s="64"/>
      <c r="C840" s="64"/>
      <c r="D840" s="68"/>
      <c r="E840" s="66"/>
      <c r="F840" s="66"/>
    </row>
    <row r="841" spans="1:6" x14ac:dyDescent="0.2">
      <c r="A841" s="64" t="str">
        <f t="shared" si="13"/>
        <v/>
      </c>
      <c r="B841" s="64"/>
      <c r="C841" s="64"/>
      <c r="D841" s="68"/>
      <c r="E841" s="66"/>
      <c r="F841" s="66"/>
    </row>
    <row r="842" spans="1:6" x14ac:dyDescent="0.2">
      <c r="A842" s="64" t="str">
        <f t="shared" si="13"/>
        <v/>
      </c>
      <c r="B842" s="64"/>
      <c r="C842" s="64"/>
      <c r="D842" s="68"/>
      <c r="E842" s="66"/>
      <c r="F842" s="66"/>
    </row>
    <row r="843" spans="1:6" x14ac:dyDescent="0.2">
      <c r="A843" s="64" t="str">
        <f t="shared" si="13"/>
        <v/>
      </c>
      <c r="B843" s="64"/>
      <c r="C843" s="64"/>
      <c r="D843" s="68"/>
      <c r="E843" s="66"/>
      <c r="F843" s="66"/>
    </row>
    <row r="844" spans="1:6" x14ac:dyDescent="0.2">
      <c r="A844" s="64" t="str">
        <f t="shared" si="13"/>
        <v/>
      </c>
      <c r="B844" s="64"/>
      <c r="C844" s="64"/>
      <c r="D844" s="68"/>
      <c r="E844" s="66"/>
      <c r="F844" s="66"/>
    </row>
    <row r="845" spans="1:6" x14ac:dyDescent="0.2">
      <c r="A845" s="64" t="str">
        <f t="shared" si="13"/>
        <v/>
      </c>
      <c r="B845" s="64"/>
      <c r="C845" s="64"/>
      <c r="D845" s="68"/>
      <c r="E845" s="66"/>
      <c r="F845" s="66"/>
    </row>
    <row r="846" spans="1:6" x14ac:dyDescent="0.2">
      <c r="A846" s="64" t="str">
        <f t="shared" si="13"/>
        <v/>
      </c>
      <c r="B846" s="64"/>
      <c r="C846" s="64"/>
      <c r="D846" s="68"/>
      <c r="E846" s="66"/>
      <c r="F846" s="66"/>
    </row>
    <row r="847" spans="1:6" x14ac:dyDescent="0.2">
      <c r="A847" s="64" t="str">
        <f t="shared" si="13"/>
        <v/>
      </c>
      <c r="B847" s="64"/>
      <c r="C847" s="64"/>
      <c r="D847" s="68"/>
      <c r="E847" s="66"/>
      <c r="F847" s="66"/>
    </row>
    <row r="848" spans="1:6" x14ac:dyDescent="0.2">
      <c r="A848" s="64" t="str">
        <f t="shared" si="13"/>
        <v/>
      </c>
      <c r="B848" s="64"/>
      <c r="C848" s="64"/>
      <c r="D848" s="68"/>
      <c r="E848" s="66"/>
      <c r="F848" s="66"/>
    </row>
    <row r="849" spans="1:6" x14ac:dyDescent="0.2">
      <c r="A849" s="64" t="str">
        <f t="shared" si="13"/>
        <v/>
      </c>
      <c r="B849" s="64"/>
      <c r="C849" s="64"/>
      <c r="D849" s="68"/>
      <c r="E849" s="66"/>
      <c r="F849" s="66"/>
    </row>
    <row r="850" spans="1:6" x14ac:dyDescent="0.2">
      <c r="A850" s="64" t="str">
        <f t="shared" si="13"/>
        <v/>
      </c>
      <c r="B850" s="64"/>
      <c r="C850" s="64"/>
      <c r="D850" s="68"/>
      <c r="E850" s="66"/>
      <c r="F850" s="66"/>
    </row>
    <row r="851" spans="1:6" x14ac:dyDescent="0.2">
      <c r="A851" s="64" t="str">
        <f t="shared" si="13"/>
        <v/>
      </c>
      <c r="B851" s="64"/>
      <c r="C851" s="64"/>
      <c r="D851" s="68"/>
      <c r="E851" s="66"/>
      <c r="F851" s="66"/>
    </row>
    <row r="852" spans="1:6" x14ac:dyDescent="0.2">
      <c r="A852" s="64" t="str">
        <f t="shared" si="13"/>
        <v/>
      </c>
      <c r="B852" s="64"/>
      <c r="C852" s="64"/>
      <c r="D852" s="68"/>
      <c r="E852" s="66"/>
      <c r="F852" s="66"/>
    </row>
    <row r="853" spans="1:6" x14ac:dyDescent="0.2">
      <c r="A853" s="64" t="str">
        <f t="shared" si="13"/>
        <v/>
      </c>
      <c r="B853" s="64"/>
      <c r="C853" s="64"/>
      <c r="D853" s="68"/>
      <c r="E853" s="66"/>
      <c r="F853" s="66"/>
    </row>
    <row r="854" spans="1:6" x14ac:dyDescent="0.2">
      <c r="A854" s="64" t="str">
        <f t="shared" si="13"/>
        <v/>
      </c>
      <c r="B854" s="64"/>
      <c r="C854" s="64"/>
      <c r="D854" s="68"/>
      <c r="E854" s="66"/>
      <c r="F854" s="66"/>
    </row>
    <row r="855" spans="1:6" x14ac:dyDescent="0.2">
      <c r="A855" s="64" t="str">
        <f t="shared" si="13"/>
        <v/>
      </c>
      <c r="B855" s="64"/>
      <c r="C855" s="64"/>
      <c r="D855" s="68"/>
      <c r="E855" s="66"/>
      <c r="F855" s="66"/>
    </row>
    <row r="856" spans="1:6" x14ac:dyDescent="0.2">
      <c r="A856" s="64" t="str">
        <f t="shared" si="13"/>
        <v/>
      </c>
      <c r="B856" s="64"/>
      <c r="C856" s="64"/>
      <c r="D856" s="68"/>
      <c r="E856" s="66"/>
      <c r="F856" s="66"/>
    </row>
    <row r="857" spans="1:6" x14ac:dyDescent="0.2">
      <c r="A857" s="64" t="str">
        <f t="shared" si="13"/>
        <v/>
      </c>
      <c r="B857" s="64"/>
      <c r="C857" s="64"/>
      <c r="D857" s="68"/>
      <c r="E857" s="66"/>
      <c r="F857" s="66"/>
    </row>
    <row r="858" spans="1:6" x14ac:dyDescent="0.2">
      <c r="A858" s="64" t="str">
        <f t="shared" si="13"/>
        <v/>
      </c>
      <c r="B858" s="64"/>
      <c r="C858" s="64"/>
      <c r="D858" s="68"/>
      <c r="E858" s="66"/>
      <c r="F858" s="66"/>
    </row>
    <row r="859" spans="1:6" x14ac:dyDescent="0.2">
      <c r="A859" s="64" t="str">
        <f t="shared" si="13"/>
        <v/>
      </c>
      <c r="B859" s="64"/>
      <c r="C859" s="64"/>
      <c r="D859" s="68"/>
      <c r="E859" s="66"/>
      <c r="F859" s="66"/>
    </row>
    <row r="860" spans="1:6" x14ac:dyDescent="0.2">
      <c r="A860" s="64" t="str">
        <f t="shared" si="13"/>
        <v/>
      </c>
      <c r="B860" s="64"/>
      <c r="C860" s="64"/>
      <c r="D860" s="68"/>
      <c r="E860" s="66"/>
      <c r="F860" s="66"/>
    </row>
    <row r="861" spans="1:6" x14ac:dyDescent="0.2">
      <c r="A861" s="64" t="str">
        <f t="shared" si="13"/>
        <v/>
      </c>
      <c r="B861" s="64"/>
      <c r="C861" s="64"/>
      <c r="D861" s="68"/>
      <c r="E861" s="66"/>
      <c r="F861" s="66"/>
    </row>
    <row r="862" spans="1:6" x14ac:dyDescent="0.2">
      <c r="A862" s="64" t="str">
        <f t="shared" si="13"/>
        <v/>
      </c>
      <c r="B862" s="64"/>
      <c r="C862" s="64"/>
      <c r="D862" s="68"/>
      <c r="E862" s="66"/>
      <c r="F862" s="66"/>
    </row>
    <row r="863" spans="1:6" x14ac:dyDescent="0.2">
      <c r="A863" s="64" t="str">
        <f t="shared" si="13"/>
        <v/>
      </c>
      <c r="B863" s="64"/>
      <c r="C863" s="64"/>
      <c r="D863" s="68"/>
      <c r="E863" s="66"/>
      <c r="F863" s="66"/>
    </row>
    <row r="864" spans="1:6" x14ac:dyDescent="0.2">
      <c r="A864" s="64" t="str">
        <f t="shared" si="13"/>
        <v/>
      </c>
      <c r="B864" s="64"/>
      <c r="C864" s="64"/>
      <c r="D864" s="68"/>
      <c r="E864" s="66"/>
      <c r="F864" s="66"/>
    </row>
    <row r="865" spans="1:6" x14ac:dyDescent="0.2">
      <c r="A865" s="64" t="str">
        <f t="shared" si="13"/>
        <v/>
      </c>
      <c r="B865" s="64"/>
      <c r="C865" s="64"/>
      <c r="D865" s="68"/>
      <c r="E865" s="66"/>
      <c r="F865" s="66"/>
    </row>
    <row r="866" spans="1:6" x14ac:dyDescent="0.2">
      <c r="A866" s="64" t="str">
        <f t="shared" si="13"/>
        <v/>
      </c>
      <c r="B866" s="64"/>
      <c r="C866" s="64"/>
      <c r="D866" s="69"/>
      <c r="E866" s="66"/>
      <c r="F866" s="66"/>
    </row>
    <row r="867" spans="1:6" x14ac:dyDescent="0.2">
      <c r="A867" s="64" t="str">
        <f t="shared" si="13"/>
        <v/>
      </c>
      <c r="B867" s="64"/>
      <c r="C867" s="64"/>
      <c r="D867" s="83"/>
      <c r="E867" s="66"/>
      <c r="F867" s="66"/>
    </row>
    <row r="868" spans="1:6" x14ac:dyDescent="0.2">
      <c r="A868" s="64" t="str">
        <f t="shared" si="13"/>
        <v/>
      </c>
      <c r="B868" s="64"/>
      <c r="C868" s="64"/>
      <c r="D868" s="83"/>
      <c r="E868" s="66"/>
      <c r="F868" s="66"/>
    </row>
    <row r="869" spans="1:6" x14ac:dyDescent="0.2">
      <c r="A869" s="64" t="str">
        <f t="shared" si="13"/>
        <v/>
      </c>
      <c r="B869" s="64"/>
      <c r="C869" s="64"/>
      <c r="D869" s="69"/>
      <c r="E869" s="66"/>
      <c r="F869" s="66"/>
    </row>
    <row r="870" spans="1:6" x14ac:dyDescent="0.2">
      <c r="A870" s="64" t="str">
        <f t="shared" si="13"/>
        <v/>
      </c>
      <c r="B870" s="64"/>
      <c r="C870" s="64"/>
      <c r="D870" s="69"/>
      <c r="E870" s="66"/>
      <c r="F870" s="66"/>
    </row>
    <row r="871" spans="1:6" x14ac:dyDescent="0.2">
      <c r="A871" s="64" t="str">
        <f t="shared" si="13"/>
        <v/>
      </c>
      <c r="B871" s="64"/>
      <c r="C871" s="64"/>
      <c r="D871" s="69"/>
      <c r="E871" s="66"/>
      <c r="F871" s="66"/>
    </row>
    <row r="872" spans="1:6" x14ac:dyDescent="0.2">
      <c r="A872" s="64" t="str">
        <f t="shared" si="13"/>
        <v/>
      </c>
      <c r="B872" s="64"/>
      <c r="C872" s="64"/>
      <c r="D872" s="83"/>
      <c r="E872" s="66"/>
      <c r="F872" s="66"/>
    </row>
    <row r="873" spans="1:6" x14ac:dyDescent="0.2">
      <c r="A873" s="64" t="str">
        <f t="shared" si="13"/>
        <v/>
      </c>
      <c r="B873" s="64"/>
      <c r="C873" s="64"/>
      <c r="D873" s="83"/>
      <c r="E873" s="66"/>
      <c r="F873" s="66"/>
    </row>
    <row r="874" spans="1:6" x14ac:dyDescent="0.2">
      <c r="A874" s="64" t="str">
        <f t="shared" si="13"/>
        <v/>
      </c>
      <c r="B874" s="64"/>
      <c r="C874" s="64"/>
      <c r="D874" s="69"/>
      <c r="E874" s="66"/>
      <c r="F874" s="66"/>
    </row>
    <row r="875" spans="1:6" x14ac:dyDescent="0.2">
      <c r="A875" s="64" t="str">
        <f t="shared" si="13"/>
        <v/>
      </c>
      <c r="B875" s="64"/>
      <c r="C875" s="64"/>
      <c r="D875" s="69"/>
      <c r="E875" s="66"/>
      <c r="F875" s="66"/>
    </row>
    <row r="876" spans="1:6" x14ac:dyDescent="0.2">
      <c r="A876" s="64" t="str">
        <f t="shared" si="13"/>
        <v/>
      </c>
      <c r="B876" s="64"/>
      <c r="C876" s="64"/>
      <c r="D876" s="69"/>
      <c r="E876" s="66"/>
      <c r="F876" s="66"/>
    </row>
    <row r="877" spans="1:6" x14ac:dyDescent="0.2">
      <c r="A877" s="64" t="str">
        <f t="shared" si="13"/>
        <v/>
      </c>
      <c r="B877" s="64"/>
      <c r="C877" s="64"/>
      <c r="D877" s="83"/>
      <c r="E877" s="66"/>
      <c r="F877" s="66"/>
    </row>
    <row r="878" spans="1:6" x14ac:dyDescent="0.2">
      <c r="A878" s="64" t="str">
        <f t="shared" si="13"/>
        <v/>
      </c>
      <c r="B878" s="64"/>
      <c r="C878" s="64"/>
      <c r="D878" s="83"/>
      <c r="E878" s="66"/>
      <c r="F878" s="66"/>
    </row>
    <row r="879" spans="1:6" x14ac:dyDescent="0.2">
      <c r="A879" s="64" t="str">
        <f t="shared" si="13"/>
        <v/>
      </c>
      <c r="B879" s="64"/>
      <c r="C879" s="64"/>
      <c r="D879" s="69"/>
      <c r="E879" s="66"/>
      <c r="F879" s="66"/>
    </row>
    <row r="880" spans="1:6" x14ac:dyDescent="0.2">
      <c r="A880" s="64" t="str">
        <f t="shared" si="13"/>
        <v/>
      </c>
      <c r="B880" s="64"/>
      <c r="C880" s="64"/>
      <c r="D880" s="69"/>
      <c r="E880" s="66"/>
      <c r="F880" s="66"/>
    </row>
    <row r="881" spans="1:6" x14ac:dyDescent="0.2">
      <c r="A881" s="64" t="str">
        <f t="shared" si="13"/>
        <v/>
      </c>
      <c r="B881" s="64"/>
      <c r="C881" s="64"/>
      <c r="D881" s="69"/>
      <c r="E881" s="66"/>
      <c r="F881" s="66"/>
    </row>
    <row r="882" spans="1:6" x14ac:dyDescent="0.2">
      <c r="A882" s="64" t="str">
        <f t="shared" si="13"/>
        <v/>
      </c>
      <c r="B882" s="64"/>
      <c r="C882" s="64"/>
      <c r="D882" s="83"/>
      <c r="E882" s="66"/>
      <c r="F882" s="66"/>
    </row>
    <row r="883" spans="1:6" x14ac:dyDescent="0.2">
      <c r="A883" s="64" t="str">
        <f t="shared" si="13"/>
        <v/>
      </c>
      <c r="B883" s="64"/>
      <c r="C883" s="64"/>
      <c r="D883" s="83"/>
      <c r="E883" s="66"/>
      <c r="F883" s="66"/>
    </row>
    <row r="884" spans="1:6" x14ac:dyDescent="0.2">
      <c r="A884" s="64" t="str">
        <f t="shared" si="13"/>
        <v/>
      </c>
      <c r="B884" s="64"/>
      <c r="C884" s="64"/>
      <c r="D884" s="69"/>
      <c r="E884" s="66"/>
      <c r="F884" s="66"/>
    </row>
    <row r="885" spans="1:6" x14ac:dyDescent="0.2">
      <c r="A885" s="64" t="str">
        <f t="shared" si="13"/>
        <v/>
      </c>
      <c r="B885" s="64"/>
      <c r="C885" s="64"/>
      <c r="D885" s="69"/>
      <c r="E885" s="66"/>
      <c r="F885" s="66"/>
    </row>
    <row r="886" spans="1:6" x14ac:dyDescent="0.2">
      <c r="A886" s="64" t="str">
        <f t="shared" si="13"/>
        <v/>
      </c>
      <c r="B886" s="64"/>
      <c r="C886" s="64"/>
      <c r="D886" s="69"/>
      <c r="E886" s="66"/>
      <c r="F886" s="66"/>
    </row>
    <row r="887" spans="1:6" x14ac:dyDescent="0.2">
      <c r="A887" s="64" t="str">
        <f t="shared" si="13"/>
        <v/>
      </c>
      <c r="B887" s="64"/>
      <c r="C887" s="64"/>
      <c r="D887" s="83"/>
      <c r="E887" s="66"/>
      <c r="F887" s="66"/>
    </row>
    <row r="888" spans="1:6" x14ac:dyDescent="0.2">
      <c r="A888" s="64" t="str">
        <f t="shared" si="13"/>
        <v/>
      </c>
      <c r="B888" s="64"/>
      <c r="C888" s="64"/>
      <c r="D888" s="83"/>
      <c r="E888" s="66"/>
      <c r="F888" s="66"/>
    </row>
    <row r="889" spans="1:6" x14ac:dyDescent="0.2">
      <c r="A889" s="64" t="str">
        <f t="shared" si="13"/>
        <v/>
      </c>
      <c r="B889" s="64"/>
      <c r="C889" s="64"/>
      <c r="D889" s="69"/>
      <c r="E889" s="66"/>
      <c r="F889" s="66"/>
    </row>
    <row r="890" spans="1:6" x14ac:dyDescent="0.2">
      <c r="A890" s="64" t="str">
        <f t="shared" si="13"/>
        <v/>
      </c>
      <c r="B890" s="64"/>
      <c r="C890" s="64"/>
      <c r="D890" s="69"/>
      <c r="E890" s="66"/>
      <c r="F890" s="66"/>
    </row>
    <row r="891" spans="1:6" x14ac:dyDescent="0.2">
      <c r="A891" s="64" t="str">
        <f t="shared" si="13"/>
        <v/>
      </c>
      <c r="B891" s="64"/>
      <c r="C891" s="64"/>
      <c r="D891" s="69"/>
      <c r="E891" s="66"/>
      <c r="F891" s="66"/>
    </row>
    <row r="892" spans="1:6" x14ac:dyDescent="0.2">
      <c r="A892" s="64" t="str">
        <f t="shared" si="13"/>
        <v/>
      </c>
      <c r="B892" s="64"/>
      <c r="C892" s="64"/>
      <c r="D892" s="83"/>
      <c r="E892" s="66"/>
      <c r="F892" s="66"/>
    </row>
    <row r="893" spans="1:6" x14ac:dyDescent="0.2">
      <c r="A893" s="64" t="str">
        <f t="shared" si="13"/>
        <v/>
      </c>
      <c r="B893" s="64"/>
      <c r="C893" s="64"/>
      <c r="D893" s="83"/>
      <c r="E893" s="66"/>
      <c r="F893" s="66"/>
    </row>
    <row r="894" spans="1:6" x14ac:dyDescent="0.2">
      <c r="A894" s="64" t="str">
        <f t="shared" si="13"/>
        <v/>
      </c>
      <c r="B894" s="64"/>
      <c r="C894" s="64"/>
      <c r="D894" s="69"/>
      <c r="E894" s="66"/>
      <c r="F894" s="66"/>
    </row>
    <row r="895" spans="1:6" x14ac:dyDescent="0.2">
      <c r="A895" s="64" t="str">
        <f t="shared" si="13"/>
        <v/>
      </c>
      <c r="B895" s="64"/>
      <c r="C895" s="64"/>
      <c r="D895" s="69"/>
      <c r="E895" s="66"/>
      <c r="F895" s="66"/>
    </row>
    <row r="896" spans="1:6" x14ac:dyDescent="0.2">
      <c r="A896" s="64" t="str">
        <f t="shared" si="13"/>
        <v/>
      </c>
      <c r="B896" s="64"/>
      <c r="C896" s="64"/>
      <c r="D896" s="69"/>
      <c r="E896" s="66"/>
      <c r="F896" s="66"/>
    </row>
    <row r="897" spans="1:6" x14ac:dyDescent="0.2">
      <c r="A897" s="64" t="str">
        <f t="shared" si="13"/>
        <v/>
      </c>
      <c r="B897" s="64"/>
      <c r="C897" s="64"/>
      <c r="D897" s="83"/>
      <c r="E897" s="66"/>
      <c r="F897" s="66"/>
    </row>
    <row r="898" spans="1:6" x14ac:dyDescent="0.2">
      <c r="A898" s="64" t="str">
        <f t="shared" ref="A898:A961" si="14">CONCATENATE(B898, C898, D898)</f>
        <v/>
      </c>
      <c r="B898" s="64"/>
      <c r="C898" s="64"/>
      <c r="D898" s="83"/>
      <c r="E898" s="66"/>
      <c r="F898" s="66"/>
    </row>
    <row r="899" spans="1:6" x14ac:dyDescent="0.2">
      <c r="A899" s="64" t="str">
        <f t="shared" si="14"/>
        <v/>
      </c>
      <c r="B899" s="64"/>
      <c r="C899" s="64"/>
      <c r="D899" s="69"/>
      <c r="E899" s="66"/>
      <c r="F899" s="66"/>
    </row>
    <row r="900" spans="1:6" x14ac:dyDescent="0.2">
      <c r="A900" s="64" t="str">
        <f t="shared" si="14"/>
        <v/>
      </c>
      <c r="B900" s="64"/>
      <c r="C900" s="64"/>
      <c r="D900" s="69"/>
      <c r="E900" s="66"/>
      <c r="F900" s="66"/>
    </row>
    <row r="901" spans="1:6" x14ac:dyDescent="0.2">
      <c r="A901" s="64" t="str">
        <f t="shared" si="14"/>
        <v/>
      </c>
      <c r="B901" s="64"/>
      <c r="C901" s="64"/>
      <c r="D901" s="69"/>
      <c r="E901" s="66"/>
      <c r="F901" s="66"/>
    </row>
    <row r="902" spans="1:6" x14ac:dyDescent="0.2">
      <c r="A902" s="64" t="str">
        <f t="shared" si="14"/>
        <v/>
      </c>
      <c r="B902" s="64"/>
      <c r="C902" s="64"/>
      <c r="D902" s="83"/>
      <c r="E902" s="66"/>
      <c r="F902" s="66"/>
    </row>
    <row r="903" spans="1:6" x14ac:dyDescent="0.2">
      <c r="A903" s="64" t="str">
        <f t="shared" si="14"/>
        <v/>
      </c>
      <c r="B903" s="64"/>
      <c r="C903" s="64"/>
      <c r="D903" s="83"/>
      <c r="E903" s="66"/>
      <c r="F903" s="66"/>
    </row>
    <row r="904" spans="1:6" x14ac:dyDescent="0.2">
      <c r="A904" s="64" t="str">
        <f t="shared" si="14"/>
        <v/>
      </c>
      <c r="B904" s="64"/>
      <c r="C904" s="64"/>
      <c r="D904" s="69"/>
      <c r="E904" s="66"/>
      <c r="F904" s="66"/>
    </row>
    <row r="905" spans="1:6" x14ac:dyDescent="0.2">
      <c r="A905" s="64" t="str">
        <f t="shared" si="14"/>
        <v/>
      </c>
      <c r="B905" s="64"/>
      <c r="C905" s="64"/>
      <c r="D905" s="69"/>
      <c r="E905" s="66"/>
      <c r="F905" s="66"/>
    </row>
    <row r="906" spans="1:6" x14ac:dyDescent="0.2">
      <c r="A906" s="64" t="str">
        <f t="shared" si="14"/>
        <v/>
      </c>
      <c r="B906" s="64"/>
      <c r="C906" s="64"/>
      <c r="D906" s="69"/>
      <c r="E906" s="66"/>
      <c r="F906" s="66"/>
    </row>
    <row r="907" spans="1:6" x14ac:dyDescent="0.2">
      <c r="A907" s="64" t="str">
        <f t="shared" si="14"/>
        <v/>
      </c>
      <c r="B907" s="64"/>
      <c r="C907" s="64"/>
      <c r="D907" s="83"/>
      <c r="E907" s="66"/>
      <c r="F907" s="66"/>
    </row>
    <row r="908" spans="1:6" x14ac:dyDescent="0.2">
      <c r="A908" s="64" t="str">
        <f t="shared" si="14"/>
        <v/>
      </c>
      <c r="B908" s="64"/>
      <c r="C908" s="64"/>
      <c r="D908" s="83"/>
      <c r="E908" s="66"/>
      <c r="F908" s="66"/>
    </row>
    <row r="909" spans="1:6" x14ac:dyDescent="0.2">
      <c r="A909" s="64" t="str">
        <f t="shared" si="14"/>
        <v/>
      </c>
      <c r="B909" s="64"/>
      <c r="C909" s="64"/>
      <c r="D909" s="69"/>
      <c r="E909" s="66"/>
      <c r="F909" s="66"/>
    </row>
    <row r="910" spans="1:6" x14ac:dyDescent="0.2">
      <c r="A910" s="64" t="str">
        <f t="shared" si="14"/>
        <v/>
      </c>
      <c r="B910" s="64"/>
      <c r="C910" s="64"/>
      <c r="D910" s="69"/>
      <c r="E910" s="66"/>
      <c r="F910" s="66"/>
    </row>
    <row r="911" spans="1:6" x14ac:dyDescent="0.2">
      <c r="A911" s="64" t="str">
        <f t="shared" si="14"/>
        <v/>
      </c>
      <c r="B911" s="64"/>
      <c r="C911" s="64"/>
      <c r="D911" s="64"/>
      <c r="E911" s="66"/>
      <c r="F911" s="66"/>
    </row>
    <row r="912" spans="1:6" x14ac:dyDescent="0.2">
      <c r="A912" s="64" t="str">
        <f t="shared" si="14"/>
        <v/>
      </c>
      <c r="B912" s="64"/>
      <c r="C912" s="64"/>
      <c r="D912" s="64"/>
      <c r="E912" s="66"/>
      <c r="F912" s="66"/>
    </row>
    <row r="913" spans="1:6" x14ac:dyDescent="0.2">
      <c r="A913" s="64" t="str">
        <f t="shared" si="14"/>
        <v/>
      </c>
      <c r="B913" s="64"/>
      <c r="C913" s="64"/>
      <c r="D913" s="64"/>
      <c r="E913" s="66"/>
      <c r="F913" s="66"/>
    </row>
    <row r="914" spans="1:6" x14ac:dyDescent="0.2">
      <c r="A914" s="64" t="str">
        <f t="shared" si="14"/>
        <v/>
      </c>
      <c r="B914" s="64"/>
      <c r="C914" s="64"/>
      <c r="D914" s="64"/>
      <c r="E914" s="66"/>
      <c r="F914" s="66"/>
    </row>
    <row r="915" spans="1:6" x14ac:dyDescent="0.2">
      <c r="A915" s="64" t="str">
        <f t="shared" si="14"/>
        <v/>
      </c>
      <c r="B915" s="64"/>
      <c r="C915" s="64"/>
      <c r="D915" s="64"/>
      <c r="E915" s="66"/>
      <c r="F915" s="66"/>
    </row>
    <row r="916" spans="1:6" x14ac:dyDescent="0.2">
      <c r="A916" s="64" t="str">
        <f t="shared" si="14"/>
        <v/>
      </c>
      <c r="B916" s="64"/>
      <c r="C916" s="64"/>
      <c r="D916" s="64"/>
      <c r="E916" s="66"/>
      <c r="F916" s="66"/>
    </row>
    <row r="917" spans="1:6" x14ac:dyDescent="0.2">
      <c r="A917" s="64" t="str">
        <f t="shared" si="14"/>
        <v/>
      </c>
      <c r="B917" s="64"/>
      <c r="C917" s="64"/>
      <c r="D917" s="64"/>
      <c r="E917" s="66"/>
      <c r="F917" s="66"/>
    </row>
    <row r="918" spans="1:6" x14ac:dyDescent="0.2">
      <c r="A918" s="64" t="str">
        <f t="shared" si="14"/>
        <v/>
      </c>
      <c r="B918" s="64"/>
      <c r="C918" s="64"/>
      <c r="D918" s="64"/>
      <c r="E918" s="66"/>
      <c r="F918" s="66"/>
    </row>
    <row r="919" spans="1:6" x14ac:dyDescent="0.2">
      <c r="A919" s="64" t="str">
        <f t="shared" si="14"/>
        <v/>
      </c>
      <c r="B919" s="64"/>
      <c r="C919" s="64"/>
      <c r="D919" s="64"/>
      <c r="E919" s="66"/>
      <c r="F919" s="66"/>
    </row>
    <row r="920" spans="1:6" x14ac:dyDescent="0.2">
      <c r="A920" s="64" t="str">
        <f t="shared" si="14"/>
        <v/>
      </c>
      <c r="B920" s="64"/>
      <c r="C920" s="64"/>
      <c r="D920" s="64"/>
      <c r="E920" s="66"/>
      <c r="F920" s="66"/>
    </row>
    <row r="921" spans="1:6" x14ac:dyDescent="0.2">
      <c r="A921" s="64" t="str">
        <f t="shared" si="14"/>
        <v/>
      </c>
      <c r="B921" s="64"/>
      <c r="C921" s="64"/>
      <c r="D921" s="64"/>
      <c r="E921" s="66"/>
      <c r="F921" s="66"/>
    </row>
    <row r="922" spans="1:6" x14ac:dyDescent="0.2">
      <c r="A922" s="64" t="str">
        <f t="shared" si="14"/>
        <v/>
      </c>
      <c r="B922" s="64"/>
      <c r="C922" s="64"/>
      <c r="D922" s="64"/>
      <c r="E922" s="66"/>
      <c r="F922" s="66"/>
    </row>
    <row r="923" spans="1:6" x14ac:dyDescent="0.2">
      <c r="A923" s="64" t="str">
        <f t="shared" si="14"/>
        <v/>
      </c>
      <c r="B923" s="64"/>
      <c r="C923" s="64"/>
      <c r="D923" s="64"/>
      <c r="E923" s="66"/>
      <c r="F923" s="66"/>
    </row>
    <row r="924" spans="1:6" x14ac:dyDescent="0.2">
      <c r="A924" s="64" t="str">
        <f t="shared" si="14"/>
        <v/>
      </c>
      <c r="B924" s="64"/>
      <c r="C924" s="64"/>
      <c r="D924" s="64"/>
      <c r="E924" s="66"/>
      <c r="F924" s="66"/>
    </row>
    <row r="925" spans="1:6" x14ac:dyDescent="0.2">
      <c r="A925" s="64" t="str">
        <f t="shared" si="14"/>
        <v/>
      </c>
      <c r="B925" s="64"/>
      <c r="C925" s="64"/>
      <c r="D925" s="64"/>
      <c r="E925" s="66"/>
      <c r="F925" s="66"/>
    </row>
    <row r="926" spans="1:6" x14ac:dyDescent="0.2">
      <c r="A926" s="64" t="str">
        <f t="shared" si="14"/>
        <v/>
      </c>
      <c r="B926" s="64"/>
      <c r="C926" s="64"/>
      <c r="D926" s="64"/>
      <c r="E926" s="66"/>
      <c r="F926" s="66"/>
    </row>
    <row r="927" spans="1:6" x14ac:dyDescent="0.2">
      <c r="A927" s="64" t="str">
        <f t="shared" si="14"/>
        <v/>
      </c>
      <c r="B927" s="64"/>
      <c r="C927" s="64"/>
      <c r="D927" s="64"/>
      <c r="E927" s="66"/>
      <c r="F927" s="66"/>
    </row>
    <row r="928" spans="1:6" x14ac:dyDescent="0.2">
      <c r="A928" s="64" t="str">
        <f t="shared" si="14"/>
        <v/>
      </c>
      <c r="B928" s="64"/>
      <c r="C928" s="64"/>
      <c r="D928" s="64"/>
      <c r="E928" s="66"/>
      <c r="F928" s="66"/>
    </row>
    <row r="929" spans="1:6" x14ac:dyDescent="0.2">
      <c r="A929" s="64" t="str">
        <f t="shared" si="14"/>
        <v/>
      </c>
      <c r="B929" s="64"/>
      <c r="C929" s="64"/>
      <c r="D929" s="66"/>
      <c r="E929" s="66"/>
      <c r="F929" s="66"/>
    </row>
    <row r="930" spans="1:6" x14ac:dyDescent="0.2">
      <c r="A930" s="64" t="str">
        <f t="shared" si="14"/>
        <v/>
      </c>
      <c r="B930" s="64"/>
      <c r="C930" s="64"/>
      <c r="D930" s="66"/>
      <c r="E930" s="66"/>
      <c r="F930" s="66"/>
    </row>
    <row r="931" spans="1:6" x14ac:dyDescent="0.2">
      <c r="A931" s="64" t="str">
        <f t="shared" si="14"/>
        <v/>
      </c>
      <c r="B931" s="64"/>
      <c r="C931" s="64"/>
      <c r="D931" s="66"/>
      <c r="E931" s="66"/>
      <c r="F931" s="66"/>
    </row>
    <row r="932" spans="1:6" x14ac:dyDescent="0.2">
      <c r="A932" s="64" t="str">
        <f t="shared" si="14"/>
        <v/>
      </c>
      <c r="B932" s="64"/>
      <c r="C932" s="64"/>
      <c r="D932" s="66"/>
      <c r="E932" s="66"/>
      <c r="F932" s="66"/>
    </row>
    <row r="933" spans="1:6" x14ac:dyDescent="0.2">
      <c r="A933" s="64" t="str">
        <f t="shared" si="14"/>
        <v/>
      </c>
      <c r="B933" s="64"/>
      <c r="C933" s="64"/>
      <c r="D933" s="66"/>
      <c r="E933" s="66"/>
      <c r="F933" s="66"/>
    </row>
    <row r="934" spans="1:6" x14ac:dyDescent="0.2">
      <c r="A934" s="64" t="str">
        <f t="shared" si="14"/>
        <v/>
      </c>
      <c r="B934" s="64"/>
      <c r="C934" s="64"/>
      <c r="D934" s="66"/>
      <c r="E934" s="66"/>
      <c r="F934" s="66"/>
    </row>
    <row r="935" spans="1:6" x14ac:dyDescent="0.2">
      <c r="A935" s="64" t="str">
        <f t="shared" si="14"/>
        <v/>
      </c>
      <c r="B935" s="64"/>
      <c r="C935" s="64"/>
      <c r="D935" s="66"/>
      <c r="E935" s="66"/>
      <c r="F935" s="66"/>
    </row>
    <row r="936" spans="1:6" x14ac:dyDescent="0.2">
      <c r="A936" s="64" t="str">
        <f t="shared" si="14"/>
        <v/>
      </c>
      <c r="B936" s="64"/>
      <c r="C936" s="64"/>
      <c r="D936" s="66"/>
      <c r="E936" s="66"/>
      <c r="F936" s="66"/>
    </row>
    <row r="937" spans="1:6" x14ac:dyDescent="0.2">
      <c r="A937" s="64" t="str">
        <f t="shared" si="14"/>
        <v/>
      </c>
      <c r="B937" s="64"/>
      <c r="C937" s="64"/>
      <c r="D937" s="66"/>
      <c r="E937" s="66"/>
      <c r="F937" s="66"/>
    </row>
    <row r="938" spans="1:6" x14ac:dyDescent="0.2">
      <c r="A938" s="64" t="str">
        <f t="shared" si="14"/>
        <v/>
      </c>
      <c r="B938" s="64"/>
      <c r="C938" s="64"/>
      <c r="D938" s="66"/>
      <c r="E938" s="66"/>
      <c r="F938" s="66"/>
    </row>
    <row r="939" spans="1:6" x14ac:dyDescent="0.2">
      <c r="A939" s="64" t="str">
        <f t="shared" si="14"/>
        <v/>
      </c>
      <c r="B939" s="64"/>
      <c r="C939" s="64"/>
      <c r="D939" s="66"/>
      <c r="E939" s="66"/>
      <c r="F939" s="66"/>
    </row>
    <row r="940" spans="1:6" x14ac:dyDescent="0.2">
      <c r="A940" s="64" t="str">
        <f t="shared" si="14"/>
        <v/>
      </c>
      <c r="B940" s="64"/>
      <c r="C940" s="64"/>
      <c r="D940" s="66"/>
      <c r="E940" s="66"/>
      <c r="F940" s="66"/>
    </row>
    <row r="941" spans="1:6" x14ac:dyDescent="0.2">
      <c r="A941" s="64" t="str">
        <f t="shared" si="14"/>
        <v/>
      </c>
      <c r="B941" s="64"/>
      <c r="C941" s="64"/>
      <c r="D941" s="66"/>
      <c r="E941" s="66"/>
      <c r="F941" s="66"/>
    </row>
    <row r="942" spans="1:6" x14ac:dyDescent="0.2">
      <c r="A942" s="64" t="str">
        <f t="shared" si="14"/>
        <v/>
      </c>
      <c r="B942" s="64"/>
      <c r="C942" s="64"/>
      <c r="D942" s="66"/>
      <c r="E942" s="66"/>
      <c r="F942" s="66"/>
    </row>
    <row r="943" spans="1:6" x14ac:dyDescent="0.2">
      <c r="A943" s="64" t="str">
        <f t="shared" si="14"/>
        <v/>
      </c>
      <c r="B943" s="64"/>
      <c r="C943" s="64"/>
      <c r="D943" s="66"/>
      <c r="E943" s="66"/>
      <c r="F943" s="66"/>
    </row>
    <row r="944" spans="1:6" x14ac:dyDescent="0.2">
      <c r="A944" s="64" t="str">
        <f t="shared" si="14"/>
        <v/>
      </c>
      <c r="B944" s="64"/>
      <c r="C944" s="64"/>
      <c r="D944" s="66"/>
      <c r="E944" s="66"/>
      <c r="F944" s="66"/>
    </row>
    <row r="945" spans="1:6" x14ac:dyDescent="0.2">
      <c r="A945" s="64" t="str">
        <f t="shared" si="14"/>
        <v/>
      </c>
      <c r="B945" s="64"/>
      <c r="C945" s="64"/>
      <c r="D945" s="66"/>
      <c r="E945" s="66"/>
      <c r="F945" s="66"/>
    </row>
    <row r="946" spans="1:6" x14ac:dyDescent="0.2">
      <c r="A946" s="64" t="str">
        <f t="shared" si="14"/>
        <v/>
      </c>
      <c r="B946" s="64"/>
      <c r="C946" s="64"/>
      <c r="D946" s="66"/>
      <c r="E946" s="66"/>
      <c r="F946" s="66"/>
    </row>
    <row r="947" spans="1:6" x14ac:dyDescent="0.2">
      <c r="A947" s="64" t="str">
        <f t="shared" si="14"/>
        <v/>
      </c>
      <c r="B947" s="64"/>
      <c r="C947" s="64"/>
      <c r="D947" s="66"/>
      <c r="E947" s="66"/>
      <c r="F947" s="66"/>
    </row>
    <row r="948" spans="1:6" x14ac:dyDescent="0.2">
      <c r="A948" s="64" t="str">
        <f t="shared" si="14"/>
        <v/>
      </c>
      <c r="B948" s="64"/>
      <c r="C948" s="64"/>
      <c r="D948" s="66"/>
      <c r="E948" s="66"/>
      <c r="F948" s="66"/>
    </row>
    <row r="949" spans="1:6" x14ac:dyDescent="0.2">
      <c r="A949" s="64" t="str">
        <f t="shared" si="14"/>
        <v/>
      </c>
      <c r="B949" s="64"/>
      <c r="C949" s="64"/>
      <c r="D949" s="66"/>
      <c r="E949" s="66"/>
      <c r="F949" s="66"/>
    </row>
    <row r="950" spans="1:6" x14ac:dyDescent="0.2">
      <c r="A950" s="64" t="str">
        <f t="shared" si="14"/>
        <v/>
      </c>
      <c r="B950" s="64"/>
      <c r="C950" s="64"/>
      <c r="D950" s="66"/>
      <c r="E950" s="66"/>
      <c r="F950" s="66"/>
    </row>
    <row r="951" spans="1:6" x14ac:dyDescent="0.2">
      <c r="A951" s="64" t="str">
        <f t="shared" si="14"/>
        <v/>
      </c>
      <c r="B951" s="64"/>
      <c r="C951" s="64"/>
      <c r="D951" s="66"/>
      <c r="E951" s="66"/>
      <c r="F951" s="66"/>
    </row>
    <row r="952" spans="1:6" x14ac:dyDescent="0.2">
      <c r="A952" s="64" t="str">
        <f t="shared" si="14"/>
        <v/>
      </c>
      <c r="B952" s="64"/>
      <c r="C952" s="64"/>
      <c r="D952" s="66"/>
      <c r="E952" s="66"/>
      <c r="F952" s="66"/>
    </row>
    <row r="953" spans="1:6" x14ac:dyDescent="0.2">
      <c r="A953" s="64" t="str">
        <f t="shared" si="14"/>
        <v/>
      </c>
      <c r="B953" s="64"/>
      <c r="C953" s="64"/>
      <c r="D953" s="66"/>
      <c r="E953" s="66"/>
      <c r="F953" s="66"/>
    </row>
    <row r="954" spans="1:6" x14ac:dyDescent="0.2">
      <c r="A954" s="64" t="str">
        <f t="shared" si="14"/>
        <v/>
      </c>
      <c r="B954" s="64"/>
      <c r="C954" s="64"/>
      <c r="D954" s="66"/>
      <c r="E954" s="66"/>
      <c r="F954" s="66"/>
    </row>
    <row r="955" spans="1:6" x14ac:dyDescent="0.2">
      <c r="A955" s="64" t="str">
        <f t="shared" si="14"/>
        <v/>
      </c>
      <c r="B955" s="64"/>
      <c r="C955" s="64"/>
      <c r="D955" s="66"/>
      <c r="E955" s="66"/>
      <c r="F955" s="66"/>
    </row>
    <row r="956" spans="1:6" x14ac:dyDescent="0.2">
      <c r="A956" s="64" t="str">
        <f t="shared" si="14"/>
        <v/>
      </c>
      <c r="B956" s="64"/>
      <c r="C956" s="64"/>
      <c r="D956" s="66"/>
      <c r="E956" s="66"/>
      <c r="F956" s="66"/>
    </row>
    <row r="957" spans="1:6" x14ac:dyDescent="0.2">
      <c r="A957" s="64" t="str">
        <f t="shared" si="14"/>
        <v/>
      </c>
      <c r="B957" s="64"/>
      <c r="C957" s="64"/>
      <c r="D957" s="66"/>
      <c r="E957" s="66"/>
      <c r="F957" s="66"/>
    </row>
    <row r="958" spans="1:6" x14ac:dyDescent="0.2">
      <c r="A958" s="64" t="str">
        <f t="shared" si="14"/>
        <v/>
      </c>
      <c r="B958" s="64"/>
      <c r="C958" s="64"/>
      <c r="D958" s="66"/>
      <c r="E958" s="66"/>
      <c r="F958" s="66"/>
    </row>
    <row r="959" spans="1:6" x14ac:dyDescent="0.2">
      <c r="A959" s="64" t="str">
        <f t="shared" si="14"/>
        <v/>
      </c>
      <c r="B959" s="64"/>
      <c r="C959" s="64"/>
      <c r="D959" s="66"/>
      <c r="E959" s="66"/>
      <c r="F959" s="66"/>
    </row>
    <row r="960" spans="1:6" x14ac:dyDescent="0.2">
      <c r="A960" s="64" t="str">
        <f t="shared" si="14"/>
        <v/>
      </c>
      <c r="B960" s="64"/>
      <c r="C960" s="64"/>
      <c r="D960" s="66"/>
      <c r="E960" s="66"/>
      <c r="F960" s="66"/>
    </row>
    <row r="961" spans="1:6" x14ac:dyDescent="0.2">
      <c r="A961" s="64" t="str">
        <f t="shared" si="14"/>
        <v/>
      </c>
      <c r="B961" s="64"/>
      <c r="C961" s="64"/>
      <c r="D961" s="66"/>
      <c r="E961" s="66"/>
      <c r="F961" s="66"/>
    </row>
    <row r="962" spans="1:6" x14ac:dyDescent="0.2">
      <c r="A962" s="64" t="str">
        <f t="shared" ref="A962:A1000" si="15">CONCATENATE(B962, C962, D962)</f>
        <v/>
      </c>
      <c r="B962" s="64"/>
      <c r="C962" s="64"/>
      <c r="D962" s="66"/>
      <c r="E962" s="66"/>
      <c r="F962" s="66"/>
    </row>
    <row r="963" spans="1:6" x14ac:dyDescent="0.2">
      <c r="A963" s="64" t="str">
        <f t="shared" si="15"/>
        <v/>
      </c>
      <c r="B963" s="64"/>
      <c r="C963" s="64"/>
      <c r="D963" s="66"/>
      <c r="E963" s="66"/>
      <c r="F963" s="66"/>
    </row>
    <row r="964" spans="1:6" x14ac:dyDescent="0.2">
      <c r="A964" s="64" t="str">
        <f t="shared" si="15"/>
        <v/>
      </c>
      <c r="B964" s="64"/>
      <c r="C964" s="64"/>
      <c r="D964" s="66"/>
      <c r="E964" s="66"/>
      <c r="F964" s="66"/>
    </row>
    <row r="965" spans="1:6" x14ac:dyDescent="0.2">
      <c r="A965" s="64" t="str">
        <f t="shared" si="15"/>
        <v/>
      </c>
      <c r="B965" s="64"/>
      <c r="C965" s="64"/>
      <c r="D965" s="66"/>
      <c r="E965" s="66"/>
      <c r="F965" s="66"/>
    </row>
    <row r="966" spans="1:6" x14ac:dyDescent="0.2">
      <c r="A966" s="64" t="str">
        <f t="shared" si="15"/>
        <v/>
      </c>
      <c r="B966" s="64"/>
      <c r="C966" s="64"/>
      <c r="D966" s="66"/>
      <c r="E966" s="66"/>
      <c r="F966" s="66"/>
    </row>
    <row r="967" spans="1:6" x14ac:dyDescent="0.2">
      <c r="A967" s="64" t="str">
        <f t="shared" si="15"/>
        <v/>
      </c>
      <c r="B967" s="64"/>
      <c r="C967" s="64"/>
      <c r="D967" s="66"/>
      <c r="E967" s="66"/>
      <c r="F967" s="66"/>
    </row>
    <row r="968" spans="1:6" x14ac:dyDescent="0.2">
      <c r="A968" s="64" t="str">
        <f t="shared" si="15"/>
        <v/>
      </c>
      <c r="B968" s="64"/>
      <c r="C968" s="64"/>
      <c r="D968" s="66"/>
      <c r="E968" s="66"/>
      <c r="F968" s="66"/>
    </row>
    <row r="969" spans="1:6" x14ac:dyDescent="0.2">
      <c r="A969" s="64" t="str">
        <f t="shared" si="15"/>
        <v/>
      </c>
      <c r="B969" s="64"/>
      <c r="C969" s="64"/>
      <c r="D969" s="66"/>
      <c r="E969" s="66"/>
      <c r="F969" s="66"/>
    </row>
    <row r="970" spans="1:6" x14ac:dyDescent="0.2">
      <c r="A970" s="64" t="str">
        <f t="shared" si="15"/>
        <v/>
      </c>
      <c r="B970" s="64"/>
      <c r="C970" s="64"/>
      <c r="D970" s="66"/>
      <c r="E970" s="66"/>
      <c r="F970" s="66"/>
    </row>
    <row r="971" spans="1:6" x14ac:dyDescent="0.2">
      <c r="A971" s="64" t="str">
        <f t="shared" si="15"/>
        <v/>
      </c>
      <c r="B971" s="64"/>
      <c r="C971" s="64"/>
      <c r="D971" s="66"/>
      <c r="E971" s="66"/>
      <c r="F971" s="66"/>
    </row>
    <row r="972" spans="1:6" x14ac:dyDescent="0.2">
      <c r="A972" s="64" t="str">
        <f t="shared" si="15"/>
        <v/>
      </c>
      <c r="B972" s="64"/>
      <c r="C972" s="64"/>
      <c r="D972" s="66"/>
      <c r="E972" s="66"/>
      <c r="F972" s="66"/>
    </row>
    <row r="973" spans="1:6" x14ac:dyDescent="0.2">
      <c r="A973" s="64" t="str">
        <f t="shared" si="15"/>
        <v/>
      </c>
      <c r="B973" s="64"/>
      <c r="C973" s="64"/>
      <c r="D973" s="66"/>
      <c r="E973" s="66"/>
      <c r="F973" s="66"/>
    </row>
    <row r="974" spans="1:6" x14ac:dyDescent="0.2">
      <c r="A974" s="64" t="str">
        <f t="shared" si="15"/>
        <v/>
      </c>
      <c r="B974" s="64"/>
      <c r="C974" s="64"/>
      <c r="D974" s="66"/>
      <c r="E974" s="66"/>
      <c r="F974" s="66"/>
    </row>
    <row r="975" spans="1:6" x14ac:dyDescent="0.2">
      <c r="A975" s="64" t="str">
        <f t="shared" si="15"/>
        <v/>
      </c>
      <c r="B975" s="64"/>
      <c r="C975" s="64"/>
      <c r="D975" s="66"/>
      <c r="E975" s="66"/>
      <c r="F975" s="66"/>
    </row>
    <row r="976" spans="1:6" x14ac:dyDescent="0.2">
      <c r="A976" s="64" t="str">
        <f t="shared" si="15"/>
        <v/>
      </c>
      <c r="B976" s="64"/>
      <c r="C976" s="64"/>
      <c r="D976" s="66"/>
      <c r="E976" s="66"/>
      <c r="F976" s="66"/>
    </row>
    <row r="977" spans="1:6" x14ac:dyDescent="0.2">
      <c r="A977" s="64" t="str">
        <f t="shared" si="15"/>
        <v/>
      </c>
      <c r="B977" s="64"/>
      <c r="C977" s="64"/>
      <c r="D977" s="66"/>
      <c r="E977" s="66"/>
      <c r="F977" s="66"/>
    </row>
    <row r="978" spans="1:6" x14ac:dyDescent="0.2">
      <c r="A978" s="64" t="str">
        <f t="shared" si="15"/>
        <v/>
      </c>
      <c r="B978" s="64"/>
      <c r="C978" s="64"/>
      <c r="D978" s="66"/>
      <c r="E978" s="66"/>
      <c r="F978" s="66"/>
    </row>
    <row r="979" spans="1:6" x14ac:dyDescent="0.2">
      <c r="A979" s="64" t="str">
        <f t="shared" si="15"/>
        <v/>
      </c>
      <c r="B979" s="64"/>
      <c r="C979" s="64"/>
      <c r="D979" s="66"/>
      <c r="E979" s="66"/>
      <c r="F979" s="66"/>
    </row>
    <row r="980" spans="1:6" x14ac:dyDescent="0.2">
      <c r="A980" s="64" t="str">
        <f t="shared" si="15"/>
        <v/>
      </c>
      <c r="B980" s="64"/>
      <c r="C980" s="64"/>
      <c r="D980" s="66"/>
      <c r="E980" s="66"/>
      <c r="F980" s="66"/>
    </row>
    <row r="981" spans="1:6" x14ac:dyDescent="0.2">
      <c r="A981" s="64" t="str">
        <f t="shared" si="15"/>
        <v/>
      </c>
      <c r="B981" s="64"/>
      <c r="C981" s="64"/>
      <c r="D981" s="66"/>
      <c r="E981" s="66"/>
      <c r="F981" s="66"/>
    </row>
    <row r="982" spans="1:6" x14ac:dyDescent="0.2">
      <c r="A982" s="64" t="str">
        <f t="shared" si="15"/>
        <v/>
      </c>
      <c r="B982" s="64"/>
      <c r="C982" s="64"/>
      <c r="D982" s="66"/>
      <c r="E982" s="66"/>
      <c r="F982" s="66"/>
    </row>
    <row r="983" spans="1:6" x14ac:dyDescent="0.2">
      <c r="A983" s="64" t="str">
        <f t="shared" si="15"/>
        <v/>
      </c>
      <c r="B983" s="64"/>
      <c r="C983" s="64"/>
      <c r="D983" s="64"/>
      <c r="E983" s="66"/>
      <c r="F983" s="66"/>
    </row>
    <row r="984" spans="1:6" x14ac:dyDescent="0.2">
      <c r="A984" s="64" t="str">
        <f t="shared" si="15"/>
        <v/>
      </c>
      <c r="B984" s="64"/>
      <c r="C984" s="64"/>
      <c r="D984" s="64"/>
      <c r="E984" s="66"/>
      <c r="F984" s="66"/>
    </row>
    <row r="985" spans="1:6" x14ac:dyDescent="0.2">
      <c r="A985" s="64" t="str">
        <f t="shared" si="15"/>
        <v/>
      </c>
      <c r="B985" s="64"/>
      <c r="C985" s="64"/>
      <c r="D985" s="64"/>
      <c r="E985" s="66"/>
      <c r="F985" s="66"/>
    </row>
    <row r="986" spans="1:6" x14ac:dyDescent="0.2">
      <c r="A986" s="64" t="str">
        <f t="shared" si="15"/>
        <v/>
      </c>
      <c r="B986" s="64"/>
      <c r="C986" s="64"/>
      <c r="D986" s="64"/>
      <c r="E986" s="66"/>
      <c r="F986" s="66"/>
    </row>
    <row r="987" spans="1:6" x14ac:dyDescent="0.2">
      <c r="A987" s="64" t="str">
        <f t="shared" si="15"/>
        <v/>
      </c>
      <c r="B987" s="64"/>
      <c r="C987" s="64"/>
      <c r="D987" s="64"/>
      <c r="E987" s="66"/>
      <c r="F987" s="66"/>
    </row>
    <row r="988" spans="1:6" x14ac:dyDescent="0.2">
      <c r="A988" s="64" t="str">
        <f t="shared" si="15"/>
        <v/>
      </c>
      <c r="B988" s="64"/>
      <c r="C988" s="64"/>
      <c r="D988" s="64"/>
      <c r="E988" s="66"/>
      <c r="F988" s="66"/>
    </row>
    <row r="989" spans="1:6" x14ac:dyDescent="0.2">
      <c r="A989" s="64" t="str">
        <f t="shared" si="15"/>
        <v/>
      </c>
      <c r="B989" s="64"/>
      <c r="C989" s="64"/>
      <c r="D989" s="64"/>
      <c r="E989" s="66"/>
      <c r="F989" s="66"/>
    </row>
    <row r="990" spans="1:6" x14ac:dyDescent="0.2">
      <c r="A990" s="64" t="str">
        <f t="shared" si="15"/>
        <v/>
      </c>
      <c r="B990" s="64"/>
      <c r="C990" s="64"/>
      <c r="D990" s="64"/>
      <c r="E990" s="66"/>
      <c r="F990" s="66"/>
    </row>
    <row r="991" spans="1:6" x14ac:dyDescent="0.2">
      <c r="A991" s="64" t="str">
        <f t="shared" si="15"/>
        <v/>
      </c>
      <c r="B991" s="64"/>
      <c r="C991" s="64"/>
      <c r="D991" s="64"/>
      <c r="E991" s="66"/>
      <c r="F991" s="66"/>
    </row>
    <row r="992" spans="1:6" x14ac:dyDescent="0.2">
      <c r="A992" s="64" t="str">
        <f t="shared" si="15"/>
        <v/>
      </c>
      <c r="B992" s="64"/>
      <c r="C992" s="64"/>
      <c r="D992" s="64"/>
      <c r="E992" s="66"/>
      <c r="F992" s="66"/>
    </row>
    <row r="993" spans="1:6" x14ac:dyDescent="0.2">
      <c r="A993" s="64" t="str">
        <f t="shared" si="15"/>
        <v/>
      </c>
      <c r="B993" s="64"/>
      <c r="C993" s="64"/>
      <c r="D993" s="64"/>
      <c r="E993" s="66"/>
      <c r="F993" s="66"/>
    </row>
    <row r="994" spans="1:6" x14ac:dyDescent="0.2">
      <c r="A994" s="64" t="str">
        <f t="shared" si="15"/>
        <v/>
      </c>
      <c r="B994" s="64"/>
      <c r="C994" s="64"/>
      <c r="D994" s="64"/>
      <c r="E994" s="66"/>
      <c r="F994" s="66"/>
    </row>
    <row r="995" spans="1:6" x14ac:dyDescent="0.2">
      <c r="A995" s="64" t="str">
        <f t="shared" si="15"/>
        <v/>
      </c>
      <c r="B995" s="64"/>
      <c r="C995" s="64"/>
      <c r="D995" s="64"/>
      <c r="E995" s="66"/>
      <c r="F995" s="66"/>
    </row>
    <row r="996" spans="1:6" x14ac:dyDescent="0.2">
      <c r="A996" s="64" t="str">
        <f t="shared" si="15"/>
        <v/>
      </c>
      <c r="B996" s="64"/>
      <c r="C996" s="64"/>
      <c r="D996" s="64"/>
      <c r="E996" s="66"/>
      <c r="F996" s="66"/>
    </row>
    <row r="997" spans="1:6" x14ac:dyDescent="0.2">
      <c r="A997" s="64" t="str">
        <f t="shared" si="15"/>
        <v/>
      </c>
      <c r="B997" s="64"/>
      <c r="C997" s="64"/>
      <c r="D997" s="64"/>
      <c r="E997" s="66"/>
      <c r="F997" s="66"/>
    </row>
    <row r="998" spans="1:6" x14ac:dyDescent="0.2">
      <c r="A998" s="64" t="str">
        <f t="shared" si="15"/>
        <v/>
      </c>
      <c r="B998" s="64"/>
      <c r="C998" s="64"/>
      <c r="D998" s="64"/>
      <c r="E998" s="66"/>
      <c r="F998" s="66"/>
    </row>
    <row r="999" spans="1:6" x14ac:dyDescent="0.2">
      <c r="A999" s="64" t="str">
        <f t="shared" si="15"/>
        <v/>
      </c>
      <c r="B999" s="64"/>
      <c r="C999" s="64"/>
      <c r="D999" s="64"/>
      <c r="E999" s="66"/>
      <c r="F999" s="66"/>
    </row>
    <row r="1000" spans="1:6" x14ac:dyDescent="0.2">
      <c r="A1000" s="64" t="str">
        <f t="shared" si="15"/>
        <v/>
      </c>
      <c r="B1000" s="64"/>
      <c r="C1000" s="64"/>
      <c r="D1000" s="64"/>
      <c r="E1000" s="66"/>
      <c r="F1000" s="66"/>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K27"/>
  <sheetViews>
    <sheetView workbookViewId="0"/>
  </sheetViews>
  <sheetFormatPr defaultRowHeight="12.75" x14ac:dyDescent="0.2"/>
  <cols>
    <col min="1" max="1" width="29.42578125" style="71" bestFit="1" customWidth="1"/>
    <col min="2" max="256" width="9.140625" style="71"/>
    <col min="257" max="257" width="12.140625" style="71" bestFit="1" customWidth="1"/>
    <col min="258" max="512" width="9.140625" style="71"/>
    <col min="513" max="513" width="12.140625" style="71" bestFit="1" customWidth="1"/>
    <col min="514" max="768" width="9.140625" style="71"/>
    <col min="769" max="769" width="12.140625" style="71" bestFit="1" customWidth="1"/>
    <col min="770" max="1024" width="9.140625" style="71"/>
    <col min="1025" max="1025" width="12.140625" style="71" bestFit="1" customWidth="1"/>
    <col min="1026" max="1280" width="9.140625" style="71"/>
    <col min="1281" max="1281" width="12.140625" style="71" bestFit="1" customWidth="1"/>
    <col min="1282" max="1536" width="9.140625" style="71"/>
    <col min="1537" max="1537" width="12.140625" style="71" bestFit="1" customWidth="1"/>
    <col min="1538" max="1792" width="9.140625" style="71"/>
    <col min="1793" max="1793" width="12.140625" style="71" bestFit="1" customWidth="1"/>
    <col min="1794" max="2048" width="9.140625" style="71"/>
    <col min="2049" max="2049" width="12.140625" style="71" bestFit="1" customWidth="1"/>
    <col min="2050" max="2304" width="9.140625" style="71"/>
    <col min="2305" max="2305" width="12.140625" style="71" bestFit="1" customWidth="1"/>
    <col min="2306" max="2560" width="9.140625" style="71"/>
    <col min="2561" max="2561" width="12.140625" style="71" bestFit="1" customWidth="1"/>
    <col min="2562" max="2816" width="9.140625" style="71"/>
    <col min="2817" max="2817" width="12.140625" style="71" bestFit="1" customWidth="1"/>
    <col min="2818" max="3072" width="9.140625" style="71"/>
    <col min="3073" max="3073" width="12.140625" style="71" bestFit="1" customWidth="1"/>
    <col min="3074" max="3328" width="9.140625" style="71"/>
    <col min="3329" max="3329" width="12.140625" style="71" bestFit="1" customWidth="1"/>
    <col min="3330" max="3584" width="9.140625" style="71"/>
    <col min="3585" max="3585" width="12.140625" style="71" bestFit="1" customWidth="1"/>
    <col min="3586" max="3840" width="9.140625" style="71"/>
    <col min="3841" max="3841" width="12.140625" style="71" bestFit="1" customWidth="1"/>
    <col min="3842" max="4096" width="9.140625" style="71"/>
    <col min="4097" max="4097" width="12.140625" style="71" bestFit="1" customWidth="1"/>
    <col min="4098" max="4352" width="9.140625" style="71"/>
    <col min="4353" max="4353" width="12.140625" style="71" bestFit="1" customWidth="1"/>
    <col min="4354" max="4608" width="9.140625" style="71"/>
    <col min="4609" max="4609" width="12.140625" style="71" bestFit="1" customWidth="1"/>
    <col min="4610" max="4864" width="9.140625" style="71"/>
    <col min="4865" max="4865" width="12.140625" style="71" bestFit="1" customWidth="1"/>
    <col min="4866" max="5120" width="9.140625" style="71"/>
    <col min="5121" max="5121" width="12.140625" style="71" bestFit="1" customWidth="1"/>
    <col min="5122" max="5376" width="9.140625" style="71"/>
    <col min="5377" max="5377" width="12.140625" style="71" bestFit="1" customWidth="1"/>
    <col min="5378" max="5632" width="9.140625" style="71"/>
    <col min="5633" max="5633" width="12.140625" style="71" bestFit="1" customWidth="1"/>
    <col min="5634" max="5888" width="9.140625" style="71"/>
    <col min="5889" max="5889" width="12.140625" style="71" bestFit="1" customWidth="1"/>
    <col min="5890" max="6144" width="9.140625" style="71"/>
    <col min="6145" max="6145" width="12.140625" style="71" bestFit="1" customWidth="1"/>
    <col min="6146" max="6400" width="9.140625" style="71"/>
    <col min="6401" max="6401" width="12.140625" style="71" bestFit="1" customWidth="1"/>
    <col min="6402" max="6656" width="9.140625" style="71"/>
    <col min="6657" max="6657" width="12.140625" style="71" bestFit="1" customWidth="1"/>
    <col min="6658" max="6912" width="9.140625" style="71"/>
    <col min="6913" max="6913" width="12.140625" style="71" bestFit="1" customWidth="1"/>
    <col min="6914" max="7168" width="9.140625" style="71"/>
    <col min="7169" max="7169" width="12.140625" style="71" bestFit="1" customWidth="1"/>
    <col min="7170" max="7424" width="9.140625" style="71"/>
    <col min="7425" max="7425" width="12.140625" style="71" bestFit="1" customWidth="1"/>
    <col min="7426" max="7680" width="9.140625" style="71"/>
    <col min="7681" max="7681" width="12.140625" style="71" bestFit="1" customWidth="1"/>
    <col min="7682" max="7936" width="9.140625" style="71"/>
    <col min="7937" max="7937" width="12.140625" style="71" bestFit="1" customWidth="1"/>
    <col min="7938" max="8192" width="9.140625" style="71"/>
    <col min="8193" max="8193" width="12.140625" style="71" bestFit="1" customWidth="1"/>
    <col min="8194" max="8448" width="9.140625" style="71"/>
    <col min="8449" max="8449" width="12.140625" style="71" bestFit="1" customWidth="1"/>
    <col min="8450" max="8704" width="9.140625" style="71"/>
    <col min="8705" max="8705" width="12.140625" style="71" bestFit="1" customWidth="1"/>
    <col min="8706" max="8960" width="9.140625" style="71"/>
    <col min="8961" max="8961" width="12.140625" style="71" bestFit="1" customWidth="1"/>
    <col min="8962" max="9216" width="9.140625" style="71"/>
    <col min="9217" max="9217" width="12.140625" style="71" bestFit="1" customWidth="1"/>
    <col min="9218" max="9472" width="9.140625" style="71"/>
    <col min="9473" max="9473" width="12.140625" style="71" bestFit="1" customWidth="1"/>
    <col min="9474" max="9728" width="9.140625" style="71"/>
    <col min="9729" max="9729" width="12.140625" style="71" bestFit="1" customWidth="1"/>
    <col min="9730" max="9984" width="9.140625" style="71"/>
    <col min="9985" max="9985" width="12.140625" style="71" bestFit="1" customWidth="1"/>
    <col min="9986" max="10240" width="9.140625" style="71"/>
    <col min="10241" max="10241" width="12.140625" style="71" bestFit="1" customWidth="1"/>
    <col min="10242" max="10496" width="9.140625" style="71"/>
    <col min="10497" max="10497" width="12.140625" style="71" bestFit="1" customWidth="1"/>
    <col min="10498" max="10752" width="9.140625" style="71"/>
    <col min="10753" max="10753" width="12.140625" style="71" bestFit="1" customWidth="1"/>
    <col min="10754" max="11008" width="9.140625" style="71"/>
    <col min="11009" max="11009" width="12.140625" style="71" bestFit="1" customWidth="1"/>
    <col min="11010" max="11264" width="9.140625" style="71"/>
    <col min="11265" max="11265" width="12.140625" style="71" bestFit="1" customWidth="1"/>
    <col min="11266" max="11520" width="9.140625" style="71"/>
    <col min="11521" max="11521" width="12.140625" style="71" bestFit="1" customWidth="1"/>
    <col min="11522" max="11776" width="9.140625" style="71"/>
    <col min="11777" max="11777" width="12.140625" style="71" bestFit="1" customWidth="1"/>
    <col min="11778" max="12032" width="9.140625" style="71"/>
    <col min="12033" max="12033" width="12.140625" style="71" bestFit="1" customWidth="1"/>
    <col min="12034" max="12288" width="9.140625" style="71"/>
    <col min="12289" max="12289" width="12.140625" style="71" bestFit="1" customWidth="1"/>
    <col min="12290" max="12544" width="9.140625" style="71"/>
    <col min="12545" max="12545" width="12.140625" style="71" bestFit="1" customWidth="1"/>
    <col min="12546" max="12800" width="9.140625" style="71"/>
    <col min="12801" max="12801" width="12.140625" style="71" bestFit="1" customWidth="1"/>
    <col min="12802" max="13056" width="9.140625" style="71"/>
    <col min="13057" max="13057" width="12.140625" style="71" bestFit="1" customWidth="1"/>
    <col min="13058" max="13312" width="9.140625" style="71"/>
    <col min="13313" max="13313" width="12.140625" style="71" bestFit="1" customWidth="1"/>
    <col min="13314" max="13568" width="9.140625" style="71"/>
    <col min="13569" max="13569" width="12.140625" style="71" bestFit="1" customWidth="1"/>
    <col min="13570" max="13824" width="9.140625" style="71"/>
    <col min="13825" max="13825" width="12.140625" style="71" bestFit="1" customWidth="1"/>
    <col min="13826" max="14080" width="9.140625" style="71"/>
    <col min="14081" max="14081" width="12.140625" style="71" bestFit="1" customWidth="1"/>
    <col min="14082" max="14336" width="9.140625" style="71"/>
    <col min="14337" max="14337" width="12.140625" style="71" bestFit="1" customWidth="1"/>
    <col min="14338" max="14592" width="9.140625" style="71"/>
    <col min="14593" max="14593" width="12.140625" style="71" bestFit="1" customWidth="1"/>
    <col min="14594" max="14848" width="9.140625" style="71"/>
    <col min="14849" max="14849" width="12.140625" style="71" bestFit="1" customWidth="1"/>
    <col min="14850" max="15104" width="9.140625" style="71"/>
    <col min="15105" max="15105" width="12.140625" style="71" bestFit="1" customWidth="1"/>
    <col min="15106" max="15360" width="9.140625" style="71"/>
    <col min="15361" max="15361" width="12.140625" style="71" bestFit="1" customWidth="1"/>
    <col min="15362" max="15616" width="9.140625" style="71"/>
    <col min="15617" max="15617" width="12.140625" style="71" bestFit="1" customWidth="1"/>
    <col min="15618" max="15872" width="9.140625" style="71"/>
    <col min="15873" max="15873" width="12.140625" style="71" bestFit="1" customWidth="1"/>
    <col min="15874" max="16128" width="9.140625" style="71"/>
    <col min="16129" max="16129" width="12.140625" style="71" bestFit="1" customWidth="1"/>
    <col min="16130" max="16384" width="9.140625" style="71"/>
  </cols>
  <sheetData>
    <row r="1" spans="1:11" x14ac:dyDescent="0.2">
      <c r="A1" s="70" t="s">
        <v>145</v>
      </c>
      <c r="B1" s="71">
        <f>COUNTA(data!B:B)-1</f>
        <v>0</v>
      </c>
    </row>
    <row r="2" spans="1:11" x14ac:dyDescent="0.2">
      <c r="A2" s="70" t="s">
        <v>146</v>
      </c>
      <c r="B2" s="71">
        <f>COUNTA(data!1:1)</f>
        <v>6</v>
      </c>
    </row>
    <row r="4" spans="1:11" ht="15" x14ac:dyDescent="0.25">
      <c r="A4" s="70" t="s">
        <v>148</v>
      </c>
      <c r="B4" t="s">
        <v>147</v>
      </c>
    </row>
    <row r="5" spans="1:11" x14ac:dyDescent="0.2">
      <c r="A5" s="70" t="s">
        <v>150</v>
      </c>
      <c r="B5" s="71" t="s">
        <v>151</v>
      </c>
    </row>
    <row r="6" spans="1:11" x14ac:dyDescent="0.2">
      <c r="I6" s="70"/>
      <c r="K6" s="70"/>
    </row>
    <row r="7" spans="1:11" x14ac:dyDescent="0.2">
      <c r="A7" s="70" t="s">
        <v>152</v>
      </c>
      <c r="B7" s="71" t="e">
        <f ca="1">SUMPRODUCT(1/COUNTIF(OFFSET(data!$B$2, 0, 0, calculation!$B$1, 1), OFFSET(data!$B$2, 0, 0, calculation!$B$1, 1)))</f>
        <v>#REF!</v>
      </c>
      <c r="I7" s="70"/>
      <c r="K7" s="70"/>
    </row>
    <row r="8" spans="1:11" x14ac:dyDescent="0.2">
      <c r="A8" s="70" t="s">
        <v>153</v>
      </c>
      <c r="B8" s="71">
        <f ca="1">COUNTA('Figure 1 Background Data'!A:A)</f>
        <v>9</v>
      </c>
      <c r="I8" s="70"/>
      <c r="K8" s="70"/>
    </row>
    <row r="9" spans="1:11" x14ac:dyDescent="0.2">
      <c r="A9" s="70"/>
      <c r="I9" s="70"/>
      <c r="K9" s="70"/>
    </row>
    <row r="10" spans="1:11" x14ac:dyDescent="0.2">
      <c r="A10" s="70"/>
      <c r="I10" s="70"/>
      <c r="K10" s="70"/>
    </row>
    <row r="11" spans="1:11" x14ac:dyDescent="0.2">
      <c r="A11" s="70"/>
      <c r="I11" s="70"/>
      <c r="K11" s="70"/>
    </row>
    <row r="12" spans="1:11" x14ac:dyDescent="0.2">
      <c r="A12" s="70"/>
      <c r="I12" s="70"/>
      <c r="K12" s="70"/>
    </row>
    <row r="13" spans="1:11" x14ac:dyDescent="0.2">
      <c r="A13" s="70"/>
      <c r="I13" s="70"/>
      <c r="K13" s="70"/>
    </row>
    <row r="14" spans="1:11" x14ac:dyDescent="0.2">
      <c r="A14" s="70"/>
    </row>
    <row r="15" spans="1:11" x14ac:dyDescent="0.2">
      <c r="A15" s="70"/>
    </row>
    <row r="16" spans="1:11" x14ac:dyDescent="0.2">
      <c r="A16" s="70"/>
    </row>
    <row r="17" spans="1:1" x14ac:dyDescent="0.2">
      <c r="A17" s="70"/>
    </row>
    <row r="18" spans="1:1" x14ac:dyDescent="0.2">
      <c r="A18" s="70"/>
    </row>
    <row r="19" spans="1:1" x14ac:dyDescent="0.2">
      <c r="A19" s="70"/>
    </row>
    <row r="20" spans="1:1" x14ac:dyDescent="0.2">
      <c r="A20" s="70"/>
    </row>
    <row r="21" spans="1:1" x14ac:dyDescent="0.2">
      <c r="A21" s="70"/>
    </row>
    <row r="22" spans="1:1" x14ac:dyDescent="0.2">
      <c r="A22" s="70"/>
    </row>
    <row r="23" spans="1:1" x14ac:dyDescent="0.2">
      <c r="A23" s="70"/>
    </row>
    <row r="24" spans="1:1" x14ac:dyDescent="0.2">
      <c r="A24" s="70"/>
    </row>
    <row r="25" spans="1:1" x14ac:dyDescent="0.2">
      <c r="A25" s="70"/>
    </row>
    <row r="26" spans="1:1" x14ac:dyDescent="0.2">
      <c r="A26" s="70"/>
    </row>
    <row r="27" spans="1:1" x14ac:dyDescent="0.2">
      <c r="A27" s="7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Notes</vt:lpstr>
      <vt:lpstr>Figure 1</vt:lpstr>
      <vt:lpstr>Figure 1 Background Data</vt:lpstr>
      <vt:lpstr>Figure 2</vt:lpstr>
      <vt:lpstr>Figure 2 Background Data</vt:lpstr>
      <vt:lpstr>Figure 3</vt:lpstr>
      <vt:lpstr>Figure 3 Background Data</vt:lpstr>
      <vt:lpstr>Figure 4</vt:lpstr>
      <vt:lpstr>Figure 4 Background Data</vt:lpstr>
      <vt:lpstr>Figure 5</vt:lpstr>
      <vt:lpstr>Figure 5 Background Data</vt:lpstr>
      <vt:lpstr>External Causes of Deaths</vt:lpstr>
      <vt:lpstr>data</vt:lpstr>
      <vt:lpstr>calculation</vt:lpstr>
      <vt:lpstr>'External Causes of Deaths'!Print_Area</vt:lpstr>
      <vt:lpstr>'Figure 1'!Print_Area</vt:lpstr>
      <vt:lpstr>'Figure 2'!Print_Area</vt:lpstr>
      <vt:lpstr>'Figure 2 Background Data'!Print_Area</vt:lpstr>
      <vt:lpstr>'Figure 3'!Print_Area</vt:lpstr>
      <vt:lpstr>'Figure 3 Background Data'!Print_Area</vt:lpstr>
      <vt:lpstr>'Figure 4'!Print_Area</vt:lpstr>
      <vt:lpstr>'Figure 4 Background Data'!Print_Area</vt:lpstr>
      <vt:lpstr>'Figure 5'!Print_Area</vt:lpstr>
      <vt:lpstr>'Figure 5 Background Data'!Print_Area</vt:lpstr>
      <vt:lpstr>Notes!Print_Area</vt:lpstr>
    </vt:vector>
  </TitlesOfParts>
  <Company>NHS NSS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ruthfa01</dc:creator>
  <cp:lastModifiedBy>aliceb02</cp:lastModifiedBy>
  <cp:lastPrinted>2016-08-22T07:10:05Z</cp:lastPrinted>
  <dcterms:created xsi:type="dcterms:W3CDTF">2015-08-03T12:58:47Z</dcterms:created>
  <dcterms:modified xsi:type="dcterms:W3CDTF">2019-12-06T10:48:32Z</dcterms:modified>
</cp:coreProperties>
</file>