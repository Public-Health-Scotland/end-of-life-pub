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bookViews>
  <sheets>
    <sheet name="Notes" sheetId="1" r:id="rId1"/>
    <sheet name="Table 1 - HB" sheetId="2" r:id="rId2"/>
    <sheet name="Table 2 - HSCP" sheetId="5" r:id="rId3"/>
    <sheet name="Table 3 - CA" sheetId="12" r:id="rId4"/>
    <sheet name="Table 4 - Age Gender" sheetId="11" r:id="rId5"/>
    <sheet name="Table 5 - Deprivation" sheetId="8" r:id="rId6"/>
    <sheet name="Table 6 - Urban Rural" sheetId="9" r:id="rId7"/>
    <sheet name="External Causes of Deaths" sheetId="3" r:id="rId8"/>
    <sheet name="data" sheetId="13" r:id="rId9"/>
    <sheet name="calculation" sheetId="14" r:id="rId10"/>
  </sheets>
  <definedNames>
    <definedName name="data_range">OFFSET(data!$A$2, 0, 0, calculation!$B$1, calculation!$B$2)</definedName>
    <definedName name="fy_max">OFFSET('Table 1 - HB'!$B$6, 0, calculation!$B$6, 1, 1)</definedName>
    <definedName name="fy_range">OFFSET(data!$B$2, 0, 0, calculation!$B$1, 1)</definedName>
    <definedName name="_xlnm.Print_Area" localSheetId="7">'External Causes of Deaths'!$A$2:$E$64</definedName>
    <definedName name="_xlnm.Print_Area" localSheetId="0">Notes!$A$2:$P$47</definedName>
    <definedName name="_xlnm.Print_Area" localSheetId="1">OFFSET('Table 1 - HB'!$A$2, 0, 0, 29, calculation!$B$6+2)</definedName>
    <definedName name="_xlnm.Print_Area" localSheetId="2">OFFSET('Table 2 - HSCP'!$A$2, 0, 0, 46, calculation!$B$6+2)</definedName>
    <definedName name="_xlnm.Print_Area" localSheetId="3">OFFSET('Table 3 - CA'!$A$2, 0, 0, 47, calculation!$B$6+2)</definedName>
    <definedName name="_xlnm.Print_Area" localSheetId="4">OFFSET('Table 4 - Age Gender'!$A$2, 0, 0, 34, calculation!$B$6+3)</definedName>
    <definedName name="_xlnm.Print_Area" localSheetId="5">OFFSET('Table 5 - Deprivation'!$A$2, 0, 0, 30, calculation!$B$6+2)</definedName>
    <definedName name="_xlnm.Print_Area" localSheetId="6">OFFSET('Table 6 - Urban Rural'!$A$2, 0, 0, 28, calculation!$B$6+2)</definedName>
  </definedNames>
  <calcPr calcId="162913"/>
</workbook>
</file>

<file path=xl/calcChain.xml><?xml version="1.0" encoding="utf-8"?>
<calcChain xmlns="http://schemas.openxmlformats.org/spreadsheetml/2006/main">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2"/>
  <c r="B1" i="5" l="1"/>
  <c r="B1" i="11"/>
  <c r="B1" i="12"/>
  <c r="C6" i="12" a="1"/>
  <c r="C6" i="12" s="1"/>
  <c r="D6" i="12" s="1" a="1"/>
  <c r="D6" i="12" s="1"/>
  <c r="C6" i="5" a="1"/>
  <c r="C6" i="5" s="1"/>
  <c r="D6" i="11" a="1"/>
  <c r="D6" i="11" s="1"/>
  <c r="E6" i="11" s="1" a="1"/>
  <c r="E6" i="11" s="1"/>
  <c r="F6" i="11" s="1" a="1"/>
  <c r="F6" i="11" s="1"/>
  <c r="C7" i="8" a="1"/>
  <c r="C7" i="8" s="1"/>
  <c r="D7" i="8" s="1" a="1"/>
  <c r="D7" i="8" s="1"/>
  <c r="E7" i="8" s="1" a="1"/>
  <c r="E7" i="8" s="1"/>
  <c r="C6" i="9" a="1"/>
  <c r="C6" i="9" s="1"/>
  <c r="D6" i="9" s="1" a="1"/>
  <c r="D6" i="9" s="1"/>
  <c r="E6" i="9" s="1" a="1"/>
  <c r="E6" i="9" s="1"/>
  <c r="B6" i="14"/>
  <c r="C6" i="2" a="1"/>
  <c r="C6" i="2" s="1"/>
  <c r="E6" i="12" l="1" a="1"/>
  <c r="E6" i="12" s="1"/>
  <c r="F6" i="12" s="1" a="1"/>
  <c r="F6" i="12" s="1"/>
  <c r="G6" i="12" s="1" a="1"/>
  <c r="G6" i="12" s="1"/>
  <c r="D6" i="5" a="1"/>
  <c r="D6" i="5" s="1"/>
  <c r="E6" i="5" s="1" a="1"/>
  <c r="E6" i="5" s="1"/>
  <c r="F6" i="5" s="1" a="1"/>
  <c r="F6" i="5" s="1"/>
  <c r="F6" i="9" a="1"/>
  <c r="F6" i="9" s="1"/>
  <c r="F7" i="8" a="1"/>
  <c r="F7" i="8" s="1"/>
  <c r="G6" i="11" a="1"/>
  <c r="G6" i="11" s="1"/>
  <c r="H6" i="11" s="1" a="1"/>
  <c r="H6" i="11" s="1"/>
  <c r="D6" i="2" a="1"/>
  <c r="D6" i="2" s="1"/>
  <c r="G6" i="5" l="1" a="1"/>
  <c r="G6" i="5" s="1"/>
  <c r="H6" i="5" s="1" a="1"/>
  <c r="H6" i="5" s="1"/>
  <c r="G6" i="9" a="1"/>
  <c r="G6" i="9" s="1"/>
  <c r="G7" i="8" a="1"/>
  <c r="G7" i="8" s="1"/>
  <c r="H7" i="8" s="1" a="1"/>
  <c r="H7" i="8" s="1"/>
  <c r="I6" i="11" a="1"/>
  <c r="I6" i="11" s="1"/>
  <c r="H6" i="12" a="1"/>
  <c r="H6" i="12" s="1"/>
  <c r="E6" i="2" a="1"/>
  <c r="E6" i="2" s="1"/>
  <c r="H6" i="9" l="1" a="1"/>
  <c r="H6" i="9" s="1"/>
  <c r="I7" i="8" a="1"/>
  <c r="I7" i="8" s="1"/>
  <c r="J6" i="11" a="1"/>
  <c r="J6" i="11" s="1"/>
  <c r="I6" i="12" a="1"/>
  <c r="I6" i="12" s="1"/>
  <c r="I6" i="5" a="1"/>
  <c r="I6" i="5" s="1"/>
  <c r="F6" i="2" a="1"/>
  <c r="F6" i="2" s="1"/>
  <c r="I6" i="9" l="1" a="1"/>
  <c r="I6" i="9" s="1"/>
  <c r="J7" i="8" a="1"/>
  <c r="J7" i="8" s="1"/>
  <c r="K6" i="11" a="1"/>
  <c r="K6" i="11" s="1"/>
  <c r="J6" i="12" a="1"/>
  <c r="J6" i="12" s="1"/>
  <c r="J6" i="5" a="1"/>
  <c r="J6" i="5" s="1"/>
  <c r="G6" i="2" a="1"/>
  <c r="G6" i="2" s="1"/>
  <c r="J6" i="9" l="1" a="1"/>
  <c r="J6" i="9" s="1"/>
  <c r="K7" i="8" a="1"/>
  <c r="K7" i="8" s="1"/>
  <c r="L6" i="11" a="1"/>
  <c r="L6" i="11" s="1"/>
  <c r="K6" i="12" a="1"/>
  <c r="K6" i="12" s="1"/>
  <c r="K6" i="5" a="1"/>
  <c r="K6" i="5" s="1"/>
  <c r="H6" i="2" a="1"/>
  <c r="H6" i="2" s="1"/>
  <c r="K6" i="9" l="1" a="1"/>
  <c r="K6" i="9" s="1"/>
  <c r="I6" i="2" a="1"/>
  <c r="I6" i="2" s="1"/>
  <c r="J6" i="2" l="1" a="1"/>
  <c r="J6" i="2" s="1"/>
  <c r="K6" i="2" l="1" a="1"/>
  <c r="K6" i="2" s="1"/>
  <c r="C16" i="9" l="1"/>
  <c r="C17" i="9" s="1"/>
  <c r="E16" i="9"/>
  <c r="D16" i="9"/>
  <c r="F16" i="9"/>
  <c r="G16" i="9"/>
  <c r="H16" i="9"/>
  <c r="I16" i="9"/>
  <c r="J16" i="9"/>
  <c r="K16" i="9"/>
  <c r="C7" i="9"/>
  <c r="C13" i="9" s="1"/>
  <c r="E7" i="9"/>
  <c r="D7" i="9"/>
  <c r="F7" i="9"/>
  <c r="G7" i="9"/>
  <c r="H7" i="9"/>
  <c r="I7" i="9"/>
  <c r="J7" i="9"/>
  <c r="K7" i="9"/>
  <c r="C16" i="8"/>
  <c r="C18" i="8" s="1"/>
  <c r="E16" i="8"/>
  <c r="D16" i="8"/>
  <c r="F16" i="8"/>
  <c r="H16" i="8"/>
  <c r="G16" i="8"/>
  <c r="I16" i="8"/>
  <c r="J16" i="8"/>
  <c r="K16" i="8"/>
  <c r="C8" i="8"/>
  <c r="C11" i="8" s="1"/>
  <c r="E8" i="8"/>
  <c r="D8" i="8"/>
  <c r="F8" i="8"/>
  <c r="G8" i="8"/>
  <c r="H8" i="8"/>
  <c r="I8" i="8"/>
  <c r="J8" i="8"/>
  <c r="K8" i="8"/>
  <c r="D7" i="11"/>
  <c r="D21" i="11" s="1"/>
  <c r="F7" i="11"/>
  <c r="E7" i="11"/>
  <c r="G7" i="11"/>
  <c r="H7" i="11"/>
  <c r="I7" i="11"/>
  <c r="J7" i="11"/>
  <c r="K7" i="11"/>
  <c r="L7" i="11"/>
  <c r="C7" i="12"/>
  <c r="E7" i="12"/>
  <c r="D7" i="12"/>
  <c r="G7" i="12"/>
  <c r="F7" i="12"/>
  <c r="H7" i="12"/>
  <c r="I7" i="12"/>
  <c r="J7" i="12"/>
  <c r="K7" i="12"/>
  <c r="C7" i="5"/>
  <c r="C14" i="5" s="1"/>
  <c r="E7" i="5"/>
  <c r="D7" i="5"/>
  <c r="F7" i="5"/>
  <c r="G7" i="5"/>
  <c r="H7" i="5"/>
  <c r="I7" i="5"/>
  <c r="J7" i="5"/>
  <c r="K7" i="5"/>
  <c r="B30" i="2"/>
  <c r="B28" i="8"/>
  <c r="B29" i="9"/>
  <c r="B47" i="5"/>
  <c r="B35" i="11"/>
  <c r="B48" i="12"/>
  <c r="C15" i="1"/>
  <c r="C7" i="2"/>
  <c r="D7" i="2"/>
  <c r="E7" i="2"/>
  <c r="F7" i="2"/>
  <c r="G7" i="2"/>
  <c r="H7" i="2"/>
  <c r="I7" i="2"/>
  <c r="J7" i="2"/>
  <c r="K7" i="2"/>
  <c r="B7" i="14"/>
  <c r="J9" i="2" l="1"/>
  <c r="J13" i="2"/>
  <c r="J17" i="2"/>
  <c r="J21" i="2"/>
  <c r="J14" i="2"/>
  <c r="J12" i="2"/>
  <c r="J16" i="2"/>
  <c r="J20" i="2"/>
  <c r="J11" i="2"/>
  <c r="J15" i="2"/>
  <c r="J19" i="2"/>
  <c r="J10" i="2"/>
  <c r="J18" i="2"/>
  <c r="F8" i="2"/>
  <c r="F9" i="2"/>
  <c r="F13" i="2"/>
  <c r="F17" i="2"/>
  <c r="F21" i="2"/>
  <c r="F12" i="2"/>
  <c r="F16" i="2"/>
  <c r="F20" i="2"/>
  <c r="F11" i="2"/>
  <c r="F15" i="2"/>
  <c r="F19" i="2"/>
  <c r="F10" i="2"/>
  <c r="F14" i="2"/>
  <c r="F18" i="2"/>
  <c r="I8" i="2"/>
  <c r="I10" i="2"/>
  <c r="I14" i="2"/>
  <c r="I18" i="2"/>
  <c r="I9" i="2"/>
  <c r="I13" i="2"/>
  <c r="I17" i="2"/>
  <c r="I21" i="2"/>
  <c r="I12" i="2"/>
  <c r="I16" i="2"/>
  <c r="I20" i="2"/>
  <c r="I11" i="2"/>
  <c r="I15" i="2"/>
  <c r="I19" i="2"/>
  <c r="E8" i="2"/>
  <c r="E10" i="2"/>
  <c r="E14" i="2"/>
  <c r="E18" i="2"/>
  <c r="E19" i="2"/>
  <c r="E9" i="2"/>
  <c r="E13" i="2"/>
  <c r="E17" i="2"/>
  <c r="E21" i="2"/>
  <c r="E12" i="2"/>
  <c r="E16" i="2"/>
  <c r="E20" i="2"/>
  <c r="E11" i="2"/>
  <c r="E15" i="2"/>
  <c r="K8" i="2"/>
  <c r="K12" i="2"/>
  <c r="K16" i="2"/>
  <c r="K20" i="2"/>
  <c r="K17" i="2"/>
  <c r="K21" i="2"/>
  <c r="K11" i="2"/>
  <c r="K15" i="2"/>
  <c r="K19" i="2"/>
  <c r="K10" i="2"/>
  <c r="K14" i="2"/>
  <c r="K18" i="2"/>
  <c r="K9" i="2"/>
  <c r="K13" i="2"/>
  <c r="G8" i="2"/>
  <c r="G12" i="2"/>
  <c r="G16" i="2"/>
  <c r="G20" i="2"/>
  <c r="G9" i="2"/>
  <c r="G11" i="2"/>
  <c r="G15" i="2"/>
  <c r="G19" i="2"/>
  <c r="G10" i="2"/>
  <c r="G14" i="2"/>
  <c r="G18" i="2"/>
  <c r="G13" i="2"/>
  <c r="G17" i="2"/>
  <c r="G21" i="2"/>
  <c r="C8" i="2"/>
  <c r="C12" i="2"/>
  <c r="C16" i="2"/>
  <c r="C20" i="2"/>
  <c r="C17" i="2"/>
  <c r="C21" i="2"/>
  <c r="C11" i="2"/>
  <c r="C15" i="2"/>
  <c r="C19" i="2"/>
  <c r="C10" i="2"/>
  <c r="C14" i="2"/>
  <c r="C18" i="2"/>
  <c r="C9" i="2"/>
  <c r="C13" i="2"/>
  <c r="H8" i="2"/>
  <c r="H11" i="2"/>
  <c r="H15" i="2"/>
  <c r="H19" i="2"/>
  <c r="H10" i="2"/>
  <c r="H14" i="2"/>
  <c r="H18" i="2"/>
  <c r="H9" i="2"/>
  <c r="H13" i="2"/>
  <c r="H17" i="2"/>
  <c r="H21" i="2"/>
  <c r="H12" i="2"/>
  <c r="H16" i="2"/>
  <c r="H20" i="2"/>
  <c r="D8" i="2"/>
  <c r="D11" i="2"/>
  <c r="D15" i="2"/>
  <c r="D19" i="2"/>
  <c r="D16" i="2"/>
  <c r="D20" i="2"/>
  <c r="D10" i="2"/>
  <c r="D14" i="2"/>
  <c r="D18" i="2"/>
  <c r="D9" i="2"/>
  <c r="D13" i="2"/>
  <c r="D17" i="2"/>
  <c r="D21" i="2"/>
  <c r="D12" i="2"/>
  <c r="J8" i="2"/>
  <c r="C12" i="9"/>
  <c r="H18" i="9"/>
  <c r="H17" i="9"/>
  <c r="E17" i="9"/>
  <c r="E18" i="9"/>
  <c r="C18" i="9"/>
  <c r="K18" i="9"/>
  <c r="K17" i="9"/>
  <c r="G17" i="9"/>
  <c r="G18" i="9"/>
  <c r="I17" i="9"/>
  <c r="I18" i="9"/>
  <c r="D17" i="9"/>
  <c r="D18" i="9"/>
  <c r="J17" i="9"/>
  <c r="J18" i="9"/>
  <c r="F18" i="9"/>
  <c r="F17" i="9"/>
  <c r="K11" i="9"/>
  <c r="K8" i="9"/>
  <c r="K10" i="9"/>
  <c r="K13" i="9"/>
  <c r="K12" i="9"/>
  <c r="K9" i="9"/>
  <c r="G12" i="9"/>
  <c r="G8" i="9"/>
  <c r="G13" i="9"/>
  <c r="G9" i="9"/>
  <c r="G10" i="9"/>
  <c r="G11" i="9"/>
  <c r="H8" i="9"/>
  <c r="H12" i="9"/>
  <c r="H10" i="9"/>
  <c r="H9" i="9"/>
  <c r="H13" i="9"/>
  <c r="H11" i="9"/>
  <c r="E10" i="9"/>
  <c r="E11" i="9"/>
  <c r="E12" i="9"/>
  <c r="E8" i="9"/>
  <c r="E9" i="9"/>
  <c r="E13" i="9"/>
  <c r="I9" i="9"/>
  <c r="I13" i="9"/>
  <c r="I12" i="9"/>
  <c r="I8" i="9"/>
  <c r="I11" i="9"/>
  <c r="I10" i="9"/>
  <c r="D9" i="9"/>
  <c r="D13" i="9"/>
  <c r="D11" i="9"/>
  <c r="D8" i="9"/>
  <c r="D10" i="9"/>
  <c r="D12" i="9"/>
  <c r="C9" i="8"/>
  <c r="C11" i="9"/>
  <c r="C8" i="9"/>
  <c r="C10" i="9"/>
  <c r="C9" i="9"/>
  <c r="J12" i="9"/>
  <c r="J10" i="9"/>
  <c r="J8" i="9"/>
  <c r="J11" i="9"/>
  <c r="J9" i="9"/>
  <c r="J13" i="9"/>
  <c r="F8" i="9"/>
  <c r="F11" i="9"/>
  <c r="F10" i="9"/>
  <c r="F9" i="9"/>
  <c r="F13" i="9"/>
  <c r="F12" i="9"/>
  <c r="D8" i="11"/>
  <c r="D12" i="11"/>
  <c r="H17" i="8"/>
  <c r="H18" i="8"/>
  <c r="G17" i="8"/>
  <c r="G18" i="8"/>
  <c r="E18" i="8"/>
  <c r="E17" i="8"/>
  <c r="C17" i="8"/>
  <c r="K18" i="8"/>
  <c r="K17" i="8"/>
  <c r="I17" i="8"/>
  <c r="I18" i="8"/>
  <c r="D18" i="8"/>
  <c r="D17" i="8"/>
  <c r="J18" i="8"/>
  <c r="J17" i="8"/>
  <c r="F17" i="8"/>
  <c r="F18" i="8"/>
  <c r="C26" i="5"/>
  <c r="D24" i="11"/>
  <c r="D15" i="11"/>
  <c r="D10" i="11"/>
  <c r="D20" i="11"/>
  <c r="D25" i="11"/>
  <c r="D22" i="11"/>
  <c r="D19" i="11"/>
  <c r="H12" i="8"/>
  <c r="H11" i="8"/>
  <c r="H10" i="8"/>
  <c r="H13" i="8"/>
  <c r="H9" i="8"/>
  <c r="E10" i="8"/>
  <c r="E13" i="8"/>
  <c r="E12" i="8"/>
  <c r="E11" i="8"/>
  <c r="E9" i="8"/>
  <c r="C10" i="8"/>
  <c r="C13" i="8"/>
  <c r="I13" i="8"/>
  <c r="I12" i="8"/>
  <c r="I11" i="8"/>
  <c r="I9" i="8"/>
  <c r="I10" i="8"/>
  <c r="D9" i="8"/>
  <c r="D12" i="8"/>
  <c r="D13" i="8"/>
  <c r="D11" i="8"/>
  <c r="D10" i="8"/>
  <c r="C12" i="8"/>
  <c r="K9" i="8"/>
  <c r="K11" i="8"/>
  <c r="K10" i="8"/>
  <c r="K13" i="8"/>
  <c r="K12" i="8"/>
  <c r="G12" i="8"/>
  <c r="G9" i="8"/>
  <c r="G11" i="8"/>
  <c r="G10" i="8"/>
  <c r="G13" i="8"/>
  <c r="J10" i="8"/>
  <c r="J11" i="8"/>
  <c r="J13" i="8"/>
  <c r="J12" i="8"/>
  <c r="J9" i="8"/>
  <c r="F9" i="8"/>
  <c r="F11" i="8"/>
  <c r="F10" i="8"/>
  <c r="F13" i="8"/>
  <c r="F12" i="8"/>
  <c r="C25" i="5"/>
  <c r="C32" i="5"/>
  <c r="L11" i="11"/>
  <c r="L15" i="11"/>
  <c r="L19" i="11"/>
  <c r="L23" i="11"/>
  <c r="L10" i="11"/>
  <c r="L14" i="11"/>
  <c r="L18" i="11"/>
  <c r="L22" i="11"/>
  <c r="L9" i="11"/>
  <c r="L13" i="11"/>
  <c r="L17" i="11"/>
  <c r="L21" i="11"/>
  <c r="L25" i="11"/>
  <c r="L24" i="11"/>
  <c r="L16" i="11"/>
  <c r="L8" i="11"/>
  <c r="L20" i="11"/>
  <c r="L12" i="11"/>
  <c r="H12" i="11"/>
  <c r="H24" i="11"/>
  <c r="H11" i="11"/>
  <c r="H15" i="11"/>
  <c r="H19" i="11"/>
  <c r="H23" i="11"/>
  <c r="H10" i="11"/>
  <c r="H14" i="11"/>
  <c r="H18" i="11"/>
  <c r="H22" i="11"/>
  <c r="H9" i="11"/>
  <c r="H13" i="11"/>
  <c r="H17" i="11"/>
  <c r="H21" i="11"/>
  <c r="H25" i="11"/>
  <c r="H16" i="11"/>
  <c r="H8" i="11"/>
  <c r="H20" i="11"/>
  <c r="I8" i="11"/>
  <c r="I11" i="11"/>
  <c r="I15" i="11"/>
  <c r="I10" i="11"/>
  <c r="I14" i="11"/>
  <c r="I18" i="11"/>
  <c r="I22" i="11"/>
  <c r="I9" i="11"/>
  <c r="I13" i="11"/>
  <c r="I17" i="11"/>
  <c r="I21" i="11"/>
  <c r="I25" i="11"/>
  <c r="I12" i="11"/>
  <c r="I16" i="11"/>
  <c r="I20" i="11"/>
  <c r="I24" i="11"/>
  <c r="I23" i="11"/>
  <c r="I19" i="11"/>
  <c r="F8" i="11"/>
  <c r="F18" i="11"/>
  <c r="F9" i="11"/>
  <c r="F13" i="11"/>
  <c r="F17" i="11"/>
  <c r="F21" i="11"/>
  <c r="F25" i="11"/>
  <c r="F12" i="11"/>
  <c r="F16" i="11"/>
  <c r="F20" i="11"/>
  <c r="F24" i="11"/>
  <c r="F11" i="11"/>
  <c r="F15" i="11"/>
  <c r="F19" i="11"/>
  <c r="F23" i="11"/>
  <c r="F14" i="11"/>
  <c r="F22" i="11"/>
  <c r="F10" i="11"/>
  <c r="C12" i="5"/>
  <c r="C8" i="5"/>
  <c r="D14" i="11"/>
  <c r="D23" i="11"/>
  <c r="D16" i="11"/>
  <c r="D17" i="11"/>
  <c r="D11" i="11"/>
  <c r="J9" i="11"/>
  <c r="J13" i="11"/>
  <c r="J17" i="11"/>
  <c r="J21" i="11"/>
  <c r="J25" i="11"/>
  <c r="J12" i="11"/>
  <c r="J16" i="11"/>
  <c r="J20" i="11"/>
  <c r="J24" i="11"/>
  <c r="J11" i="11"/>
  <c r="J15" i="11"/>
  <c r="J19" i="11"/>
  <c r="J23" i="11"/>
  <c r="J10" i="11"/>
  <c r="J18" i="11"/>
  <c r="J22" i="11"/>
  <c r="J8" i="11"/>
  <c r="J14" i="11"/>
  <c r="E10" i="11"/>
  <c r="E14" i="11"/>
  <c r="E18" i="11"/>
  <c r="E22" i="11"/>
  <c r="E9" i="11"/>
  <c r="E13" i="11"/>
  <c r="E17" i="11"/>
  <c r="E21" i="11"/>
  <c r="E25" i="11"/>
  <c r="E11" i="11"/>
  <c r="E8" i="11"/>
  <c r="E15" i="11"/>
  <c r="E12" i="11"/>
  <c r="E16" i="11"/>
  <c r="E20" i="11"/>
  <c r="E24" i="11"/>
  <c r="E19" i="11"/>
  <c r="E23" i="11"/>
  <c r="K9" i="11"/>
  <c r="K25" i="11"/>
  <c r="K12" i="11"/>
  <c r="K16" i="11"/>
  <c r="K20" i="11"/>
  <c r="K24" i="11"/>
  <c r="K11" i="11"/>
  <c r="K15" i="11"/>
  <c r="K19" i="11"/>
  <c r="K23" i="11"/>
  <c r="K10" i="11"/>
  <c r="K14" i="11"/>
  <c r="K18" i="11"/>
  <c r="K22" i="11"/>
  <c r="K13" i="11"/>
  <c r="K21" i="11"/>
  <c r="K17" i="11"/>
  <c r="K8" i="11"/>
  <c r="G12" i="11"/>
  <c r="G16" i="11"/>
  <c r="G20" i="11"/>
  <c r="G24" i="11"/>
  <c r="G11" i="11"/>
  <c r="G15" i="11"/>
  <c r="G19" i="11"/>
  <c r="G23" i="11"/>
  <c r="G17" i="11"/>
  <c r="G21" i="11"/>
  <c r="G9" i="11"/>
  <c r="G25" i="11"/>
  <c r="G10" i="11"/>
  <c r="G14" i="11"/>
  <c r="G18" i="11"/>
  <c r="G22" i="11"/>
  <c r="G8" i="11"/>
  <c r="G13" i="11"/>
  <c r="C13" i="5"/>
  <c r="D13" i="11"/>
  <c r="D9" i="11"/>
  <c r="D18" i="11"/>
  <c r="C20" i="5"/>
  <c r="C39" i="5"/>
  <c r="C31" i="5"/>
  <c r="C38" i="5"/>
  <c r="C11" i="5"/>
  <c r="C19" i="5"/>
  <c r="C36" i="5"/>
  <c r="C17" i="5"/>
  <c r="C33" i="5"/>
  <c r="C24" i="5"/>
  <c r="C27" i="5"/>
  <c r="C30" i="5"/>
  <c r="C22" i="5"/>
  <c r="C29" i="5"/>
  <c r="C16" i="5"/>
  <c r="C34" i="5"/>
  <c r="C21" i="5"/>
  <c r="C28" i="5"/>
  <c r="K11" i="5"/>
  <c r="AC11" i="5" s="1"/>
  <c r="K13" i="5"/>
  <c r="AC13" i="5" s="1"/>
  <c r="K21" i="5"/>
  <c r="AC21" i="5" s="1"/>
  <c r="K25" i="5"/>
  <c r="AC25" i="5" s="1"/>
  <c r="K28" i="5"/>
  <c r="AC28" i="5" s="1"/>
  <c r="K27" i="5"/>
  <c r="AC27" i="5" s="1"/>
  <c r="K37" i="5"/>
  <c r="AC37" i="5" s="1"/>
  <c r="K16" i="5"/>
  <c r="AC16" i="5" s="1"/>
  <c r="K24" i="5"/>
  <c r="AC24" i="5" s="1"/>
  <c r="K32" i="5"/>
  <c r="AC32" i="5" s="1"/>
  <c r="K35" i="5"/>
  <c r="AC35" i="5" s="1"/>
  <c r="K20" i="5"/>
  <c r="AC20" i="5" s="1"/>
  <c r="K10" i="5"/>
  <c r="AC10" i="5" s="1"/>
  <c r="K14" i="5"/>
  <c r="AC14" i="5" s="1"/>
  <c r="K18" i="5"/>
  <c r="AC18" i="5" s="1"/>
  <c r="K22" i="5"/>
  <c r="AC22" i="5" s="1"/>
  <c r="K26" i="5"/>
  <c r="AC26" i="5" s="1"/>
  <c r="K30" i="5"/>
  <c r="AC30" i="5" s="1"/>
  <c r="K34" i="5"/>
  <c r="AC34" i="5" s="1"/>
  <c r="K38" i="5"/>
  <c r="AC38" i="5" s="1"/>
  <c r="K29" i="5"/>
  <c r="AC29" i="5" s="1"/>
  <c r="K33" i="5"/>
  <c r="AC33" i="5" s="1"/>
  <c r="K9" i="5"/>
  <c r="AC9" i="5" s="1"/>
  <c r="K39" i="5"/>
  <c r="AC39" i="5" s="1"/>
  <c r="K17" i="5"/>
  <c r="AC17" i="5" s="1"/>
  <c r="K15" i="5"/>
  <c r="AC15" i="5" s="1"/>
  <c r="K23" i="5"/>
  <c r="AC23" i="5" s="1"/>
  <c r="K19" i="5"/>
  <c r="AC19" i="5" s="1"/>
  <c r="K8" i="5"/>
  <c r="AC8" i="5" s="1"/>
  <c r="K31" i="5"/>
  <c r="AC31" i="5" s="1"/>
  <c r="K12" i="5"/>
  <c r="AC12" i="5" s="1"/>
  <c r="K36" i="5"/>
  <c r="AC36" i="5" s="1"/>
  <c r="G8" i="5"/>
  <c r="G25" i="5"/>
  <c r="G13" i="5"/>
  <c r="G12" i="5"/>
  <c r="G28" i="5"/>
  <c r="G20" i="5"/>
  <c r="G31" i="5"/>
  <c r="G16" i="5"/>
  <c r="G37" i="5"/>
  <c r="G24" i="5"/>
  <c r="G39" i="5"/>
  <c r="G17" i="5"/>
  <c r="G11" i="5"/>
  <c r="G21" i="5"/>
  <c r="G10" i="5"/>
  <c r="G14" i="5"/>
  <c r="G18" i="5"/>
  <c r="G22" i="5"/>
  <c r="G26" i="5"/>
  <c r="G30" i="5"/>
  <c r="G34" i="5"/>
  <c r="G38" i="5"/>
  <c r="G9" i="5"/>
  <c r="G19" i="5"/>
  <c r="G27" i="5"/>
  <c r="G15" i="5"/>
  <c r="G23" i="5"/>
  <c r="G32" i="5"/>
  <c r="G35" i="5"/>
  <c r="G36" i="5"/>
  <c r="G29" i="5"/>
  <c r="G33" i="5"/>
  <c r="H16" i="5"/>
  <c r="AA16" i="5" s="1"/>
  <c r="H35" i="5"/>
  <c r="AA35" i="5" s="1"/>
  <c r="H30" i="5"/>
  <c r="AA30" i="5" s="1"/>
  <c r="H34" i="5"/>
  <c r="AA34" i="5" s="1"/>
  <c r="H24" i="5"/>
  <c r="AA24" i="5" s="1"/>
  <c r="H28" i="5"/>
  <c r="AA28" i="5" s="1"/>
  <c r="H11" i="5"/>
  <c r="AA11" i="5" s="1"/>
  <c r="H36" i="5"/>
  <c r="AA36" i="5" s="1"/>
  <c r="H19" i="5"/>
  <c r="AA19" i="5" s="1"/>
  <c r="H27" i="5"/>
  <c r="AA27" i="5" s="1"/>
  <c r="H38" i="5"/>
  <c r="AA38" i="5" s="1"/>
  <c r="H18" i="5"/>
  <c r="AA18" i="5" s="1"/>
  <c r="H26" i="5"/>
  <c r="AA26" i="5" s="1"/>
  <c r="H31" i="5"/>
  <c r="AA31" i="5" s="1"/>
  <c r="H39" i="5"/>
  <c r="AA39" i="5" s="1"/>
  <c r="H23" i="5"/>
  <c r="AA23" i="5" s="1"/>
  <c r="H12" i="5"/>
  <c r="AA12" i="5" s="1"/>
  <c r="H10" i="5"/>
  <c r="AA10" i="5" s="1"/>
  <c r="H20" i="5"/>
  <c r="AA20" i="5" s="1"/>
  <c r="H15" i="5"/>
  <c r="AA15" i="5" s="1"/>
  <c r="H32" i="5"/>
  <c r="AA32" i="5" s="1"/>
  <c r="H8" i="5"/>
  <c r="AA8" i="5" s="1"/>
  <c r="H9" i="5"/>
  <c r="AA9" i="5" s="1"/>
  <c r="H13" i="5"/>
  <c r="AA13" i="5" s="1"/>
  <c r="H17" i="5"/>
  <c r="AA17" i="5" s="1"/>
  <c r="H21" i="5"/>
  <c r="AA21" i="5" s="1"/>
  <c r="H25" i="5"/>
  <c r="AA25" i="5" s="1"/>
  <c r="H29" i="5"/>
  <c r="AA29" i="5" s="1"/>
  <c r="H33" i="5"/>
  <c r="AA33" i="5" s="1"/>
  <c r="H37" i="5"/>
  <c r="AA37" i="5" s="1"/>
  <c r="H14" i="5"/>
  <c r="AA14" i="5" s="1"/>
  <c r="H22" i="5"/>
  <c r="AA22" i="5" s="1"/>
  <c r="E39" i="5"/>
  <c r="E19" i="5"/>
  <c r="E21" i="5"/>
  <c r="E29" i="5"/>
  <c r="E17" i="5"/>
  <c r="E25" i="5"/>
  <c r="E31" i="5"/>
  <c r="E34" i="5"/>
  <c r="E37" i="5"/>
  <c r="E26" i="5"/>
  <c r="E33" i="5"/>
  <c r="E10" i="5"/>
  <c r="E35" i="5"/>
  <c r="E11" i="5"/>
  <c r="E18" i="5"/>
  <c r="E30" i="5"/>
  <c r="E9" i="5"/>
  <c r="E13" i="5"/>
  <c r="E12" i="5"/>
  <c r="E16" i="5"/>
  <c r="E20" i="5"/>
  <c r="E24" i="5"/>
  <c r="E28" i="5"/>
  <c r="E32" i="5"/>
  <c r="E36" i="5"/>
  <c r="E15" i="5"/>
  <c r="E23" i="5"/>
  <c r="E8" i="5"/>
  <c r="E14" i="5"/>
  <c r="E22" i="5"/>
  <c r="E27" i="5"/>
  <c r="E38" i="5"/>
  <c r="C9" i="5"/>
  <c r="C35" i="5"/>
  <c r="C10" i="5"/>
  <c r="C15" i="5"/>
  <c r="C18" i="5"/>
  <c r="C23" i="5"/>
  <c r="C37" i="5"/>
  <c r="I9" i="5"/>
  <c r="I13" i="5"/>
  <c r="I19" i="5"/>
  <c r="I17" i="5"/>
  <c r="I25" i="5"/>
  <c r="I21" i="5"/>
  <c r="I8" i="5"/>
  <c r="I14" i="5"/>
  <c r="I12" i="5"/>
  <c r="I16" i="5"/>
  <c r="I20" i="5"/>
  <c r="I24" i="5"/>
  <c r="I28" i="5"/>
  <c r="I32" i="5"/>
  <c r="I36" i="5"/>
  <c r="I10" i="5"/>
  <c r="I30" i="5"/>
  <c r="I33" i="5"/>
  <c r="I37" i="5"/>
  <c r="I29" i="5"/>
  <c r="I39" i="5"/>
  <c r="I22" i="5"/>
  <c r="I11" i="5"/>
  <c r="I15" i="5"/>
  <c r="I23" i="5"/>
  <c r="I35" i="5"/>
  <c r="I27" i="5"/>
  <c r="I18" i="5"/>
  <c r="I26" i="5"/>
  <c r="I31" i="5"/>
  <c r="I34" i="5"/>
  <c r="I38" i="5"/>
  <c r="D9" i="5"/>
  <c r="D13" i="5"/>
  <c r="D17" i="5"/>
  <c r="D21" i="5"/>
  <c r="D25" i="5"/>
  <c r="D29" i="5"/>
  <c r="D33" i="5"/>
  <c r="D37" i="5"/>
  <c r="D38" i="5"/>
  <c r="D19" i="5"/>
  <c r="D11" i="5"/>
  <c r="D28" i="5"/>
  <c r="D12" i="5"/>
  <c r="D8" i="5"/>
  <c r="D36" i="5"/>
  <c r="D15" i="5"/>
  <c r="D23" i="5"/>
  <c r="D10" i="5"/>
  <c r="D20" i="5"/>
  <c r="D14" i="5"/>
  <c r="D22" i="5"/>
  <c r="D16" i="5"/>
  <c r="D24" i="5"/>
  <c r="D32" i="5"/>
  <c r="D30" i="5"/>
  <c r="D35" i="5"/>
  <c r="D27" i="5"/>
  <c r="D39" i="5"/>
  <c r="D18" i="5"/>
  <c r="D26" i="5"/>
  <c r="D34" i="5"/>
  <c r="D31" i="5"/>
  <c r="J38" i="5"/>
  <c r="AB38" i="5" s="1"/>
  <c r="J39" i="5"/>
  <c r="AB39" i="5" s="1"/>
  <c r="J16" i="5"/>
  <c r="AB16" i="5" s="1"/>
  <c r="J24" i="5"/>
  <c r="AB24" i="5" s="1"/>
  <c r="J32" i="5"/>
  <c r="AB32" i="5" s="1"/>
  <c r="J8" i="5"/>
  <c r="AB8" i="5" s="1"/>
  <c r="J20" i="5"/>
  <c r="AB20" i="5" s="1"/>
  <c r="J36" i="5"/>
  <c r="AB36" i="5" s="1"/>
  <c r="J35" i="5"/>
  <c r="AB35" i="5" s="1"/>
  <c r="J22" i="5"/>
  <c r="AB22" i="5" s="1"/>
  <c r="J30" i="5"/>
  <c r="AB30" i="5" s="1"/>
  <c r="J33" i="5"/>
  <c r="AB33" i="5" s="1"/>
  <c r="J18" i="5"/>
  <c r="AB18" i="5" s="1"/>
  <c r="J12" i="5"/>
  <c r="AB12" i="5" s="1"/>
  <c r="J26" i="5"/>
  <c r="AB26" i="5" s="1"/>
  <c r="J10" i="5"/>
  <c r="AB10" i="5" s="1"/>
  <c r="J9" i="5"/>
  <c r="AB9" i="5" s="1"/>
  <c r="J21" i="5"/>
  <c r="AB21" i="5" s="1"/>
  <c r="J13" i="5"/>
  <c r="AB13" i="5" s="1"/>
  <c r="J11" i="5"/>
  <c r="AB11" i="5" s="1"/>
  <c r="J15" i="5"/>
  <c r="AB15" i="5" s="1"/>
  <c r="J19" i="5"/>
  <c r="AB19" i="5" s="1"/>
  <c r="J23" i="5"/>
  <c r="AB23" i="5" s="1"/>
  <c r="J27" i="5"/>
  <c r="AB27" i="5" s="1"/>
  <c r="J31" i="5"/>
  <c r="AB31" i="5" s="1"/>
  <c r="J14" i="5"/>
  <c r="AB14" i="5" s="1"/>
  <c r="J34" i="5"/>
  <c r="AB34" i="5" s="1"/>
  <c r="J37" i="5"/>
  <c r="AB37" i="5" s="1"/>
  <c r="J29" i="5"/>
  <c r="AB29" i="5" s="1"/>
  <c r="J17" i="5"/>
  <c r="AB17" i="5" s="1"/>
  <c r="J25" i="5"/>
  <c r="AB25" i="5" s="1"/>
  <c r="J28" i="5"/>
  <c r="AB28" i="5" s="1"/>
  <c r="F11" i="5"/>
  <c r="F15" i="5"/>
  <c r="F19" i="5"/>
  <c r="F23" i="5"/>
  <c r="F27" i="5"/>
  <c r="F31" i="5"/>
  <c r="F35" i="5"/>
  <c r="F10" i="5"/>
  <c r="F33" i="5"/>
  <c r="F13" i="5"/>
  <c r="F8" i="5"/>
  <c r="F18" i="5"/>
  <c r="F20" i="5"/>
  <c r="F36" i="5"/>
  <c r="F16" i="5"/>
  <c r="F24" i="5"/>
  <c r="F28" i="5"/>
  <c r="F9" i="5"/>
  <c r="F32" i="5"/>
  <c r="F30" i="5"/>
  <c r="F17" i="5"/>
  <c r="F12" i="5"/>
  <c r="F14" i="5"/>
  <c r="F26" i="5"/>
  <c r="F37" i="5"/>
  <c r="F39" i="5"/>
  <c r="F25" i="5"/>
  <c r="F38" i="5"/>
  <c r="F34" i="5"/>
  <c r="F29" i="5"/>
  <c r="F22" i="5"/>
  <c r="F21" i="5"/>
  <c r="G22" i="2"/>
  <c r="C22" i="2"/>
  <c r="H22" i="2"/>
  <c r="D22" i="2"/>
  <c r="J22" i="2"/>
  <c r="I22" i="2"/>
  <c r="E22" i="2"/>
  <c r="F22" i="2"/>
  <c r="K22" i="2"/>
  <c r="C28" i="12" l="1"/>
  <c r="C15" i="12"/>
  <c r="C36" i="12"/>
  <c r="C40" i="12"/>
  <c r="C26" i="12"/>
  <c r="C22" i="12"/>
  <c r="C11" i="12"/>
  <c r="C29" i="12"/>
  <c r="C37" i="12"/>
  <c r="C39" i="12"/>
  <c r="C20" i="12"/>
  <c r="C9" i="12"/>
  <c r="C32" i="12"/>
  <c r="C16" i="12"/>
  <c r="C34" i="12"/>
  <c r="C12" i="12"/>
  <c r="C18" i="12"/>
  <c r="C14" i="12"/>
  <c r="C25" i="12"/>
  <c r="C10" i="12"/>
  <c r="C13" i="12"/>
  <c r="C30" i="12"/>
  <c r="C35" i="12"/>
  <c r="C19" i="12"/>
  <c r="C24" i="12"/>
  <c r="C23" i="12"/>
  <c r="C33" i="12"/>
  <c r="C38" i="12"/>
  <c r="C27" i="12"/>
  <c r="C21" i="12"/>
  <c r="C17" i="12"/>
  <c r="C8" i="12"/>
  <c r="C31" i="12"/>
  <c r="F14" i="12"/>
  <c r="F16" i="12"/>
  <c r="F18" i="12"/>
  <c r="F12" i="12"/>
  <c r="F21" i="12"/>
  <c r="F23" i="12"/>
  <c r="F25" i="12"/>
  <c r="F28" i="12"/>
  <c r="F26" i="12"/>
  <c r="F30" i="12"/>
  <c r="F32" i="12"/>
  <c r="F34" i="12"/>
  <c r="F36" i="12"/>
  <c r="F38" i="12"/>
  <c r="F19" i="12"/>
  <c r="F27" i="12"/>
  <c r="F15" i="12"/>
  <c r="F13" i="12"/>
  <c r="F17" i="12"/>
  <c r="F20" i="12"/>
  <c r="F24" i="12"/>
  <c r="F29" i="12"/>
  <c r="F33" i="12"/>
  <c r="F37" i="12"/>
  <c r="F11" i="12"/>
  <c r="F35" i="12"/>
  <c r="F10" i="12"/>
  <c r="F31" i="12"/>
  <c r="F22" i="12"/>
  <c r="F9" i="12"/>
  <c r="F39" i="12"/>
  <c r="F8" i="12"/>
  <c r="F40" i="12"/>
  <c r="H25" i="12"/>
  <c r="H36" i="12"/>
  <c r="H14" i="12"/>
  <c r="H27" i="12"/>
  <c r="H34" i="12"/>
  <c r="H13" i="12"/>
  <c r="H24" i="12"/>
  <c r="H10" i="12"/>
  <c r="H40" i="12"/>
  <c r="H38" i="12"/>
  <c r="H30" i="12"/>
  <c r="H19" i="12"/>
  <c r="H20" i="12"/>
  <c r="H22" i="12"/>
  <c r="H37" i="12"/>
  <c r="H29" i="12"/>
  <c r="H26" i="12"/>
  <c r="H15" i="12"/>
  <c r="H35" i="12"/>
  <c r="H39" i="12"/>
  <c r="H9" i="12"/>
  <c r="H31" i="12"/>
  <c r="H18" i="12"/>
  <c r="H21" i="12"/>
  <c r="H33" i="12"/>
  <c r="H17" i="12"/>
  <c r="H16" i="12"/>
  <c r="H11" i="12"/>
  <c r="H28" i="12"/>
  <c r="H32" i="12"/>
  <c r="H23" i="12"/>
  <c r="H8" i="12"/>
  <c r="H12" i="12"/>
  <c r="E18" i="12"/>
  <c r="E19" i="12"/>
  <c r="E21" i="12"/>
  <c r="E22" i="12"/>
  <c r="E9" i="12"/>
  <c r="E10" i="12"/>
  <c r="E14" i="12"/>
  <c r="E15" i="12"/>
  <c r="E34" i="12"/>
  <c r="E35" i="12"/>
  <c r="E38" i="12"/>
  <c r="E39" i="12"/>
  <c r="E25" i="12"/>
  <c r="E26" i="12"/>
  <c r="E30" i="12"/>
  <c r="E32" i="12"/>
  <c r="E37" i="12"/>
  <c r="E40" i="12"/>
  <c r="E16" i="12"/>
  <c r="E31" i="12"/>
  <c r="E12" i="12"/>
  <c r="E36" i="12"/>
  <c r="E23" i="12"/>
  <c r="E27" i="12"/>
  <c r="E17" i="12"/>
  <c r="E11" i="12"/>
  <c r="E13" i="12"/>
  <c r="E20" i="12"/>
  <c r="E24" i="12"/>
  <c r="E33" i="12"/>
  <c r="E29" i="12"/>
  <c r="E8" i="12"/>
  <c r="E28" i="12"/>
  <c r="I10" i="12"/>
  <c r="I12" i="12"/>
  <c r="I15" i="12"/>
  <c r="I36" i="12"/>
  <c r="I19" i="12"/>
  <c r="I23" i="12"/>
  <c r="I22" i="12"/>
  <c r="I37" i="12"/>
  <c r="I26" i="12"/>
  <c r="I9" i="12"/>
  <c r="I31" i="12"/>
  <c r="I14" i="12"/>
  <c r="I35" i="12"/>
  <c r="I18" i="12"/>
  <c r="I39" i="12"/>
  <c r="I21" i="12"/>
  <c r="I25" i="12"/>
  <c r="I30" i="12"/>
  <c r="I34" i="12"/>
  <c r="I40" i="12"/>
  <c r="I16" i="12"/>
  <c r="I32" i="12"/>
  <c r="I27" i="12"/>
  <c r="I38" i="12"/>
  <c r="I13" i="12"/>
  <c r="I24" i="12"/>
  <c r="I17" i="12"/>
  <c r="I20" i="12"/>
  <c r="I11" i="12"/>
  <c r="I28" i="12"/>
  <c r="I33" i="12"/>
  <c r="I8" i="12"/>
  <c r="I29" i="12"/>
  <c r="D11" i="12"/>
  <c r="D35" i="12"/>
  <c r="D16" i="12"/>
  <c r="D39" i="12"/>
  <c r="D12" i="12"/>
  <c r="D9" i="12"/>
  <c r="D23" i="12"/>
  <c r="D14" i="12"/>
  <c r="D40" i="12"/>
  <c r="D28" i="12"/>
  <c r="D18" i="12"/>
  <c r="D32" i="12"/>
  <c r="D21" i="12"/>
  <c r="D36" i="12"/>
  <c r="D25" i="12"/>
  <c r="D27" i="12"/>
  <c r="D30" i="12"/>
  <c r="D34" i="12"/>
  <c r="D20" i="12"/>
  <c r="D17" i="12"/>
  <c r="D33" i="12"/>
  <c r="D38" i="12"/>
  <c r="D13" i="12"/>
  <c r="D29" i="12"/>
  <c r="D10" i="12"/>
  <c r="D24" i="12"/>
  <c r="D37" i="12"/>
  <c r="D15" i="12"/>
  <c r="D26" i="12"/>
  <c r="D31" i="12"/>
  <c r="D19" i="12"/>
  <c r="D8" i="12"/>
  <c r="D22" i="12"/>
  <c r="K30" i="12"/>
  <c r="K36" i="12"/>
  <c r="K39" i="12"/>
  <c r="K23" i="12"/>
  <c r="K38" i="12"/>
  <c r="K28" i="12"/>
  <c r="K14" i="12"/>
  <c r="K32" i="12"/>
  <c r="K34" i="12"/>
  <c r="K22" i="12"/>
  <c r="K40" i="12"/>
  <c r="K10" i="12"/>
  <c r="K27" i="12"/>
  <c r="K15" i="12"/>
  <c r="K18" i="12"/>
  <c r="K19" i="12"/>
  <c r="K25" i="12"/>
  <c r="K26" i="12"/>
  <c r="K31" i="12"/>
  <c r="K9" i="12"/>
  <c r="K12" i="12"/>
  <c r="K35" i="12"/>
  <c r="K11" i="12"/>
  <c r="K16" i="12"/>
  <c r="K20" i="12"/>
  <c r="K13" i="12"/>
  <c r="K21" i="12"/>
  <c r="K17" i="12"/>
  <c r="K29" i="12"/>
  <c r="K33" i="12"/>
  <c r="K37" i="12"/>
  <c r="K8" i="12"/>
  <c r="K24" i="12"/>
  <c r="J12" i="12"/>
  <c r="J34" i="12"/>
  <c r="J23" i="12"/>
  <c r="J38" i="12"/>
  <c r="J11" i="12"/>
  <c r="J25" i="12"/>
  <c r="J16" i="12"/>
  <c r="J30" i="12"/>
  <c r="J31" i="12"/>
  <c r="J15" i="12"/>
  <c r="J28" i="12"/>
  <c r="J32" i="12"/>
  <c r="J10" i="12"/>
  <c r="J26" i="12"/>
  <c r="J19" i="12"/>
  <c r="J39" i="12"/>
  <c r="J40" i="12"/>
  <c r="J36" i="12"/>
  <c r="J22" i="12"/>
  <c r="J21" i="12"/>
  <c r="J9" i="12"/>
  <c r="J14" i="12"/>
  <c r="J20" i="12"/>
  <c r="J13" i="12"/>
  <c r="J17" i="12"/>
  <c r="J18" i="12"/>
  <c r="J24" i="12"/>
  <c r="J35" i="12"/>
  <c r="J29" i="12"/>
  <c r="J37" i="12"/>
  <c r="J27" i="12"/>
  <c r="J8" i="12"/>
  <c r="J33" i="12"/>
  <c r="G38" i="12"/>
  <c r="G22" i="12"/>
  <c r="G28" i="12"/>
  <c r="G13" i="12"/>
  <c r="G32" i="12"/>
  <c r="G17" i="12"/>
  <c r="G12" i="12"/>
  <c r="G18" i="12"/>
  <c r="G23" i="12"/>
  <c r="G35" i="12"/>
  <c r="G29" i="12"/>
  <c r="G33" i="12"/>
  <c r="G20" i="12"/>
  <c r="G34" i="12"/>
  <c r="G9" i="12"/>
  <c r="G36" i="12"/>
  <c r="G27" i="12"/>
  <c r="G10" i="12"/>
  <c r="G15" i="12"/>
  <c r="G14" i="12"/>
  <c r="G30" i="12"/>
  <c r="G26" i="12"/>
  <c r="G19" i="12"/>
  <c r="G31" i="12"/>
  <c r="G11" i="12"/>
  <c r="G21" i="12"/>
  <c r="G39" i="12"/>
  <c r="G37" i="12"/>
  <c r="G24" i="12"/>
  <c r="G40" i="12"/>
  <c r="G16" i="12"/>
  <c r="G8" i="12"/>
  <c r="G25" i="12"/>
</calcChain>
</file>

<file path=xl/sharedStrings.xml><?xml version="1.0" encoding="utf-8"?>
<sst xmlns="http://schemas.openxmlformats.org/spreadsheetml/2006/main" count="283" uniqueCount="208">
  <si>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</si>
  <si>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</si>
  <si>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</si>
  <si>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</si>
  <si>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</si>
  <si>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</si>
  <si>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</si>
  <si>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</si>
  <si>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</si>
  <si>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</si>
  <si>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</si>
  <si>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</si>
  <si>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</si>
  <si>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</si>
  <si>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</si>
  <si>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</si>
  <si>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</si>
  <si>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</si>
  <si>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</si>
  <si>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</si>
  <si>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</si>
  <si>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</si>
  <si>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</si>
  <si>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</si>
  <si>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</si>
  <si>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</si>
  <si>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</si>
  <si>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</si>
  <si>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</si>
  <si>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</si>
  <si>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</si>
  <si>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</si>
  <si>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</si>
  <si>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</si>
  <si>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</si>
  <si>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</si>
  <si>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</si>
  <si>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</si>
  <si>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</si>
  <si>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</si>
  <si>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</si>
  <si>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</si>
  <si>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</si>
  <si>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</si>
  <si>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</si>
  <si>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</si>
  <si>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</si>
  <si>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</si>
  <si>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</si>
  <si>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</si>
  <si>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</si>
  <si>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</si>
  <si>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</si>
  <si>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</si>
  <si>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</si>
  <si>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</si>
  <si>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</si>
  <si>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</si>
  <si>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</si>
  <si>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</si>
  <si>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</si>
  <si>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</si>
  <si>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</si>
  <si>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</si>
  <si>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</si>
  <si>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</si>
  <si>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</si>
  <si>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</si>
  <si>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</si>
  <si>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</si>
  <si>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</si>
  <si>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</si>
  <si>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</si>
  <si>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</si>
  <si>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</si>
  <si>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</si>
  <si>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</si>
  <si>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</si>
  <si>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</si>
  <si>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</si>
  <si>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</si>
  <si>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</si>
  <si>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</si>
  <si>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</si>
  <si>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</si>
  <si>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</si>
  <si>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</si>
  <si>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</si>
  <si>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</si>
  <si>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</si>
  <si>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</si>
  <si>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</si>
  <si>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</si>
  <si>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</si>
  <si>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</si>
  <si>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</si>
  <si>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</si>
  <si>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</si>
  <si>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</si>
  <si>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</si>
  <si>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</si>
  <si>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</si>
  <si>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</si>
  <si>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</si>
  <si>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</si>
  <si>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</si>
  <si>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</si>
  <si>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</si>
  <si>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</si>
  <si>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</si>
  <si>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</si>
  <si>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</si>
  <si>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</si>
  <si>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</si>
  <si>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</si>
  <si>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</si>
  <si>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</si>
  <si>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</si>
  <si>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</si>
  <si>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</si>
  <si>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</si>
  <si>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</si>
  <si>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</si>
  <si>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</si>
  <si>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</si>
  <si>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</si>
  <si>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</si>
  <si>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</si>
  <si>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</si>
  <si>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</si>
  <si>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</si>
  <si>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</si>
  <si>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</si>
  <si>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</si>
  <si>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</si>
  <si>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</si>
  <si>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</si>
  <si>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</si>
  <si>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</si>
  <si>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</si>
  <si>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</si>
  <si>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</si>
  <si>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</si>
  <si>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</si>
  <si>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</si>
  <si>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</si>
  <si>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</si>
  <si>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</si>
  <si>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</si>
  <si>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</si>
  <si>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</si>
  <si>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</si>
  <si>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</si>
  <si>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</si>
  <si>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</si>
  <si>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</si>
  <si>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</si>
  <si>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</si>
  <si>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</si>
  <si>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</si>
  <si>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</si>
  <si>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</si>
  <si>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t xml:space="preserve">                               Financial Year Ending 31st March </t>
  </si>
  <si>
    <t>Clackmannanshire</t>
  </si>
  <si>
    <t>Stirling</t>
  </si>
  <si>
    <t>Table 3: Percentage of time in the last six months of life spent at home or in a community setting (by Local Authority)</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</si>
  <si>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</si>
  <si>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</si>
  <si>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</si>
  <si>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</si>
  <si>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</si>
  <si>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</si>
  <si>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</si>
  <si>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</si>
  <si>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</si>
  <si>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</si>
  <si>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</si>
  <si>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</si>
  <si>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</si>
  <si>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</si>
  <si>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</si>
  <si>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</si>
  <si>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</si>
  <si>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</si>
  <si>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</si>
  <si>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</si>
  <si>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</si>
  <si>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</si>
  <si>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</si>
  <si>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</si>
  <si>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</si>
  <si>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</si>
  <si>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</si>
  <si>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</si>
  <si>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</si>
  <si>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</si>
  <si>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</si>
  <si>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</si>
  <si>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</si>
  <si>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</si>
  <si>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</si>
  <si>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</si>
  <si>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City of Edinburgh</t>
  </si>
  <si>
    <t>Na h-Eileanan Siar</t>
  </si>
  <si>
    <t xml:space="preserve">For more information on Urban / Rural classification see: </t>
  </si>
  <si>
    <r>
      <t>(Council Area)</t>
    </r>
    <r>
      <rPr>
        <b/>
        <vertAlign val="superscript"/>
        <sz val="12"/>
        <color indexed="12"/>
        <rFont val="Arial"/>
        <family val="2"/>
      </rPr>
      <t>1</t>
    </r>
  </si>
  <si>
    <t>Council Area</t>
  </si>
  <si>
    <t>Table 3: Percentage of time in the last six months of life spent at home or in a community setting (by Council 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</si>
</sst>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u/>
      <sz val="10"/>
      <color rgb="FF0000FF"/>
      <name val="Arial"/>
      <family val="2"/>
    </font>
    <font>
      <b/>
      <sz val="12"/>
      <color rgb="FFFF0000"/>
      <name val="Arial"/>
      <family val="2"/>
    </font>
    <font>
      <sz val="10"/>
      <name val="Arial"/>
    </font>
    <font>
      <sz val="10"/>
      <color theme="0"/>
      <name val="Arial"/>
      <family val="2"/>
    </font>
  </fonts>
  <fills count="2">
    <fill>
      <patternFill patternType="none"/>
    </fill>
    <fill>
      <patternFill patternType="gray125"/>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1" fillId="0" borderId="0"/>
  </cellStyleXfs>
  <cellXfs count="108">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2" fillId="0" borderId="0" xfId="0" applyFont="1" applyFill="1"/>
    <xf numFmtId="0" fontId="6" fillId="0" borderId="0" xfId="0" applyFont="1" applyFill="1"/>
    <xf numFmtId="0" fontId="4" fillId="0" borderId="0" xfId="1" applyFont="1" applyFill="1" applyAlignment="1" applyProtection="1"/>
    <xf numFmtId="0" fontId="12" fillId="0" borderId="0" xfId="0" applyFont="1" applyFill="1"/>
    <xf numFmtId="0" fontId="19" fillId="0" borderId="0" xfId="1" applyFont="1" applyFill="1" applyBorder="1" applyAlignment="1" applyProtection="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2"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5" fillId="0" borderId="0" xfId="0" applyFont="1" applyFill="1" applyAlignment="1"/>
    <xf numFmtId="0" fontId="18" fillId="0" borderId="0" xfId="0" applyFont="1" applyFill="1"/>
    <xf numFmtId="0" fontId="15" fillId="0" borderId="0" xfId="1" applyFont="1" applyFill="1" applyAlignment="1" applyProtection="1"/>
    <xf numFmtId="0" fontId="10" fillId="0" borderId="0" xfId="0" applyFont="1" applyFill="1"/>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164" fontId="0" fillId="0" borderId="0" xfId="0" applyNumberFormat="1" applyFill="1" applyAlignment="1">
      <alignment horizontal="right"/>
    </xf>
    <xf numFmtId="164" fontId="1" fillId="0" borderId="1" xfId="0" applyNumberFormat="1" applyFont="1" applyFill="1" applyBorder="1" applyAlignment="1">
      <alignment horizontal="right"/>
    </xf>
    <xf numFmtId="164" fontId="0" fillId="0" borderId="0" xfId="0" applyNumberFormat="1" applyFill="1" applyBorder="1" applyAlignment="1">
      <alignment horizontal="right"/>
    </xf>
    <xf numFmtId="164" fontId="0" fillId="0" borderId="3" xfId="0" applyNumberFormat="1" applyFill="1" applyBorder="1" applyAlignment="1">
      <alignment horizontal="right"/>
    </xf>
    <xf numFmtId="0" fontId="0" fillId="0" borderId="0" xfId="0" applyFill="1" applyAlignment="1">
      <alignment horizontal="right"/>
    </xf>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1" fillId="0" borderId="0" xfId="0" applyFont="1" applyFill="1" applyAlignment="1">
      <alignment vertical="top"/>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20" fillId="0" borderId="0" xfId="0" applyFont="1" applyFill="1" applyAlignment="1">
      <alignment horizontal="left" vertical="top" wrapText="1"/>
    </xf>
    <xf numFmtId="0" fontId="6" fillId="0" borderId="0" xfId="0" applyFont="1" applyFill="1" applyAlignment="1">
      <alignment horizontal="left" vertical="top" wrapText="1"/>
    </xf>
    <xf numFmtId="0" fontId="0" fillId="0" borderId="0" xfId="0" applyFill="1" applyAlignment="1">
      <alignment horizontal="left" vertical="top" wrapText="1"/>
    </xf>
    <xf numFmtId="0" fontId="20" fillId="0" borderId="0" xfId="0" applyFont="1"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xf>
    <xf numFmtId="0" fontId="6" fillId="0" borderId="0" xfId="0" applyFont="1" applyFill="1" applyAlignment="1">
      <alignment vertical="top" wrapText="1"/>
    </xf>
    <xf numFmtId="0" fontId="0" fillId="0" borderId="0" xfId="0" applyFill="1" applyAlignment="1">
      <alignment vertical="top" wrapText="1"/>
    </xf>
    <xf numFmtId="0" fontId="1" fillId="0" borderId="0" xfId="0" applyFont="1" applyFill="1" applyBorder="1" applyAlignment="1">
      <alignment vertical="top"/>
    </xf>
    <xf numFmtId="0" fontId="6" fillId="0" borderId="0" xfId="0" applyFont="1" applyFill="1" applyBorder="1" applyAlignment="1">
      <alignment vertical="center"/>
    </xf>
    <xf numFmtId="0" fontId="4" fillId="0" borderId="0" xfId="1" applyFill="1" applyBorder="1" applyAlignment="1" applyProtection="1">
      <alignment vertical="top"/>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33</xdr:row>
      <xdr:rowOff>9525</xdr:rowOff>
    </xdr:to>
    <xdr:sp macro="" textlink="">
      <xdr:nvSpPr>
        <xdr:cNvPr id="3" name="Text Box 1"/>
        <xdr:cNvSpPr txBox="1">
          <a:spLocks noChangeArrowheads="1"/>
        </xdr:cNvSpPr>
      </xdr:nvSpPr>
      <xdr:spPr bwMode="auto">
        <a:xfrm>
          <a:off x="381000" y="3790951"/>
          <a:ext cx="6372225" cy="26479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scotland.gov.uk/Topics/Statistics/SIM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7.bin"/><Relationship Id="rId4" Type="http://schemas.openxmlformats.org/officeDocument/2006/relationships/hyperlink" Target="http://www.gov.scot/Topics/Statistics/About/Methodology/UrbanRuralClassification"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tabSelected="1" zoomScaleNormal="100" workbookViewId="0"/>
  </sheetViews>
  <sheetFormatPr defaultRowHeight="12.75" x14ac:dyDescent="0.2"/>
  <cols>
    <col min="1" max="1" width="1.7109375" style="3" customWidth="1"/>
    <col min="2" max="2" width="3.42578125" style="3" customWidth="1"/>
    <col min="3" max="16384" width="9.140625" style="3"/>
  </cols>
  <sheetData>
    <row r="1" spans="2:16" ht="15" customHeight="1" x14ac:dyDescent="0.2">
      <c r="B1" s="97" t="str">
        <f>""</f>
        <v/>
      </c>
      <c r="C1" s="97"/>
      <c r="D1" s="97"/>
      <c r="E1" s="97"/>
      <c r="F1" s="97"/>
      <c r="G1" s="97"/>
      <c r="H1" s="97"/>
      <c r="I1" s="97"/>
      <c r="J1" s="97"/>
      <c r="K1" s="97"/>
      <c r="L1" s="97"/>
      <c r="M1" s="97"/>
      <c r="N1" s="97"/>
      <c r="O1" s="97"/>
      <c r="P1" s="86"/>
    </row>
    <row r="2" spans="2:16" ht="15" customHeight="1" x14ac:dyDescent="0.2">
      <c r="B2" s="87" t="s">
        <v>114</v>
      </c>
      <c r="C2" s="86"/>
      <c r="D2" s="86"/>
      <c r="E2" s="86"/>
      <c r="F2" s="86"/>
      <c r="G2" s="86"/>
      <c r="H2" s="86"/>
      <c r="I2" s="86"/>
      <c r="J2" s="86"/>
      <c r="K2" s="86"/>
      <c r="L2" s="86"/>
      <c r="M2" s="86"/>
      <c r="N2" s="86"/>
      <c r="O2" s="86"/>
      <c r="P2" s="86"/>
    </row>
    <row r="3" spans="2:16" ht="15" customHeight="1" x14ac:dyDescent="0.2">
      <c r="B3" s="86"/>
      <c r="C3" s="86"/>
      <c r="D3" s="86"/>
      <c r="E3" s="86"/>
      <c r="F3" s="86"/>
      <c r="G3" s="86"/>
      <c r="H3" s="86"/>
      <c r="I3" s="86"/>
      <c r="J3" s="86"/>
      <c r="K3" s="86"/>
      <c r="L3" s="86"/>
      <c r="M3" s="86"/>
      <c r="N3" s="86"/>
      <c r="O3" s="86"/>
      <c r="P3" s="86"/>
    </row>
    <row r="4" spans="2:16" ht="15" customHeight="1" x14ac:dyDescent="0.2">
      <c r="B4" s="88" t="s">
        <v>153</v>
      </c>
      <c r="C4" s="86"/>
      <c r="D4" s="86"/>
      <c r="E4" s="86"/>
      <c r="F4" s="86"/>
      <c r="G4" s="86"/>
      <c r="H4" s="86"/>
      <c r="I4" s="86"/>
      <c r="J4" s="86"/>
      <c r="K4" s="86"/>
      <c r="L4" s="86"/>
      <c r="M4" s="86"/>
      <c r="N4" s="86"/>
      <c r="O4" s="86"/>
      <c r="P4" s="86"/>
    </row>
    <row r="5" spans="2:16" ht="15" customHeight="1" x14ac:dyDescent="0.2">
      <c r="B5" s="89"/>
      <c r="C5" s="89"/>
      <c r="D5" s="89"/>
      <c r="E5" s="89"/>
      <c r="F5" s="89"/>
      <c r="G5" s="89"/>
      <c r="H5" s="89"/>
      <c r="I5" s="89"/>
      <c r="J5" s="89"/>
      <c r="K5" s="89"/>
      <c r="L5" s="89"/>
      <c r="M5" s="89"/>
      <c r="N5" s="89"/>
      <c r="O5" s="89"/>
      <c r="P5" s="89"/>
    </row>
    <row r="6" spans="2:16" ht="15" customHeight="1" x14ac:dyDescent="0.2">
      <c r="B6" s="90" t="s">
        <v>137</v>
      </c>
      <c r="C6" s="86"/>
      <c r="D6" s="86"/>
      <c r="E6" s="86"/>
      <c r="F6" s="86"/>
      <c r="G6" s="86"/>
      <c r="H6" s="86"/>
      <c r="I6" s="86"/>
      <c r="J6" s="86"/>
      <c r="K6" s="86"/>
      <c r="L6" s="86"/>
      <c r="M6" s="86"/>
      <c r="N6" s="86"/>
      <c r="O6" s="91"/>
      <c r="P6" s="89"/>
    </row>
    <row r="7" spans="2:16" ht="15" customHeight="1" x14ac:dyDescent="0.2">
      <c r="B7" s="90" t="s">
        <v>147</v>
      </c>
      <c r="C7" s="86"/>
      <c r="D7" s="86"/>
      <c r="E7" s="86"/>
      <c r="F7" s="86"/>
      <c r="G7" s="86"/>
      <c r="H7" s="86"/>
      <c r="I7" s="86"/>
      <c r="J7" s="86"/>
      <c r="K7" s="86"/>
      <c r="L7" s="86"/>
      <c r="M7" s="86"/>
      <c r="N7" s="86"/>
      <c r="O7" s="91"/>
      <c r="P7" s="89"/>
    </row>
    <row r="8" spans="2:16" s="41" customFormat="1" ht="15" customHeight="1" x14ac:dyDescent="0.2">
      <c r="B8" s="107" t="s">
        <v>207</v>
      </c>
      <c r="C8" s="86"/>
      <c r="D8" s="86"/>
      <c r="E8" s="86"/>
      <c r="F8" s="86"/>
      <c r="G8" s="86"/>
      <c r="H8" s="86"/>
      <c r="I8" s="86"/>
      <c r="J8" s="86"/>
      <c r="K8" s="86"/>
      <c r="L8" s="86"/>
      <c r="M8" s="86"/>
      <c r="N8" s="86"/>
      <c r="O8" s="86"/>
      <c r="P8" s="89"/>
    </row>
    <row r="9" spans="2:16" ht="15" customHeight="1" x14ac:dyDescent="0.2">
      <c r="B9" s="90" t="s">
        <v>166</v>
      </c>
      <c r="C9" s="86"/>
      <c r="D9" s="86"/>
      <c r="E9" s="86"/>
      <c r="F9" s="86"/>
      <c r="G9" s="86"/>
      <c r="H9" s="86"/>
      <c r="I9" s="86"/>
      <c r="J9" s="86"/>
      <c r="K9" s="86"/>
      <c r="L9" s="86"/>
      <c r="M9" s="86"/>
      <c r="N9" s="86"/>
      <c r="O9" s="86"/>
      <c r="P9" s="89"/>
    </row>
    <row r="10" spans="2:16" ht="15" customHeight="1" x14ac:dyDescent="0.2">
      <c r="B10" s="90" t="s">
        <v>167</v>
      </c>
      <c r="C10" s="90"/>
      <c r="D10" s="90"/>
      <c r="E10" s="90"/>
      <c r="F10" s="90"/>
      <c r="G10" s="90"/>
      <c r="H10" s="90"/>
      <c r="I10" s="90"/>
      <c r="J10" s="90"/>
      <c r="K10" s="90"/>
      <c r="L10" s="90"/>
      <c r="M10" s="90"/>
      <c r="N10" s="90"/>
      <c r="O10" s="90"/>
      <c r="P10" s="89"/>
    </row>
    <row r="11" spans="2:16" ht="15" customHeight="1" x14ac:dyDescent="0.2">
      <c r="B11" s="90" t="s">
        <v>168</v>
      </c>
      <c r="C11" s="90"/>
      <c r="D11" s="90"/>
      <c r="E11" s="90"/>
      <c r="F11" s="90"/>
      <c r="G11" s="90"/>
      <c r="H11" s="90"/>
      <c r="I11" s="90"/>
      <c r="J11" s="90"/>
      <c r="K11" s="90"/>
      <c r="L11" s="90"/>
      <c r="M11" s="90"/>
      <c r="N11" s="90"/>
      <c r="O11" s="90"/>
      <c r="P11" s="89"/>
    </row>
    <row r="12" spans="2:16" ht="15" customHeight="1" x14ac:dyDescent="0.2">
      <c r="B12" s="86"/>
      <c r="C12" s="86"/>
      <c r="D12" s="86"/>
      <c r="E12" s="86"/>
      <c r="F12" s="86"/>
      <c r="G12" s="86"/>
      <c r="H12" s="86"/>
      <c r="I12" s="86"/>
      <c r="J12" s="86"/>
      <c r="K12" s="86"/>
      <c r="L12" s="86"/>
      <c r="M12" s="86"/>
      <c r="N12" s="86"/>
      <c r="O12" s="86"/>
      <c r="P12" s="86"/>
    </row>
    <row r="13" spans="2:16" ht="15" customHeight="1" x14ac:dyDescent="0.2">
      <c r="B13" s="92" t="s">
        <v>113</v>
      </c>
      <c r="C13" s="86"/>
      <c r="D13" s="86"/>
      <c r="E13" s="86"/>
      <c r="F13" s="86"/>
      <c r="G13" s="86"/>
      <c r="H13" s="86"/>
      <c r="I13" s="86"/>
      <c r="J13" s="86"/>
      <c r="K13" s="86"/>
      <c r="L13" s="86"/>
      <c r="M13" s="86"/>
      <c r="N13" s="86"/>
      <c r="O13" s="86"/>
      <c r="P13" s="86"/>
    </row>
    <row r="14" spans="2:16" ht="15" customHeight="1" x14ac:dyDescent="0.2">
      <c r="B14" s="92"/>
      <c r="C14" s="86"/>
      <c r="D14" s="86"/>
      <c r="E14" s="86"/>
      <c r="F14" s="86"/>
      <c r="G14" s="86"/>
      <c r="H14" s="86"/>
      <c r="I14" s="86"/>
      <c r="J14" s="86"/>
      <c r="K14" s="86"/>
      <c r="L14" s="86"/>
      <c r="M14" s="86"/>
      <c r="N14" s="86"/>
      <c r="O14" s="86"/>
      <c r="P14" s="86"/>
    </row>
    <row r="15" spans="2:16" ht="15" customHeight="1" x14ac:dyDescent="0.2">
      <c r="B15" s="44" t="s">
        <v>14</v>
      </c>
      <c r="C15" s="98"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99"/>
      <c r="E15" s="99"/>
      <c r="F15" s="99"/>
      <c r="G15" s="99"/>
      <c r="H15" s="99"/>
      <c r="I15" s="99"/>
      <c r="J15" s="99"/>
      <c r="K15" s="99"/>
      <c r="L15" s="99"/>
      <c r="M15" s="99"/>
      <c r="N15" s="99"/>
      <c r="O15" s="99"/>
      <c r="P15" s="99"/>
    </row>
    <row r="16" spans="2:16" ht="15" customHeight="1" x14ac:dyDescent="0.2">
      <c r="B16" s="44"/>
      <c r="C16" s="93" t="s">
        <v>161</v>
      </c>
      <c r="D16" s="94"/>
      <c r="E16" s="94"/>
      <c r="F16" s="94"/>
      <c r="G16" s="94"/>
      <c r="H16" s="94"/>
      <c r="I16" s="94"/>
      <c r="J16" s="94"/>
      <c r="K16" s="94"/>
      <c r="L16" s="94"/>
      <c r="M16" s="94"/>
      <c r="N16" s="94"/>
      <c r="O16" s="94"/>
      <c r="P16" s="94"/>
    </row>
    <row r="17" spans="2:16" ht="15" customHeight="1" x14ac:dyDescent="0.2">
      <c r="B17" s="86"/>
      <c r="C17" s="98"/>
      <c r="D17" s="99"/>
      <c r="E17" s="99"/>
      <c r="F17" s="99"/>
      <c r="G17" s="99"/>
      <c r="H17" s="99"/>
      <c r="I17" s="99"/>
      <c r="J17" s="99"/>
      <c r="K17" s="99"/>
      <c r="L17" s="99"/>
      <c r="M17" s="99"/>
      <c r="N17" s="99"/>
      <c r="O17" s="99"/>
      <c r="P17" s="99"/>
    </row>
    <row r="18" spans="2:16" ht="26.25" customHeight="1" x14ac:dyDescent="0.2">
      <c r="B18" s="45" t="s">
        <v>87</v>
      </c>
      <c r="C18" s="98" t="s">
        <v>143</v>
      </c>
      <c r="D18" s="99"/>
      <c r="E18" s="99"/>
      <c r="F18" s="99"/>
      <c r="G18" s="99"/>
      <c r="H18" s="99"/>
      <c r="I18" s="99"/>
      <c r="J18" s="99"/>
      <c r="K18" s="99"/>
      <c r="L18" s="99"/>
      <c r="M18" s="99"/>
      <c r="N18" s="99"/>
      <c r="O18" s="99"/>
      <c r="P18" s="99"/>
    </row>
    <row r="19" spans="2:16" ht="15" customHeight="1" x14ac:dyDescent="0.2">
      <c r="B19" s="44"/>
      <c r="C19" s="94"/>
      <c r="D19" s="94"/>
      <c r="E19" s="94"/>
      <c r="F19" s="94"/>
      <c r="G19" s="94"/>
      <c r="H19" s="94"/>
      <c r="I19" s="94"/>
      <c r="J19" s="94"/>
      <c r="K19" s="94"/>
      <c r="L19" s="94"/>
      <c r="M19" s="94"/>
      <c r="N19" s="94"/>
      <c r="O19" s="94"/>
      <c r="P19" s="94"/>
    </row>
    <row r="20" spans="2:16" ht="15" customHeight="1" x14ac:dyDescent="0.2">
      <c r="B20" s="44"/>
      <c r="C20" s="94"/>
      <c r="D20" s="94"/>
      <c r="E20" s="94"/>
      <c r="F20" s="94"/>
      <c r="G20" s="94"/>
      <c r="H20" s="94"/>
      <c r="I20" s="94"/>
      <c r="J20" s="94"/>
      <c r="K20" s="94"/>
      <c r="L20" s="94"/>
      <c r="M20" s="94"/>
      <c r="N20" s="94"/>
      <c r="O20" s="94"/>
      <c r="P20" s="94"/>
    </row>
    <row r="21" spans="2:16" ht="15" customHeight="1" x14ac:dyDescent="0.2">
      <c r="B21" s="44"/>
      <c r="C21" s="94"/>
      <c r="D21" s="94"/>
      <c r="E21" s="94"/>
      <c r="F21" s="94"/>
      <c r="G21" s="94"/>
      <c r="H21" s="94"/>
      <c r="I21" s="94"/>
      <c r="J21" s="94"/>
      <c r="K21" s="94"/>
      <c r="L21" s="94"/>
      <c r="M21" s="94"/>
      <c r="N21" s="94"/>
      <c r="O21" s="94"/>
      <c r="P21" s="94"/>
    </row>
    <row r="22" spans="2:16" ht="15" customHeight="1" x14ac:dyDescent="0.2">
      <c r="B22" s="44"/>
      <c r="C22" s="94"/>
      <c r="D22" s="94"/>
      <c r="E22" s="94"/>
      <c r="F22" s="94"/>
      <c r="G22" s="94"/>
      <c r="H22" s="94"/>
      <c r="I22" s="94"/>
      <c r="J22" s="94"/>
      <c r="K22" s="94"/>
      <c r="L22" s="94"/>
      <c r="M22" s="94"/>
      <c r="N22" s="94"/>
      <c r="O22" s="94"/>
      <c r="P22" s="94"/>
    </row>
    <row r="23" spans="2:16" ht="15" customHeight="1" x14ac:dyDescent="0.2">
      <c r="B23" s="44"/>
      <c r="C23" s="94"/>
      <c r="D23" s="94"/>
      <c r="E23" s="94"/>
      <c r="F23" s="94"/>
      <c r="G23" s="94"/>
      <c r="H23" s="94"/>
      <c r="I23" s="94"/>
      <c r="J23" s="94"/>
      <c r="K23" s="94"/>
      <c r="L23" s="94"/>
      <c r="M23" s="94"/>
      <c r="N23" s="94"/>
      <c r="O23" s="94"/>
      <c r="P23" s="94"/>
    </row>
    <row r="24" spans="2:16" ht="15" customHeight="1" x14ac:dyDescent="0.2">
      <c r="B24" s="44"/>
      <c r="C24" s="94"/>
      <c r="D24" s="94"/>
      <c r="E24" s="94"/>
      <c r="F24" s="94"/>
      <c r="G24" s="94"/>
      <c r="H24" s="94"/>
      <c r="I24" s="94"/>
      <c r="J24" s="94"/>
      <c r="K24" s="94"/>
      <c r="L24" s="94"/>
      <c r="M24" s="94"/>
      <c r="N24" s="94"/>
      <c r="O24" s="94"/>
      <c r="P24" s="94"/>
    </row>
    <row r="25" spans="2:16" ht="15" customHeight="1" x14ac:dyDescent="0.2">
      <c r="B25" s="44"/>
      <c r="C25" s="94"/>
      <c r="D25" s="94"/>
      <c r="E25" s="94"/>
      <c r="F25" s="94"/>
      <c r="G25" s="94"/>
      <c r="H25" s="94"/>
      <c r="I25" s="94"/>
      <c r="J25" s="94"/>
      <c r="K25" s="94"/>
      <c r="L25" s="94"/>
      <c r="M25" s="94"/>
      <c r="N25" s="94"/>
      <c r="O25" s="94"/>
      <c r="P25" s="94"/>
    </row>
    <row r="26" spans="2:16" ht="15" customHeight="1" x14ac:dyDescent="0.2">
      <c r="B26" s="44"/>
      <c r="C26" s="94"/>
      <c r="D26" s="94"/>
      <c r="E26" s="94"/>
      <c r="F26" s="94"/>
      <c r="G26" s="94"/>
      <c r="H26" s="94"/>
      <c r="I26" s="94"/>
      <c r="J26" s="94"/>
      <c r="K26" s="94"/>
      <c r="L26" s="94"/>
      <c r="M26" s="94"/>
      <c r="N26" s="94"/>
      <c r="O26" s="94"/>
      <c r="P26" s="94"/>
    </row>
    <row r="27" spans="2:16" ht="15" customHeight="1" x14ac:dyDescent="0.2">
      <c r="B27" s="44"/>
      <c r="C27" s="94"/>
      <c r="D27" s="94"/>
      <c r="E27" s="94"/>
      <c r="F27" s="94"/>
      <c r="G27" s="94"/>
      <c r="H27" s="94"/>
      <c r="I27" s="94"/>
      <c r="J27" s="94"/>
      <c r="K27" s="94"/>
      <c r="L27" s="94"/>
      <c r="M27" s="94"/>
      <c r="N27" s="94"/>
      <c r="O27" s="94"/>
      <c r="P27" s="94"/>
    </row>
    <row r="28" spans="2:16" ht="15" customHeight="1" x14ac:dyDescent="0.2">
      <c r="B28" s="44"/>
      <c r="C28" s="94"/>
      <c r="D28" s="94"/>
      <c r="E28" s="94"/>
      <c r="F28" s="94"/>
      <c r="G28" s="94"/>
      <c r="H28" s="94"/>
      <c r="I28" s="94"/>
      <c r="J28" s="94"/>
      <c r="K28" s="94"/>
      <c r="L28" s="94"/>
      <c r="M28" s="94"/>
      <c r="N28" s="94"/>
      <c r="O28" s="94"/>
      <c r="P28" s="94"/>
    </row>
    <row r="29" spans="2:16" ht="15" customHeight="1" x14ac:dyDescent="0.2">
      <c r="B29" s="44"/>
      <c r="C29" s="94"/>
      <c r="D29" s="94"/>
      <c r="E29" s="94"/>
      <c r="F29" s="94"/>
      <c r="G29" s="94"/>
      <c r="H29" s="94"/>
      <c r="I29" s="94"/>
      <c r="J29" s="94"/>
      <c r="K29" s="94"/>
      <c r="L29" s="94"/>
      <c r="M29" s="94"/>
      <c r="N29" s="94"/>
      <c r="O29" s="94"/>
      <c r="P29" s="94"/>
    </row>
    <row r="30" spans="2:16" ht="15" customHeight="1" x14ac:dyDescent="0.2">
      <c r="B30" s="44"/>
      <c r="C30" s="94"/>
      <c r="D30" s="94"/>
      <c r="E30" s="94"/>
      <c r="F30" s="94"/>
      <c r="G30" s="94"/>
      <c r="H30" s="94"/>
      <c r="I30" s="94"/>
      <c r="J30" s="94"/>
      <c r="K30" s="94"/>
      <c r="L30" s="94"/>
      <c r="M30" s="94"/>
      <c r="N30" s="94"/>
      <c r="O30" s="94"/>
      <c r="P30" s="94"/>
    </row>
    <row r="31" spans="2:16" ht="15" customHeight="1" x14ac:dyDescent="0.2">
      <c r="B31" s="44"/>
      <c r="C31" s="94"/>
      <c r="D31" s="94"/>
      <c r="E31" s="94"/>
      <c r="F31" s="94"/>
      <c r="G31" s="94"/>
      <c r="H31" s="94"/>
      <c r="I31" s="94"/>
      <c r="J31" s="94"/>
      <c r="K31" s="94"/>
      <c r="L31" s="94"/>
      <c r="M31" s="94"/>
      <c r="N31" s="94"/>
      <c r="O31" s="94"/>
      <c r="P31" s="94"/>
    </row>
    <row r="32" spans="2:16" ht="15" customHeight="1" x14ac:dyDescent="0.2">
      <c r="B32" s="44"/>
      <c r="C32" s="94"/>
      <c r="D32" s="94"/>
      <c r="E32" s="94"/>
      <c r="F32" s="94"/>
      <c r="G32" s="94"/>
      <c r="H32" s="94"/>
      <c r="I32" s="94"/>
      <c r="J32" s="94"/>
      <c r="K32" s="94"/>
      <c r="L32" s="94"/>
      <c r="M32" s="94"/>
      <c r="N32" s="94"/>
      <c r="O32" s="94"/>
      <c r="P32" s="94"/>
    </row>
    <row r="33" spans="1:16" ht="15" customHeight="1" x14ac:dyDescent="0.2">
      <c r="B33" s="44"/>
      <c r="C33" s="94"/>
      <c r="D33" s="94"/>
      <c r="E33" s="94"/>
      <c r="F33" s="94"/>
      <c r="G33" s="94"/>
      <c r="H33" s="94"/>
      <c r="I33" s="94"/>
      <c r="J33" s="94"/>
      <c r="K33" s="94"/>
      <c r="L33" s="94"/>
      <c r="M33" s="94"/>
      <c r="N33" s="94"/>
      <c r="O33" s="94"/>
      <c r="P33" s="94"/>
    </row>
    <row r="34" spans="1:16" ht="15" customHeight="1" x14ac:dyDescent="0.2">
      <c r="B34" s="44"/>
      <c r="C34" s="94"/>
      <c r="D34" s="94"/>
      <c r="E34" s="94"/>
      <c r="F34" s="94"/>
      <c r="G34" s="94"/>
      <c r="H34" s="94"/>
      <c r="I34" s="94"/>
      <c r="J34" s="94"/>
      <c r="K34" s="94"/>
      <c r="L34" s="94"/>
      <c r="M34" s="94"/>
      <c r="N34" s="94"/>
      <c r="O34" s="94"/>
      <c r="P34" s="94"/>
    </row>
    <row r="35" spans="1:16" ht="15" customHeight="1" x14ac:dyDescent="0.2">
      <c r="B35" s="45" t="s">
        <v>160</v>
      </c>
      <c r="C35" s="95" t="s">
        <v>88</v>
      </c>
      <c r="D35" s="94"/>
      <c r="E35" s="94"/>
      <c r="F35" s="94"/>
      <c r="G35" s="94"/>
      <c r="H35" s="94"/>
      <c r="I35" s="94"/>
      <c r="J35" s="94"/>
      <c r="K35" s="94"/>
      <c r="L35" s="94"/>
      <c r="M35" s="94"/>
      <c r="N35" s="94"/>
      <c r="O35" s="94"/>
      <c r="P35" s="94"/>
    </row>
    <row r="36" spans="1:16" ht="15" customHeight="1" x14ac:dyDescent="0.2">
      <c r="B36" s="86"/>
      <c r="C36" s="86"/>
      <c r="D36" s="86"/>
      <c r="E36" s="86"/>
      <c r="F36" s="86"/>
      <c r="G36" s="86"/>
      <c r="H36" s="86"/>
      <c r="I36" s="86"/>
      <c r="J36" s="86"/>
      <c r="K36" s="86"/>
      <c r="L36" s="86"/>
      <c r="M36" s="86"/>
      <c r="N36" s="86"/>
      <c r="O36" s="86"/>
      <c r="P36" s="86"/>
    </row>
    <row r="37" spans="1:16" ht="15" customHeight="1" x14ac:dyDescent="0.2">
      <c r="B37" s="45" t="s">
        <v>151</v>
      </c>
      <c r="C37" s="86" t="s">
        <v>115</v>
      </c>
      <c r="D37" s="86"/>
      <c r="E37" s="86"/>
      <c r="F37" s="86"/>
      <c r="G37" s="86"/>
      <c r="H37" s="86"/>
      <c r="I37" s="86"/>
      <c r="J37" s="86"/>
      <c r="K37" s="86"/>
      <c r="L37" s="86"/>
      <c r="M37" s="86"/>
      <c r="N37" s="86"/>
      <c r="O37" s="86"/>
      <c r="P37" s="86"/>
    </row>
    <row r="38" spans="1:16" ht="15" customHeight="1" x14ac:dyDescent="0.2">
      <c r="B38" s="44"/>
      <c r="C38" s="90" t="s">
        <v>13</v>
      </c>
      <c r="D38" s="90"/>
      <c r="E38" s="90"/>
      <c r="F38" s="90"/>
      <c r="G38" s="90"/>
      <c r="H38" s="90"/>
      <c r="I38" s="90"/>
      <c r="J38" s="90"/>
      <c r="K38" s="90"/>
      <c r="L38" s="86"/>
      <c r="M38" s="86"/>
      <c r="N38" s="86"/>
      <c r="O38" s="86"/>
      <c r="P38" s="86"/>
    </row>
    <row r="39" spans="1:16" ht="15" customHeight="1" x14ac:dyDescent="0.2">
      <c r="B39" s="47"/>
      <c r="C39" s="48" t="s">
        <v>133</v>
      </c>
      <c r="D39" s="49"/>
      <c r="E39" s="96"/>
      <c r="F39" s="96"/>
      <c r="G39" s="96"/>
      <c r="H39" s="96"/>
      <c r="I39" s="96"/>
      <c r="J39" s="96"/>
      <c r="K39" s="96"/>
      <c r="L39" s="96"/>
      <c r="M39" s="86"/>
      <c r="N39" s="86"/>
      <c r="O39" s="86"/>
      <c r="P39" s="86"/>
    </row>
    <row r="40" spans="1:16" ht="15" customHeight="1" x14ac:dyDescent="0.2">
      <c r="B40" s="50"/>
      <c r="C40" s="94"/>
      <c r="D40" s="86"/>
      <c r="E40" s="86"/>
      <c r="F40" s="86"/>
      <c r="G40" s="86"/>
      <c r="H40" s="86"/>
      <c r="I40" s="86"/>
      <c r="J40" s="86"/>
      <c r="K40" s="86"/>
      <c r="L40" s="86"/>
      <c r="M40" s="86"/>
      <c r="N40" s="86"/>
      <c r="O40" s="86"/>
      <c r="P40" s="86"/>
    </row>
    <row r="41" spans="1:16" ht="30" customHeight="1" x14ac:dyDescent="0.2">
      <c r="A41" s="44"/>
      <c r="B41" s="45" t="s">
        <v>112</v>
      </c>
      <c r="C41" s="98" t="s">
        <v>150</v>
      </c>
      <c r="D41" s="99"/>
      <c r="E41" s="99"/>
      <c r="F41" s="99"/>
      <c r="G41" s="99"/>
      <c r="H41" s="99"/>
      <c r="I41" s="99"/>
      <c r="J41" s="99"/>
      <c r="K41" s="99"/>
      <c r="L41" s="99"/>
      <c r="M41" s="99"/>
      <c r="N41" s="99"/>
      <c r="O41" s="99"/>
      <c r="P41" s="99"/>
    </row>
    <row r="42" spans="1:16" ht="15" customHeight="1" x14ac:dyDescent="0.2">
      <c r="A42" s="44"/>
      <c r="B42" s="44"/>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3 - CA'!A1" display="Table 3: Percentage of time in the last six months of life spent at home or in a community setting (by Council Area)"/>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Q67"/>
  <sheetViews>
    <sheetView showGridLines="0" zoomScaleNormal="100" zoomScaleSheetLayoutView="100" workbookViewId="0"/>
  </sheetViews>
  <sheetFormatPr defaultRowHeight="12.75"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6384" width="9.140625" style="3"/>
  </cols>
  <sheetData>
    <row r="1" spans="2:17" ht="15" customHeight="1" x14ac:dyDescent="0.25">
      <c r="B1" s="100" t="str">
        <f>Notes!B1:O1</f>
        <v/>
      </c>
      <c r="C1" s="100"/>
      <c r="D1" s="100"/>
      <c r="E1" s="100"/>
      <c r="F1" s="100"/>
      <c r="G1" s="100"/>
      <c r="H1" s="100"/>
      <c r="I1" s="100"/>
    </row>
    <row r="2" spans="2:17" ht="15" customHeight="1" x14ac:dyDescent="0.25">
      <c r="B2" s="4" t="s">
        <v>134</v>
      </c>
      <c r="I2" s="23"/>
      <c r="J2" s="23"/>
      <c r="K2" s="23"/>
    </row>
    <row r="3" spans="2:17" ht="15" customHeight="1" x14ac:dyDescent="0.25">
      <c r="B3" s="4" t="s">
        <v>159</v>
      </c>
      <c r="I3" s="23"/>
      <c r="J3" s="23"/>
      <c r="K3" s="23"/>
    </row>
    <row r="4" spans="2:17" ht="15" customHeight="1" x14ac:dyDescent="0.25">
      <c r="B4" s="4"/>
      <c r="I4" s="23"/>
      <c r="J4" s="23"/>
      <c r="K4" s="23"/>
    </row>
    <row r="5" spans="2:17" ht="15" customHeight="1" x14ac:dyDescent="0.2">
      <c r="G5" s="10" t="s">
        <v>12</v>
      </c>
      <c r="I5" s="23"/>
      <c r="J5" s="23"/>
      <c r="K5" s="51"/>
    </row>
    <row r="6" spans="2:17"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row>
    <row r="7" spans="2:17" ht="15" customHeight="1" x14ac:dyDescent="0.2">
      <c r="B7" s="52" t="s">
        <v>89</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N7" s="43"/>
      <c r="O7" s="43"/>
      <c r="P7" s="43"/>
      <c r="Q7" s="53"/>
    </row>
    <row r="8" spans="2:17" ht="15" customHeight="1" x14ac:dyDescent="0.2">
      <c r="B8" s="54" t="s">
        <v>197</v>
      </c>
      <c r="C8" s="81" t="e">
        <f ca="1">VLOOKUP(CONCATENATE(LEFT(C$7, 7), "hb", "NHS ", $B8), [0]!data_range, 5, FALSE)</f>
        <v>#REF!</v>
      </c>
      <c r="D8" s="81" t="e">
        <f ca="1">VLOOKUP(CONCATENATE(LEFT(D$7, 7), "hb", "NHS ", $B8), [0]!data_range, 5, FALSE)</f>
        <v>#REF!</v>
      </c>
      <c r="E8" s="81" t="e">
        <f ca="1">VLOOKUP(CONCATENATE(LEFT(E$7, 7), "hb", "NHS ", $B8), [0]!data_range, 5, FALSE)</f>
        <v>#REF!</v>
      </c>
      <c r="F8" s="81" t="e">
        <f ca="1">VLOOKUP(CONCATENATE(LEFT(F$7, 7), "hb", "NHS ", $B8), [0]!data_range, 5, FALSE)</f>
        <v>#REF!</v>
      </c>
      <c r="G8" s="81" t="e">
        <f ca="1">VLOOKUP(CONCATENATE(LEFT(G$7, 7), "hb", "NHS ", $B8), [0]!data_range, 5, FALSE)</f>
        <v>#REF!</v>
      </c>
      <c r="H8" s="81" t="e">
        <f ca="1">VLOOKUP(CONCATENATE(LEFT(H$7, 7), "hb", "NHS ", $B8), [0]!data_range, 5, FALSE)</f>
        <v>#REF!</v>
      </c>
      <c r="I8" s="81" t="e">
        <f ca="1">VLOOKUP(CONCATENATE(LEFT(I$7, 7), "hb", "NHS ", $B8), [0]!data_range, 5, FALSE)</f>
        <v>#REF!</v>
      </c>
      <c r="J8" s="81" t="e">
        <f ca="1">VLOOKUP(CONCATENATE(LEFT(J$7, 7), "hb", "NHS ", $B8), [0]!data_range, 5, FALSE)</f>
        <v>#REF!</v>
      </c>
      <c r="K8" s="81" t="e">
        <f ca="1">VLOOKUP(CONCATENATE(LEFT(K$7, 7), "hb", "NHS ", $B8), [0]!data_range, 5, FALSE)</f>
        <v>#REF!</v>
      </c>
      <c r="Q8" s="55"/>
    </row>
    <row r="9" spans="2:17" ht="15" customHeight="1" x14ac:dyDescent="0.2">
      <c r="B9" s="15" t="s">
        <v>0</v>
      </c>
      <c r="C9" s="81" t="e">
        <f ca="1">VLOOKUP(CONCATENATE(LEFT(C$7, 7), "hb", "NHS ", $B9), [0]!data_range, 5, FALSE)</f>
        <v>#REF!</v>
      </c>
      <c r="D9" s="81" t="e">
        <f ca="1">VLOOKUP(CONCATENATE(LEFT(D$7, 7), "hb", "NHS ", $B9), [0]!data_range, 5, FALSE)</f>
        <v>#REF!</v>
      </c>
      <c r="E9" s="81" t="e">
        <f ca="1">VLOOKUP(CONCATENATE(LEFT(E$7, 7), "hb", "NHS ", $B9), [0]!data_range, 5, FALSE)</f>
        <v>#REF!</v>
      </c>
      <c r="F9" s="81" t="e">
        <f ca="1">VLOOKUP(CONCATENATE(LEFT(F$7, 7), "hb", "NHS ", $B9), [0]!data_range, 5, FALSE)</f>
        <v>#REF!</v>
      </c>
      <c r="G9" s="81" t="e">
        <f ca="1">VLOOKUP(CONCATENATE(LEFT(G$7, 7), "hb", "NHS ", $B9), [0]!data_range, 5, FALSE)</f>
        <v>#REF!</v>
      </c>
      <c r="H9" s="81" t="e">
        <f ca="1">VLOOKUP(CONCATENATE(LEFT(H$7, 7), "hb", "NHS ", $B9), [0]!data_range, 5, FALSE)</f>
        <v>#REF!</v>
      </c>
      <c r="I9" s="81" t="e">
        <f ca="1">VLOOKUP(CONCATENATE(LEFT(I$7, 7), "hb", "NHS ", $B9), [0]!data_range, 5, FALSE)</f>
        <v>#REF!</v>
      </c>
      <c r="J9" s="81" t="e">
        <f ca="1">VLOOKUP(CONCATENATE(LEFT(J$7, 7), "hb", "NHS ", $B9), [0]!data_range, 5, FALSE)</f>
        <v>#REF!</v>
      </c>
      <c r="K9" s="81" t="e">
        <f ca="1">VLOOKUP(CONCATENATE(LEFT(K$7, 7), "hb", "NHS ", $B9), [0]!data_range, 5, FALSE)</f>
        <v>#REF!</v>
      </c>
      <c r="Q9" s="55"/>
    </row>
    <row r="10" spans="2:17" ht="15" customHeight="1" x14ac:dyDescent="0.2">
      <c r="B10" s="15" t="s">
        <v>198</v>
      </c>
      <c r="C10" s="81" t="e">
        <f ca="1">VLOOKUP(CONCATENATE(LEFT(C$7, 7), "hb", "NHS ", $B10), [0]!data_range, 5, FALSE)</f>
        <v>#REF!</v>
      </c>
      <c r="D10" s="81" t="e">
        <f ca="1">VLOOKUP(CONCATENATE(LEFT(D$7, 7), "hb", "NHS ", $B10), [0]!data_range, 5, FALSE)</f>
        <v>#REF!</v>
      </c>
      <c r="E10" s="81" t="e">
        <f ca="1">VLOOKUP(CONCATENATE(LEFT(E$7, 7), "hb", "NHS ", $B10), [0]!data_range, 5, FALSE)</f>
        <v>#REF!</v>
      </c>
      <c r="F10" s="81" t="e">
        <f ca="1">VLOOKUP(CONCATENATE(LEFT(F$7, 7), "hb", "NHS ", $B10), [0]!data_range, 5, FALSE)</f>
        <v>#REF!</v>
      </c>
      <c r="G10" s="81" t="e">
        <f ca="1">VLOOKUP(CONCATENATE(LEFT(G$7, 7), "hb", "NHS ", $B10), [0]!data_range, 5, FALSE)</f>
        <v>#REF!</v>
      </c>
      <c r="H10" s="81" t="e">
        <f ca="1">VLOOKUP(CONCATENATE(LEFT(H$7, 7), "hb", "NHS ", $B10), [0]!data_range, 5, FALSE)</f>
        <v>#REF!</v>
      </c>
      <c r="I10" s="81" t="e">
        <f ca="1">VLOOKUP(CONCATENATE(LEFT(I$7, 7), "hb", "NHS ", $B10), [0]!data_range, 5, FALSE)</f>
        <v>#REF!</v>
      </c>
      <c r="J10" s="81" t="e">
        <f ca="1">VLOOKUP(CONCATENATE(LEFT(J$7, 7), "hb", "NHS ", $B10), [0]!data_range, 5, FALSE)</f>
        <v>#REF!</v>
      </c>
      <c r="K10" s="81" t="e">
        <f ca="1">VLOOKUP(CONCATENATE(LEFT(K$7, 7), "hb", "NHS ", $B10), [0]!data_range, 5, FALSE)</f>
        <v>#REF!</v>
      </c>
      <c r="Q10" s="55"/>
    </row>
    <row r="11" spans="2:17" ht="15" customHeight="1" x14ac:dyDescent="0.2">
      <c r="B11" s="15" t="s">
        <v>1</v>
      </c>
      <c r="C11" s="81" t="e">
        <f ca="1">VLOOKUP(CONCATENATE(LEFT(C$7, 7), "hb", "NHS ", $B11), [0]!data_range, 5, FALSE)</f>
        <v>#REF!</v>
      </c>
      <c r="D11" s="81" t="e">
        <f ca="1">VLOOKUP(CONCATENATE(LEFT(D$7, 7), "hb", "NHS ", $B11), [0]!data_range, 5, FALSE)</f>
        <v>#REF!</v>
      </c>
      <c r="E11" s="81" t="e">
        <f ca="1">VLOOKUP(CONCATENATE(LEFT(E$7, 7), "hb", "NHS ", $B11), [0]!data_range, 5, FALSE)</f>
        <v>#REF!</v>
      </c>
      <c r="F11" s="81" t="e">
        <f ca="1">VLOOKUP(CONCATENATE(LEFT(F$7, 7), "hb", "NHS ", $B11), [0]!data_range, 5, FALSE)</f>
        <v>#REF!</v>
      </c>
      <c r="G11" s="81" t="e">
        <f ca="1">VLOOKUP(CONCATENATE(LEFT(G$7, 7), "hb", "NHS ", $B11), [0]!data_range, 5, FALSE)</f>
        <v>#REF!</v>
      </c>
      <c r="H11" s="81" t="e">
        <f ca="1">VLOOKUP(CONCATENATE(LEFT(H$7, 7), "hb", "NHS ", $B11), [0]!data_range, 5, FALSE)</f>
        <v>#REF!</v>
      </c>
      <c r="I11" s="81" t="e">
        <f ca="1">VLOOKUP(CONCATENATE(LEFT(I$7, 7), "hb", "NHS ", $B11), [0]!data_range, 5, FALSE)</f>
        <v>#REF!</v>
      </c>
      <c r="J11" s="81" t="e">
        <f ca="1">VLOOKUP(CONCATENATE(LEFT(J$7, 7), "hb", "NHS ", $B11), [0]!data_range, 5, FALSE)</f>
        <v>#REF!</v>
      </c>
      <c r="K11" s="81" t="e">
        <f ca="1">VLOOKUP(CONCATENATE(LEFT(K$7, 7), "hb", "NHS ", $B11), [0]!data_range, 5, FALSE)</f>
        <v>#REF!</v>
      </c>
      <c r="Q11" s="55"/>
    </row>
    <row r="12" spans="2:17" ht="15" customHeight="1" x14ac:dyDescent="0.2">
      <c r="B12" s="15" t="s">
        <v>2</v>
      </c>
      <c r="C12" s="81" t="e">
        <f ca="1">VLOOKUP(CONCATENATE(LEFT(C$7, 7), "hb", "NHS ", $B12), [0]!data_range, 5, FALSE)</f>
        <v>#REF!</v>
      </c>
      <c r="D12" s="81" t="e">
        <f ca="1">VLOOKUP(CONCATENATE(LEFT(D$7, 7), "hb", "NHS ", $B12), [0]!data_range, 5, FALSE)</f>
        <v>#REF!</v>
      </c>
      <c r="E12" s="81" t="e">
        <f ca="1">VLOOKUP(CONCATENATE(LEFT(E$7, 7), "hb", "NHS ", $B12), [0]!data_range, 5, FALSE)</f>
        <v>#REF!</v>
      </c>
      <c r="F12" s="81" t="e">
        <f ca="1">VLOOKUP(CONCATENATE(LEFT(F$7, 7), "hb", "NHS ", $B12), [0]!data_range, 5, FALSE)</f>
        <v>#REF!</v>
      </c>
      <c r="G12" s="81" t="e">
        <f ca="1">VLOOKUP(CONCATENATE(LEFT(G$7, 7), "hb", "NHS ", $B12), [0]!data_range, 5, FALSE)</f>
        <v>#REF!</v>
      </c>
      <c r="H12" s="81" t="e">
        <f ca="1">VLOOKUP(CONCATENATE(LEFT(H$7, 7), "hb", "NHS ", $B12), [0]!data_range, 5, FALSE)</f>
        <v>#REF!</v>
      </c>
      <c r="I12" s="81" t="e">
        <f ca="1">VLOOKUP(CONCATENATE(LEFT(I$7, 7), "hb", "NHS ", $B12), [0]!data_range, 5, FALSE)</f>
        <v>#REF!</v>
      </c>
      <c r="J12" s="81" t="e">
        <f ca="1">VLOOKUP(CONCATENATE(LEFT(J$7, 7), "hb", "NHS ", $B12), [0]!data_range, 5, FALSE)</f>
        <v>#REF!</v>
      </c>
      <c r="K12" s="81" t="e">
        <f ca="1">VLOOKUP(CONCATENATE(LEFT(K$7, 7), "hb", "NHS ", $B12), [0]!data_range, 5, FALSE)</f>
        <v>#REF!</v>
      </c>
      <c r="Q12" s="55"/>
    </row>
    <row r="13" spans="2:17" ht="15" customHeight="1" x14ac:dyDescent="0.2">
      <c r="B13" s="15" t="s">
        <v>3</v>
      </c>
      <c r="C13" s="81" t="e">
        <f ca="1">VLOOKUP(CONCATENATE(LEFT(C$7, 7), "hb", "NHS ", $B13), [0]!data_range, 5, FALSE)</f>
        <v>#REF!</v>
      </c>
      <c r="D13" s="81" t="e">
        <f ca="1">VLOOKUP(CONCATENATE(LEFT(D$7, 7), "hb", "NHS ", $B13), [0]!data_range, 5, FALSE)</f>
        <v>#REF!</v>
      </c>
      <c r="E13" s="81" t="e">
        <f ca="1">VLOOKUP(CONCATENATE(LEFT(E$7, 7), "hb", "NHS ", $B13), [0]!data_range, 5, FALSE)</f>
        <v>#REF!</v>
      </c>
      <c r="F13" s="81" t="e">
        <f ca="1">VLOOKUP(CONCATENATE(LEFT(F$7, 7), "hb", "NHS ", $B13), [0]!data_range, 5, FALSE)</f>
        <v>#REF!</v>
      </c>
      <c r="G13" s="81" t="e">
        <f ca="1">VLOOKUP(CONCATENATE(LEFT(G$7, 7), "hb", "NHS ", $B13), [0]!data_range, 5, FALSE)</f>
        <v>#REF!</v>
      </c>
      <c r="H13" s="81" t="e">
        <f ca="1">VLOOKUP(CONCATENATE(LEFT(H$7, 7), "hb", "NHS ", $B13), [0]!data_range, 5, FALSE)</f>
        <v>#REF!</v>
      </c>
      <c r="I13" s="81" t="e">
        <f ca="1">VLOOKUP(CONCATENATE(LEFT(I$7, 7), "hb", "NHS ", $B13), [0]!data_range, 5, FALSE)</f>
        <v>#REF!</v>
      </c>
      <c r="J13" s="81" t="e">
        <f ca="1">VLOOKUP(CONCATENATE(LEFT(J$7, 7), "hb", "NHS ", $B13), [0]!data_range, 5, FALSE)</f>
        <v>#REF!</v>
      </c>
      <c r="K13" s="81" t="e">
        <f ca="1">VLOOKUP(CONCATENATE(LEFT(K$7, 7), "hb", "NHS ", $B13), [0]!data_range, 5, FALSE)</f>
        <v>#REF!</v>
      </c>
      <c r="Q13" s="55"/>
    </row>
    <row r="14" spans="2:17" ht="15" customHeight="1" x14ac:dyDescent="0.2">
      <c r="B14" s="15" t="s">
        <v>199</v>
      </c>
      <c r="C14" s="81" t="e">
        <f ca="1">VLOOKUP(CONCATENATE(LEFT(C$7, 7), "hb", "NHS ", $B14), [0]!data_range, 5, FALSE)</f>
        <v>#REF!</v>
      </c>
      <c r="D14" s="81" t="e">
        <f ca="1">VLOOKUP(CONCATENATE(LEFT(D$7, 7), "hb", "NHS ", $B14), [0]!data_range, 5, FALSE)</f>
        <v>#REF!</v>
      </c>
      <c r="E14" s="81" t="e">
        <f ca="1">VLOOKUP(CONCATENATE(LEFT(E$7, 7), "hb", "NHS ", $B14), [0]!data_range, 5, FALSE)</f>
        <v>#REF!</v>
      </c>
      <c r="F14" s="81" t="e">
        <f ca="1">VLOOKUP(CONCATENATE(LEFT(F$7, 7), "hb", "NHS ", $B14), [0]!data_range, 5, FALSE)</f>
        <v>#REF!</v>
      </c>
      <c r="G14" s="81" t="e">
        <f ca="1">VLOOKUP(CONCATENATE(LEFT(G$7, 7), "hb", "NHS ", $B14), [0]!data_range, 5, FALSE)</f>
        <v>#REF!</v>
      </c>
      <c r="H14" s="81" t="e">
        <f ca="1">VLOOKUP(CONCATENATE(LEFT(H$7, 7), "hb", "NHS ", $B14), [0]!data_range, 5, FALSE)</f>
        <v>#REF!</v>
      </c>
      <c r="I14" s="81" t="e">
        <f ca="1">VLOOKUP(CONCATENATE(LEFT(I$7, 7), "hb", "NHS ", $B14), [0]!data_range, 5, FALSE)</f>
        <v>#REF!</v>
      </c>
      <c r="J14" s="81" t="e">
        <f ca="1">VLOOKUP(CONCATENATE(LEFT(J$7, 7), "hb", "NHS ", $B14), [0]!data_range, 5, FALSE)</f>
        <v>#REF!</v>
      </c>
      <c r="K14" s="81" t="e">
        <f ca="1">VLOOKUP(CONCATENATE(LEFT(K$7, 7), "hb", "NHS ", $B14), [0]!data_range, 5, FALSE)</f>
        <v>#REF!</v>
      </c>
      <c r="Q14" s="55"/>
    </row>
    <row r="15" spans="2:17" ht="15" customHeight="1" x14ac:dyDescent="0.2">
      <c r="B15" s="15" t="s">
        <v>4</v>
      </c>
      <c r="C15" s="81" t="e">
        <f ca="1">VLOOKUP(CONCATENATE(LEFT(C$7, 7), "hb", "NHS ", $B15), [0]!data_range, 5, FALSE)</f>
        <v>#REF!</v>
      </c>
      <c r="D15" s="81" t="e">
        <f ca="1">VLOOKUP(CONCATENATE(LEFT(D$7, 7), "hb", "NHS ", $B15), [0]!data_range, 5, FALSE)</f>
        <v>#REF!</v>
      </c>
      <c r="E15" s="81" t="e">
        <f ca="1">VLOOKUP(CONCATENATE(LEFT(E$7, 7), "hb", "NHS ", $B15), [0]!data_range, 5, FALSE)</f>
        <v>#REF!</v>
      </c>
      <c r="F15" s="81" t="e">
        <f ca="1">VLOOKUP(CONCATENATE(LEFT(F$7, 7), "hb", "NHS ", $B15), [0]!data_range, 5, FALSE)</f>
        <v>#REF!</v>
      </c>
      <c r="G15" s="81" t="e">
        <f ca="1">VLOOKUP(CONCATENATE(LEFT(G$7, 7), "hb", "NHS ", $B15), [0]!data_range, 5, FALSE)</f>
        <v>#REF!</v>
      </c>
      <c r="H15" s="81" t="e">
        <f ca="1">VLOOKUP(CONCATENATE(LEFT(H$7, 7), "hb", "NHS ", $B15), [0]!data_range, 5, FALSE)</f>
        <v>#REF!</v>
      </c>
      <c r="I15" s="81" t="e">
        <f ca="1">VLOOKUP(CONCATENATE(LEFT(I$7, 7), "hb", "NHS ", $B15), [0]!data_range, 5, FALSE)</f>
        <v>#REF!</v>
      </c>
      <c r="J15" s="81" t="e">
        <f ca="1">VLOOKUP(CONCATENATE(LEFT(J$7, 7), "hb", "NHS ", $B15), [0]!data_range, 5, FALSE)</f>
        <v>#REF!</v>
      </c>
      <c r="K15" s="81" t="e">
        <f ca="1">VLOOKUP(CONCATENATE(LEFT(K$7, 7), "hb", "NHS ", $B15), [0]!data_range, 5, FALSE)</f>
        <v>#REF!</v>
      </c>
      <c r="Q15" s="55"/>
    </row>
    <row r="16" spans="2:17" ht="15" customHeight="1" x14ac:dyDescent="0.2">
      <c r="B16" s="15" t="s">
        <v>5</v>
      </c>
      <c r="C16" s="81" t="e">
        <f ca="1">VLOOKUP(CONCATENATE(LEFT(C$7, 7), "hb", "NHS ", $B16), [0]!data_range, 5, FALSE)</f>
        <v>#REF!</v>
      </c>
      <c r="D16" s="81" t="e">
        <f ca="1">VLOOKUP(CONCATENATE(LEFT(D$7, 7), "hb", "NHS ", $B16), [0]!data_range, 5, FALSE)</f>
        <v>#REF!</v>
      </c>
      <c r="E16" s="81" t="e">
        <f ca="1">VLOOKUP(CONCATENATE(LEFT(E$7, 7), "hb", "NHS ", $B16), [0]!data_range, 5, FALSE)</f>
        <v>#REF!</v>
      </c>
      <c r="F16" s="81" t="e">
        <f ca="1">VLOOKUP(CONCATENATE(LEFT(F$7, 7), "hb", "NHS ", $B16), [0]!data_range, 5, FALSE)</f>
        <v>#REF!</v>
      </c>
      <c r="G16" s="81" t="e">
        <f ca="1">VLOOKUP(CONCATENATE(LEFT(G$7, 7), "hb", "NHS ", $B16), [0]!data_range, 5, FALSE)</f>
        <v>#REF!</v>
      </c>
      <c r="H16" s="81" t="e">
        <f ca="1">VLOOKUP(CONCATENATE(LEFT(H$7, 7), "hb", "NHS ", $B16), [0]!data_range, 5, FALSE)</f>
        <v>#REF!</v>
      </c>
      <c r="I16" s="81" t="e">
        <f ca="1">VLOOKUP(CONCATENATE(LEFT(I$7, 7), "hb", "NHS ", $B16), [0]!data_range, 5, FALSE)</f>
        <v>#REF!</v>
      </c>
      <c r="J16" s="81" t="e">
        <f ca="1">VLOOKUP(CONCATENATE(LEFT(J$7, 7), "hb", "NHS ", $B16), [0]!data_range, 5, FALSE)</f>
        <v>#REF!</v>
      </c>
      <c r="K16" s="81" t="e">
        <f ca="1">VLOOKUP(CONCATENATE(LEFT(K$7, 7), "hb", "NHS ", $B16), [0]!data_range, 5, FALSE)</f>
        <v>#REF!</v>
      </c>
      <c r="Q16" s="55"/>
    </row>
    <row r="17" spans="2:11" ht="15" customHeight="1" x14ac:dyDescent="0.2">
      <c r="B17" s="15" t="s">
        <v>6</v>
      </c>
      <c r="C17" s="81" t="e">
        <f ca="1">VLOOKUP(CONCATENATE(LEFT(C$7, 7), "hb", "NHS ", $B17), [0]!data_range, 5, FALSE)</f>
        <v>#REF!</v>
      </c>
      <c r="D17" s="81" t="e">
        <f ca="1">VLOOKUP(CONCATENATE(LEFT(D$7, 7), "hb", "NHS ", $B17), [0]!data_range, 5, FALSE)</f>
        <v>#REF!</v>
      </c>
      <c r="E17" s="81" t="e">
        <f ca="1">VLOOKUP(CONCATENATE(LEFT(E$7, 7), "hb", "NHS ", $B17), [0]!data_range, 5, FALSE)</f>
        <v>#REF!</v>
      </c>
      <c r="F17" s="81" t="e">
        <f ca="1">VLOOKUP(CONCATENATE(LEFT(F$7, 7), "hb", "NHS ", $B17), [0]!data_range, 5, FALSE)</f>
        <v>#REF!</v>
      </c>
      <c r="G17" s="81" t="e">
        <f ca="1">VLOOKUP(CONCATENATE(LEFT(G$7, 7), "hb", "NHS ", $B17), [0]!data_range, 5, FALSE)</f>
        <v>#REF!</v>
      </c>
      <c r="H17" s="81" t="e">
        <f ca="1">VLOOKUP(CONCATENATE(LEFT(H$7, 7), "hb", "NHS ", $B17), [0]!data_range, 5, FALSE)</f>
        <v>#REF!</v>
      </c>
      <c r="I17" s="81" t="e">
        <f ca="1">VLOOKUP(CONCATENATE(LEFT(I$7, 7), "hb", "NHS ", $B17), [0]!data_range, 5, FALSE)</f>
        <v>#REF!</v>
      </c>
      <c r="J17" s="81" t="e">
        <f ca="1">VLOOKUP(CONCATENATE(LEFT(J$7, 7), "hb", "NHS ", $B17), [0]!data_range, 5, FALSE)</f>
        <v>#REF!</v>
      </c>
      <c r="K17" s="81" t="e">
        <f ca="1">VLOOKUP(CONCATENATE(LEFT(K$7, 7), "hb", "NHS ", $B17), [0]!data_range, 5, FALSE)</f>
        <v>#REF!</v>
      </c>
    </row>
    <row r="18" spans="2:11" ht="15" customHeight="1" x14ac:dyDescent="0.2">
      <c r="B18" s="15" t="s">
        <v>7</v>
      </c>
      <c r="C18" s="81" t="e">
        <f ca="1">VLOOKUP(CONCATENATE(LEFT(C$7, 7), "hb", "NHS ", $B18), [0]!data_range, 5, FALSE)</f>
        <v>#REF!</v>
      </c>
      <c r="D18" s="81" t="e">
        <f ca="1">VLOOKUP(CONCATENATE(LEFT(D$7, 7), "hb", "NHS ", $B18), [0]!data_range, 5, FALSE)</f>
        <v>#REF!</v>
      </c>
      <c r="E18" s="81" t="e">
        <f ca="1">VLOOKUP(CONCATENATE(LEFT(E$7, 7), "hb", "NHS ", $B18), [0]!data_range, 5, FALSE)</f>
        <v>#REF!</v>
      </c>
      <c r="F18" s="81" t="e">
        <f ca="1">VLOOKUP(CONCATENATE(LEFT(F$7, 7), "hb", "NHS ", $B18), [0]!data_range, 5, FALSE)</f>
        <v>#REF!</v>
      </c>
      <c r="G18" s="81" t="e">
        <f ca="1">VLOOKUP(CONCATENATE(LEFT(G$7, 7), "hb", "NHS ", $B18), [0]!data_range, 5, FALSE)</f>
        <v>#REF!</v>
      </c>
      <c r="H18" s="81" t="e">
        <f ca="1">VLOOKUP(CONCATENATE(LEFT(H$7, 7), "hb", "NHS ", $B18), [0]!data_range, 5, FALSE)</f>
        <v>#REF!</v>
      </c>
      <c r="I18" s="81" t="e">
        <f ca="1">VLOOKUP(CONCATENATE(LEFT(I$7, 7), "hb", "NHS ", $B18), [0]!data_range, 5, FALSE)</f>
        <v>#REF!</v>
      </c>
      <c r="J18" s="81" t="e">
        <f ca="1">VLOOKUP(CONCATENATE(LEFT(J$7, 7), "hb", "NHS ", $B18), [0]!data_range, 5, FALSE)</f>
        <v>#REF!</v>
      </c>
      <c r="K18" s="81" t="e">
        <f ca="1">VLOOKUP(CONCATENATE(LEFT(K$7, 7), "hb", "NHS ", $B18), [0]!data_range, 5, FALSE)</f>
        <v>#REF!</v>
      </c>
    </row>
    <row r="19" spans="2:11" ht="15" customHeight="1" x14ac:dyDescent="0.2">
      <c r="B19" s="15" t="s">
        <v>8</v>
      </c>
      <c r="C19" s="81" t="e">
        <f ca="1">VLOOKUP(CONCATENATE(LEFT(C$7, 7), "hb", "NHS ", $B19), [0]!data_range, 5, FALSE)</f>
        <v>#REF!</v>
      </c>
      <c r="D19" s="81" t="e">
        <f ca="1">VLOOKUP(CONCATENATE(LEFT(D$7, 7), "hb", "NHS ", $B19), [0]!data_range, 5, FALSE)</f>
        <v>#REF!</v>
      </c>
      <c r="E19" s="81" t="e">
        <f ca="1">VLOOKUP(CONCATENATE(LEFT(E$7, 7), "hb", "NHS ", $B19), [0]!data_range, 5, FALSE)</f>
        <v>#REF!</v>
      </c>
      <c r="F19" s="81" t="e">
        <f ca="1">VLOOKUP(CONCATENATE(LEFT(F$7, 7), "hb", "NHS ", $B19), [0]!data_range, 5, FALSE)</f>
        <v>#REF!</v>
      </c>
      <c r="G19" s="81" t="e">
        <f ca="1">VLOOKUP(CONCATENATE(LEFT(G$7, 7), "hb", "NHS ", $B19), [0]!data_range, 5, FALSE)</f>
        <v>#REF!</v>
      </c>
      <c r="H19" s="81" t="e">
        <f ca="1">VLOOKUP(CONCATENATE(LEFT(H$7, 7), "hb", "NHS ", $B19), [0]!data_range, 5, FALSE)</f>
        <v>#REF!</v>
      </c>
      <c r="I19" s="81" t="e">
        <f ca="1">VLOOKUP(CONCATENATE(LEFT(I$7, 7), "hb", "NHS ", $B19), [0]!data_range, 5, FALSE)</f>
        <v>#REF!</v>
      </c>
      <c r="J19" s="81" t="e">
        <f ca="1">VLOOKUP(CONCATENATE(LEFT(J$7, 7), "hb", "NHS ", $B19), [0]!data_range, 5, FALSE)</f>
        <v>#REF!</v>
      </c>
      <c r="K19" s="81" t="e">
        <f ca="1">VLOOKUP(CONCATENATE(LEFT(K$7, 7), "hb", "NHS ", $B19), [0]!data_range, 5, FALSE)</f>
        <v>#REF!</v>
      </c>
    </row>
    <row r="20" spans="2:11" ht="15" customHeight="1" x14ac:dyDescent="0.2">
      <c r="B20" s="15" t="s">
        <v>9</v>
      </c>
      <c r="C20" s="81" t="e">
        <f ca="1">VLOOKUP(CONCATENATE(LEFT(C$7, 7), "hb", "NHS ", $B20), [0]!data_range, 5, FALSE)</f>
        <v>#REF!</v>
      </c>
      <c r="D20" s="81" t="e">
        <f ca="1">VLOOKUP(CONCATENATE(LEFT(D$7, 7), "hb", "NHS ", $B20), [0]!data_range, 5, FALSE)</f>
        <v>#REF!</v>
      </c>
      <c r="E20" s="81" t="e">
        <f ca="1">VLOOKUP(CONCATENATE(LEFT(E$7, 7), "hb", "NHS ", $B20), [0]!data_range, 5, FALSE)</f>
        <v>#REF!</v>
      </c>
      <c r="F20" s="81" t="e">
        <f ca="1">VLOOKUP(CONCATENATE(LEFT(F$7, 7), "hb", "NHS ", $B20), [0]!data_range, 5, FALSE)</f>
        <v>#REF!</v>
      </c>
      <c r="G20" s="81" t="e">
        <f ca="1">VLOOKUP(CONCATENATE(LEFT(G$7, 7), "hb", "NHS ", $B20), [0]!data_range, 5, FALSE)</f>
        <v>#REF!</v>
      </c>
      <c r="H20" s="81" t="e">
        <f ca="1">VLOOKUP(CONCATENATE(LEFT(H$7, 7), "hb", "NHS ", $B20), [0]!data_range, 5, FALSE)</f>
        <v>#REF!</v>
      </c>
      <c r="I20" s="81" t="e">
        <f ca="1">VLOOKUP(CONCATENATE(LEFT(I$7, 7), "hb", "NHS ", $B20), [0]!data_range, 5, FALSE)</f>
        <v>#REF!</v>
      </c>
      <c r="J20" s="81" t="e">
        <f ca="1">VLOOKUP(CONCATENATE(LEFT(J$7, 7), "hb", "NHS ", $B20), [0]!data_range, 5, FALSE)</f>
        <v>#REF!</v>
      </c>
      <c r="K20" s="81" t="e">
        <f ca="1">VLOOKUP(CONCATENATE(LEFT(K$7, 7), "hb", "NHS ", $B20), [0]!data_range, 5, FALSE)</f>
        <v>#REF!</v>
      </c>
    </row>
    <row r="21" spans="2:11" ht="15" customHeight="1" x14ac:dyDescent="0.2">
      <c r="B21" s="16" t="s">
        <v>10</v>
      </c>
      <c r="C21" s="81" t="e">
        <f ca="1">VLOOKUP(CONCATENATE(LEFT(C$7, 7), "hb", "NHS ", $B21), [0]!data_range, 5, FALSE)</f>
        <v>#REF!</v>
      </c>
      <c r="D21" s="81" t="e">
        <f ca="1">VLOOKUP(CONCATENATE(LEFT(D$7, 7), "hb", "NHS ", $B21), [0]!data_range, 5, FALSE)</f>
        <v>#REF!</v>
      </c>
      <c r="E21" s="81" t="e">
        <f ca="1">VLOOKUP(CONCATENATE(LEFT(E$7, 7), "hb", "NHS ", $B21), [0]!data_range, 5, FALSE)</f>
        <v>#REF!</v>
      </c>
      <c r="F21" s="81" t="e">
        <f ca="1">VLOOKUP(CONCATENATE(LEFT(F$7, 7), "hb", "NHS ", $B21), [0]!data_range, 5, FALSE)</f>
        <v>#REF!</v>
      </c>
      <c r="G21" s="81" t="e">
        <f ca="1">VLOOKUP(CONCATENATE(LEFT(G$7, 7), "hb", "NHS ", $B21), [0]!data_range, 5, FALSE)</f>
        <v>#REF!</v>
      </c>
      <c r="H21" s="81" t="e">
        <f ca="1">VLOOKUP(CONCATENATE(LEFT(H$7, 7), "hb", "NHS ", $B21), [0]!data_range, 5, FALSE)</f>
        <v>#REF!</v>
      </c>
      <c r="I21" s="81" t="e">
        <f ca="1">VLOOKUP(CONCATENATE(LEFT(I$7, 7), "hb", "NHS ", $B21), [0]!data_range, 5, FALSE)</f>
        <v>#REF!</v>
      </c>
      <c r="J21" s="81" t="e">
        <f ca="1">VLOOKUP(CONCATENATE(LEFT(J$7, 7), "hb", "NHS ", $B21), [0]!data_range, 5, FALSE)</f>
        <v>#REF!</v>
      </c>
      <c r="K21" s="81" t="e">
        <f ca="1">VLOOKUP(CONCATENATE(LEFT(K$7, 7), "hb", "NHS ", $B21), [0]!data_range, 5, FALSE)</f>
        <v>#REF!</v>
      </c>
    </row>
    <row r="22" spans="2:11" ht="15" customHeight="1" x14ac:dyDescent="0.2">
      <c r="B22" s="56" t="s">
        <v>11</v>
      </c>
      <c r="C22" s="82" t="e">
        <f ca="1">VLOOKUP(CONCATENATE(LEFT(C$7, 7), "Scotland", $B22), [0]!data_range, 5, FALSE)</f>
        <v>#REF!</v>
      </c>
      <c r="D22" s="82" t="e">
        <f ca="1">VLOOKUP(CONCATENATE(LEFT(D$7, 7), "Scotland", $B22), [0]!data_range, 5, FALSE)</f>
        <v>#REF!</v>
      </c>
      <c r="E22" s="82" t="e">
        <f ca="1">VLOOKUP(CONCATENATE(LEFT(E$7, 7), "Scotland", $B22), [0]!data_range, 5, FALSE)</f>
        <v>#REF!</v>
      </c>
      <c r="F22" s="82" t="e">
        <f ca="1">VLOOKUP(CONCATENATE(LEFT(F$7, 7), "Scotland", $B22), [0]!data_range, 5, FALSE)</f>
        <v>#REF!</v>
      </c>
      <c r="G22" s="82" t="e">
        <f ca="1">VLOOKUP(CONCATENATE(LEFT(G$7, 7), "Scotland", $B22), [0]!data_range, 5, FALSE)</f>
        <v>#REF!</v>
      </c>
      <c r="H22" s="82" t="e">
        <f ca="1">VLOOKUP(CONCATENATE(LEFT(H$7, 7), "Scotland", $B22), [0]!data_range, 5, FALSE)</f>
        <v>#REF!</v>
      </c>
      <c r="I22" s="82" t="e">
        <f ca="1">VLOOKUP(CONCATENATE(LEFT(I$7, 7), "Scotland", $B22), [0]!data_range, 5, FALSE)</f>
        <v>#REF!</v>
      </c>
      <c r="J22" s="82" t="e">
        <f ca="1">VLOOKUP(CONCATENATE(LEFT(J$7, 7), "Scotland", $B22), [0]!data_range, 5, FALSE)</f>
        <v>#REF!</v>
      </c>
      <c r="K22" s="82" t="e">
        <f ca="1">VLOOKUP(CONCATENATE(LEFT(K$7, 7), "Scotland", $B22), [0]!data_range, 5, FALSE)</f>
        <v>#REF!</v>
      </c>
    </row>
    <row r="23" spans="2:11" ht="15" customHeight="1" x14ac:dyDescent="0.2">
      <c r="I23" s="23"/>
      <c r="J23" s="23"/>
      <c r="K23" s="23"/>
    </row>
    <row r="24" spans="2:11" ht="15" customHeight="1" x14ac:dyDescent="0.2">
      <c r="C24" s="55"/>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149</v>
      </c>
      <c r="E28" s="55"/>
      <c r="F28" s="55"/>
      <c r="G28" s="55"/>
      <c r="I28" s="23"/>
      <c r="J28" s="23"/>
      <c r="K28" s="23"/>
    </row>
    <row r="29" spans="2:11" ht="15" customHeight="1" x14ac:dyDescent="0.2">
      <c r="B29" s="21" t="s">
        <v>142</v>
      </c>
      <c r="E29" s="55"/>
      <c r="F29" s="55"/>
      <c r="G29" s="55"/>
      <c r="I29" s="23"/>
      <c r="J29" s="23"/>
      <c r="K29" s="23"/>
    </row>
    <row r="30" spans="2:11" ht="15" customHeight="1" x14ac:dyDescent="0.2">
      <c r="B30" s="21" t="e">
        <f ca="1">"    1. Data for " &amp; [0]!fy_max &amp;" are incomplete and will be revised in October 20" &amp; RIGHT([0]!fy_max, 2) &amp; " publication"</f>
        <v>#REF!</v>
      </c>
      <c r="E30" s="55"/>
      <c r="F30" s="55"/>
      <c r="G30" s="55"/>
      <c r="I30" s="23"/>
      <c r="J30" s="23"/>
      <c r="K30" s="23"/>
    </row>
    <row r="31" spans="2:11" ht="15" customHeight="1" x14ac:dyDescent="0.2">
      <c r="E31" s="55"/>
      <c r="F31" s="55"/>
      <c r="G31" s="55"/>
      <c r="I31" s="23"/>
      <c r="J31" s="23"/>
      <c r="K31" s="23"/>
    </row>
    <row r="32" spans="2:11" ht="15" customHeight="1" x14ac:dyDescent="0.2">
      <c r="E32" s="55"/>
      <c r="F32" s="55"/>
      <c r="G32" s="55"/>
      <c r="I32" s="23"/>
      <c r="J32" s="23"/>
      <c r="K32" s="23"/>
    </row>
    <row r="33" spans="5:11" ht="15" customHeight="1" x14ac:dyDescent="0.2">
      <c r="E33" s="55"/>
      <c r="F33" s="55"/>
      <c r="G33" s="55"/>
      <c r="I33" s="23"/>
      <c r="J33" s="23"/>
      <c r="K33" s="23"/>
    </row>
    <row r="34" spans="5:11" ht="15" customHeight="1" x14ac:dyDescent="0.2">
      <c r="E34" s="55"/>
      <c r="F34" s="55"/>
      <c r="G34" s="55"/>
      <c r="I34" s="23"/>
      <c r="J34" s="23"/>
      <c r="K34" s="23"/>
    </row>
    <row r="35" spans="5:11" ht="15" customHeight="1" x14ac:dyDescent="0.2">
      <c r="E35" s="55"/>
      <c r="F35" s="55"/>
      <c r="G35" s="55"/>
      <c r="I35" s="23"/>
      <c r="J35" s="23"/>
      <c r="K35" s="23"/>
    </row>
    <row r="36" spans="5:11" x14ac:dyDescent="0.2">
      <c r="E36" s="55"/>
      <c r="F36" s="55"/>
      <c r="G36" s="55"/>
      <c r="I36" s="23"/>
      <c r="J36" s="23"/>
      <c r="K36" s="23"/>
    </row>
    <row r="37" spans="5:11" x14ac:dyDescent="0.2">
      <c r="E37" s="55"/>
      <c r="F37" s="55"/>
      <c r="G37" s="55"/>
      <c r="I37" s="23"/>
      <c r="J37" s="23"/>
      <c r="K37" s="23"/>
    </row>
    <row r="38" spans="5:11" x14ac:dyDescent="0.2">
      <c r="E38" s="55"/>
      <c r="F38" s="55"/>
      <c r="G38" s="55"/>
      <c r="I38" s="23"/>
      <c r="J38" s="23"/>
      <c r="K38" s="23"/>
    </row>
    <row r="39" spans="5:11" x14ac:dyDescent="0.2">
      <c r="E39" s="55"/>
      <c r="F39" s="55"/>
      <c r="G39" s="55"/>
      <c r="I39" s="23"/>
      <c r="J39" s="23"/>
      <c r="K39" s="23"/>
    </row>
    <row r="40" spans="5:11" x14ac:dyDescent="0.2">
      <c r="E40" s="55"/>
      <c r="F40" s="55"/>
      <c r="G40" s="55"/>
      <c r="I40" s="23"/>
      <c r="J40" s="23"/>
      <c r="K40" s="23"/>
    </row>
    <row r="41" spans="5:11" x14ac:dyDescent="0.2">
      <c r="I41" s="23"/>
      <c r="J41" s="23"/>
      <c r="K41" s="23"/>
    </row>
    <row r="42" spans="5:11" x14ac:dyDescent="0.2">
      <c r="I42" s="23"/>
      <c r="J42" s="23"/>
      <c r="K42" s="23"/>
    </row>
    <row r="43" spans="5:11" x14ac:dyDescent="0.2">
      <c r="I43" s="23"/>
      <c r="J43" s="23"/>
      <c r="K43" s="23"/>
    </row>
    <row r="44" spans="5:11" x14ac:dyDescent="0.2">
      <c r="I44" s="23"/>
      <c r="J44" s="23"/>
      <c r="K44" s="23"/>
    </row>
    <row r="45" spans="5:11" x14ac:dyDescent="0.2">
      <c r="I45" s="23"/>
      <c r="J45" s="23"/>
      <c r="K45" s="23"/>
    </row>
    <row r="46" spans="5:11" x14ac:dyDescent="0.2">
      <c r="I46" s="23"/>
      <c r="J46" s="23"/>
      <c r="K46" s="23"/>
    </row>
    <row r="47" spans="5:11" x14ac:dyDescent="0.2">
      <c r="I47" s="23"/>
      <c r="J47" s="23"/>
      <c r="K47" s="23"/>
    </row>
    <row r="48" spans="5:11" x14ac:dyDescent="0.2">
      <c r="I48" s="23"/>
      <c r="J48" s="23"/>
      <c r="K48" s="23"/>
    </row>
    <row r="49" spans="9:11" x14ac:dyDescent="0.2">
      <c r="I49" s="23"/>
      <c r="J49" s="23"/>
      <c r="K49" s="23"/>
    </row>
    <row r="50" spans="9:11" x14ac:dyDescent="0.2">
      <c r="I50" s="23"/>
      <c r="J50" s="23"/>
      <c r="K50" s="23"/>
    </row>
    <row r="51" spans="9:11" x14ac:dyDescent="0.2">
      <c r="I51" s="23"/>
      <c r="J51" s="23"/>
      <c r="K51" s="23"/>
    </row>
    <row r="52" spans="9:11" x14ac:dyDescent="0.2">
      <c r="I52" s="23"/>
      <c r="J52" s="23"/>
      <c r="K52" s="23"/>
    </row>
    <row r="53" spans="9:11" x14ac:dyDescent="0.2">
      <c r="I53" s="23"/>
      <c r="J53" s="23"/>
      <c r="K53" s="23"/>
    </row>
    <row r="54" spans="9:11" x14ac:dyDescent="0.2">
      <c r="I54" s="23"/>
      <c r="J54" s="23"/>
      <c r="K54" s="23"/>
    </row>
    <row r="55" spans="9:11" x14ac:dyDescent="0.2">
      <c r="I55" s="23"/>
      <c r="J55" s="23"/>
      <c r="K55" s="23"/>
    </row>
    <row r="56" spans="9:11" x14ac:dyDescent="0.2">
      <c r="I56" s="23"/>
      <c r="J56" s="23"/>
      <c r="K56" s="23"/>
    </row>
    <row r="57" spans="9:11" x14ac:dyDescent="0.2">
      <c r="I57" s="23"/>
      <c r="J57" s="23"/>
      <c r="K57" s="23"/>
    </row>
    <row r="58" spans="9:11" x14ac:dyDescent="0.2">
      <c r="I58" s="23"/>
      <c r="J58" s="23"/>
      <c r="K58" s="23"/>
    </row>
    <row r="59" spans="9:11" x14ac:dyDescent="0.2">
      <c r="I59" s="23"/>
      <c r="J59" s="23"/>
      <c r="K59" s="23"/>
    </row>
    <row r="60" spans="9:11" x14ac:dyDescent="0.2">
      <c r="I60" s="23"/>
      <c r="J60" s="23"/>
      <c r="K60" s="23"/>
    </row>
    <row r="61" spans="9:11" x14ac:dyDescent="0.2">
      <c r="I61" s="23"/>
      <c r="J61" s="23"/>
      <c r="K61" s="23"/>
    </row>
    <row r="62" spans="9:11" x14ac:dyDescent="0.2">
      <c r="I62" s="23"/>
      <c r="J62" s="23"/>
      <c r="K62" s="23"/>
    </row>
    <row r="63" spans="9:11" x14ac:dyDescent="0.2">
      <c r="I63" s="23"/>
      <c r="J63" s="23"/>
      <c r="K63" s="23"/>
    </row>
    <row r="64" spans="9:11" x14ac:dyDescent="0.2">
      <c r="I64" s="23"/>
      <c r="J64" s="23"/>
      <c r="K64" s="23"/>
    </row>
    <row r="65" spans="9:11" x14ac:dyDescent="0.2">
      <c r="I65" s="23"/>
      <c r="J65" s="23"/>
      <c r="K65" s="23"/>
    </row>
    <row r="66" spans="9:11" x14ac:dyDescent="0.2">
      <c r="I66" s="23"/>
      <c r="J66" s="23"/>
      <c r="K66" s="23"/>
    </row>
    <row r="67" spans="9:1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100" t="str">
        <f>Notes!B1:O1</f>
        <v/>
      </c>
      <c r="C1" s="100"/>
      <c r="D1" s="100"/>
      <c r="E1" s="100"/>
      <c r="F1" s="100"/>
      <c r="G1" s="100"/>
      <c r="H1" s="100"/>
      <c r="I1" s="100"/>
      <c r="J1" s="100"/>
    </row>
    <row r="2" spans="2:29" ht="15" customHeight="1" x14ac:dyDescent="0.25">
      <c r="B2" s="4" t="s">
        <v>135</v>
      </c>
      <c r="J2" s="23"/>
      <c r="K2" s="23"/>
      <c r="L2" s="5"/>
    </row>
    <row r="3" spans="2:29" ht="15" customHeight="1" x14ac:dyDescent="0.25">
      <c r="B3" s="4" t="s">
        <v>144</v>
      </c>
      <c r="J3" s="23"/>
      <c r="K3" s="23"/>
      <c r="L3" s="5"/>
    </row>
    <row r="4" spans="2:29" ht="15" customHeight="1" x14ac:dyDescent="0.25">
      <c r="B4" s="4"/>
      <c r="J4" s="23"/>
      <c r="K4" s="23"/>
      <c r="L4" s="5"/>
    </row>
    <row r="5" spans="2:29" ht="15" customHeight="1" x14ac:dyDescent="0.2">
      <c r="G5" s="10" t="s">
        <v>12</v>
      </c>
      <c r="J5" s="23"/>
      <c r="K5" s="51"/>
      <c r="L5" s="5"/>
    </row>
    <row r="6" spans="2:29"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c r="L6" s="7"/>
      <c r="M6" s="9"/>
      <c r="N6" s="9"/>
      <c r="O6" s="9"/>
      <c r="P6" s="9"/>
      <c r="Q6" s="9"/>
      <c r="R6" s="9"/>
      <c r="S6" s="9"/>
      <c r="T6" s="9"/>
      <c r="U6" s="9"/>
      <c r="V6" s="9"/>
      <c r="W6" s="9"/>
      <c r="X6" s="9"/>
      <c r="Y6" s="9"/>
      <c r="Z6" s="9"/>
    </row>
    <row r="7" spans="2:29" ht="15" customHeight="1" x14ac:dyDescent="0.2">
      <c r="B7" s="57" t="s">
        <v>145</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58"/>
      <c r="M7" s="12"/>
      <c r="N7" s="12"/>
      <c r="O7" s="12"/>
      <c r="P7" s="12"/>
      <c r="Q7" s="12"/>
      <c r="R7" s="12"/>
      <c r="S7" s="12"/>
      <c r="T7" s="9"/>
      <c r="U7" s="9"/>
      <c r="V7" s="9"/>
      <c r="W7" s="9"/>
      <c r="X7" s="9"/>
      <c r="Y7" s="9"/>
      <c r="Z7" s="9"/>
    </row>
    <row r="8" spans="2:29" ht="15" customHeight="1" x14ac:dyDescent="0.25">
      <c r="B8" s="23" t="s">
        <v>90</v>
      </c>
      <c r="C8" s="83" t="e">
        <f ca="1">VLOOKUP(CONCATENATE(LEFT(C$7, 7), "hscp", $B8), [0]!data_range, 5, FALSE)</f>
        <v>#REF!</v>
      </c>
      <c r="D8" s="83" t="e">
        <f ca="1">VLOOKUP(CONCATENATE(LEFT(D$7, 7), "hscp", $B8), [0]!data_range, 5, FALSE)</f>
        <v>#REF!</v>
      </c>
      <c r="E8" s="83" t="e">
        <f ca="1">VLOOKUP(CONCATENATE(LEFT(E$7, 7), "hscp", $B8), [0]!data_range, 5, FALSE)</f>
        <v>#REF!</v>
      </c>
      <c r="F8" s="83" t="e">
        <f ca="1">VLOOKUP(CONCATENATE(LEFT(F$7, 7), "hscp", $B8), [0]!data_range, 5, FALSE)</f>
        <v>#REF!</v>
      </c>
      <c r="G8" s="83" t="e">
        <f ca="1">VLOOKUP(CONCATENATE(LEFT(G$7, 7), "hscp", $B8), [0]!data_range, 5, FALSE)</f>
        <v>#REF!</v>
      </c>
      <c r="H8" s="83" t="e">
        <f ca="1">VLOOKUP(CONCATENATE(LEFT(H$7, 7), "hscp", $B8), [0]!data_range, 5, FALSE)</f>
        <v>#REF!</v>
      </c>
      <c r="I8" s="83" t="e">
        <f ca="1">VLOOKUP(CONCATENATE(LEFT(I$7, 7), "hscp", $B8), [0]!data_range, 5, FALSE)</f>
        <v>#REF!</v>
      </c>
      <c r="J8" s="83" t="e">
        <f ca="1">VLOOKUP(CONCATENATE(LEFT(J$7, 7), "hscp", $B8), [0]!data_range, 5, FALSE)</f>
        <v>#REF!</v>
      </c>
      <c r="K8" s="83" t="e">
        <f ca="1">VLOOKUP(CONCATENATE(LEFT(K$7, 7), "hscp", $B8), [0]!data_range, 5, FALSE)</f>
        <v>#REF!</v>
      </c>
      <c r="L8" s="59"/>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83" t="e">
        <f ca="1">VLOOKUP(CONCATENATE(LEFT(C$7, 7), "hscp", $B9), [0]!data_range, 5, FALSE)</f>
        <v>#REF!</v>
      </c>
      <c r="D9" s="83" t="e">
        <f ca="1">VLOOKUP(CONCATENATE(LEFT(D$7, 7), "hscp", $B9), [0]!data_range, 5, FALSE)</f>
        <v>#REF!</v>
      </c>
      <c r="E9" s="83" t="e">
        <f ca="1">VLOOKUP(CONCATENATE(LEFT(E$7, 7), "hscp", $B9), [0]!data_range, 5, FALSE)</f>
        <v>#REF!</v>
      </c>
      <c r="F9" s="83" t="e">
        <f ca="1">VLOOKUP(CONCATENATE(LEFT(F$7, 7), "hscp", $B9), [0]!data_range, 5, FALSE)</f>
        <v>#REF!</v>
      </c>
      <c r="G9" s="83" t="e">
        <f ca="1">VLOOKUP(CONCATENATE(LEFT(G$7, 7), "hscp", $B9), [0]!data_range, 5, FALSE)</f>
        <v>#REF!</v>
      </c>
      <c r="H9" s="83" t="e">
        <f ca="1">VLOOKUP(CONCATENATE(LEFT(H$7, 7), "hscp", $B9), [0]!data_range, 5, FALSE)</f>
        <v>#REF!</v>
      </c>
      <c r="I9" s="83" t="e">
        <f ca="1">VLOOKUP(CONCATENATE(LEFT(I$7, 7), "hscp", $B9), [0]!data_range, 5, FALSE)</f>
        <v>#REF!</v>
      </c>
      <c r="J9" s="83" t="e">
        <f ca="1">VLOOKUP(CONCATENATE(LEFT(J$7, 7), "hscp", $B9), [0]!data_range, 5, FALSE)</f>
        <v>#REF!</v>
      </c>
      <c r="K9" s="83" t="e">
        <f ca="1">VLOOKUP(CONCATENATE(LEFT(K$7, 7), "hscp", $B9), [0]!data_range, 5, FALSE)</f>
        <v>#REF!</v>
      </c>
      <c r="L9" s="60"/>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83" t="e">
        <f ca="1">VLOOKUP(CONCATENATE(LEFT(C$7, 7), "hscp", $B10), [0]!data_range, 5, FALSE)</f>
        <v>#REF!</v>
      </c>
      <c r="D10" s="83" t="e">
        <f ca="1">VLOOKUP(CONCATENATE(LEFT(D$7, 7), "hscp", $B10), [0]!data_range, 5, FALSE)</f>
        <v>#REF!</v>
      </c>
      <c r="E10" s="83" t="e">
        <f ca="1">VLOOKUP(CONCATENATE(LEFT(E$7, 7), "hscp", $B10), [0]!data_range, 5, FALSE)</f>
        <v>#REF!</v>
      </c>
      <c r="F10" s="83" t="e">
        <f ca="1">VLOOKUP(CONCATENATE(LEFT(F$7, 7), "hscp", $B10), [0]!data_range, 5, FALSE)</f>
        <v>#REF!</v>
      </c>
      <c r="G10" s="83" t="e">
        <f ca="1">VLOOKUP(CONCATENATE(LEFT(G$7, 7), "hscp", $B10), [0]!data_range, 5, FALSE)</f>
        <v>#REF!</v>
      </c>
      <c r="H10" s="83" t="e">
        <f ca="1">VLOOKUP(CONCATENATE(LEFT(H$7, 7), "hscp", $B10), [0]!data_range, 5, FALSE)</f>
        <v>#REF!</v>
      </c>
      <c r="I10" s="83" t="e">
        <f ca="1">VLOOKUP(CONCATENATE(LEFT(I$7, 7), "hscp", $B10), [0]!data_range, 5, FALSE)</f>
        <v>#REF!</v>
      </c>
      <c r="J10" s="83" t="e">
        <f ca="1">VLOOKUP(CONCATENATE(LEFT(J$7, 7), "hscp", $B10), [0]!data_range, 5, FALSE)</f>
        <v>#REF!</v>
      </c>
      <c r="K10" s="83" t="e">
        <f ca="1">VLOOKUP(CONCATENATE(LEFT(K$7, 7), "hscp", $B10), [0]!data_range, 5, FALSE)</f>
        <v>#REF!</v>
      </c>
      <c r="L10" s="60"/>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200</v>
      </c>
      <c r="C11" s="83" t="e">
        <f ca="1">VLOOKUP(CONCATENATE(LEFT(C$7, 7), "hscp", $B11), [0]!data_range, 5, FALSE)</f>
        <v>#REF!</v>
      </c>
      <c r="D11" s="83" t="e">
        <f ca="1">VLOOKUP(CONCATENATE(LEFT(D$7, 7), "hscp", $B11), [0]!data_range, 5, FALSE)</f>
        <v>#REF!</v>
      </c>
      <c r="E11" s="83" t="e">
        <f ca="1">VLOOKUP(CONCATENATE(LEFT(E$7, 7), "hscp", $B11), [0]!data_range, 5, FALSE)</f>
        <v>#REF!</v>
      </c>
      <c r="F11" s="83" t="e">
        <f ca="1">VLOOKUP(CONCATENATE(LEFT(F$7, 7), "hscp", $B11), [0]!data_range, 5, FALSE)</f>
        <v>#REF!</v>
      </c>
      <c r="G11" s="83" t="e">
        <f ca="1">VLOOKUP(CONCATENATE(LEFT(G$7, 7), "hscp", $B11), [0]!data_range, 5, FALSE)</f>
        <v>#REF!</v>
      </c>
      <c r="H11" s="83" t="e">
        <f ca="1">VLOOKUP(CONCATENATE(LEFT(H$7, 7), "hscp", $B11), [0]!data_range, 5, FALSE)</f>
        <v>#REF!</v>
      </c>
      <c r="I11" s="83" t="e">
        <f ca="1">VLOOKUP(CONCATENATE(LEFT(I$7, 7), "hscp", $B11), [0]!data_range, 5, FALSE)</f>
        <v>#REF!</v>
      </c>
      <c r="J11" s="83" t="e">
        <f ca="1">VLOOKUP(CONCATENATE(LEFT(J$7, 7), "hscp", $B11), [0]!data_range, 5, FALSE)</f>
        <v>#REF!</v>
      </c>
      <c r="K11" s="83" t="e">
        <f ca="1">VLOOKUP(CONCATENATE(LEFT(K$7, 7), "hscp", $B11), [0]!data_range, 5, FALSE)</f>
        <v>#REF!</v>
      </c>
      <c r="L11" s="60"/>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148</v>
      </c>
      <c r="C12" s="83" t="e">
        <f ca="1">VLOOKUP(CONCATENATE(LEFT(C$7, 7), "hscp", $B12), [0]!data_range, 5, FALSE)</f>
        <v>#REF!</v>
      </c>
      <c r="D12" s="83" t="e">
        <f ca="1">VLOOKUP(CONCATENATE(LEFT(D$7, 7), "hscp", $B12), [0]!data_range, 5, FALSE)</f>
        <v>#REF!</v>
      </c>
      <c r="E12" s="83" t="e">
        <f ca="1">VLOOKUP(CONCATENATE(LEFT(E$7, 7), "hscp", $B12), [0]!data_range, 5, FALSE)</f>
        <v>#REF!</v>
      </c>
      <c r="F12" s="83" t="e">
        <f ca="1">VLOOKUP(CONCATENATE(LEFT(F$7, 7), "hscp", $B12), [0]!data_range, 5, FALSE)</f>
        <v>#REF!</v>
      </c>
      <c r="G12" s="83" t="e">
        <f ca="1">VLOOKUP(CONCATENATE(LEFT(G$7, 7), "hscp", $B12), [0]!data_range, 5, FALSE)</f>
        <v>#REF!</v>
      </c>
      <c r="H12" s="83" t="e">
        <f ca="1">VLOOKUP(CONCATENATE(LEFT(H$7, 7), "hscp", $B12), [0]!data_range, 5, FALSE)</f>
        <v>#REF!</v>
      </c>
      <c r="I12" s="83" t="e">
        <f ca="1">VLOOKUP(CONCATENATE(LEFT(I$7, 7), "hscp", $B12), [0]!data_range, 5, FALSE)</f>
        <v>#REF!</v>
      </c>
      <c r="J12" s="83" t="e">
        <f ca="1">VLOOKUP(CONCATENATE(LEFT(J$7, 7), "hscp", $B12), [0]!data_range, 5, FALSE)</f>
        <v>#REF!</v>
      </c>
      <c r="K12" s="83" t="e">
        <f ca="1">VLOOKUP(CONCATENATE(LEFT(K$7, 7), "hscp", $B12), [0]!data_range, 5, FALSE)</f>
        <v>#REF!</v>
      </c>
      <c r="L12" s="60"/>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198</v>
      </c>
      <c r="C13" s="83" t="e">
        <f ca="1">VLOOKUP(CONCATENATE(LEFT(C$7, 7), "hscp", $B13), [0]!data_range, 5, FALSE)</f>
        <v>#REF!</v>
      </c>
      <c r="D13" s="83" t="e">
        <f ca="1">VLOOKUP(CONCATENATE(LEFT(D$7, 7), "hscp", $B13), [0]!data_range, 5, FALSE)</f>
        <v>#REF!</v>
      </c>
      <c r="E13" s="83" t="e">
        <f ca="1">VLOOKUP(CONCATENATE(LEFT(E$7, 7), "hscp", $B13), [0]!data_range, 5, FALSE)</f>
        <v>#REF!</v>
      </c>
      <c r="F13" s="83" t="e">
        <f ca="1">VLOOKUP(CONCATENATE(LEFT(F$7, 7), "hscp", $B13), [0]!data_range, 5, FALSE)</f>
        <v>#REF!</v>
      </c>
      <c r="G13" s="83" t="e">
        <f ca="1">VLOOKUP(CONCATENATE(LEFT(G$7, 7), "hscp", $B13), [0]!data_range, 5, FALSE)</f>
        <v>#REF!</v>
      </c>
      <c r="H13" s="83" t="e">
        <f ca="1">VLOOKUP(CONCATENATE(LEFT(H$7, 7), "hscp", $B13), [0]!data_range, 5, FALSE)</f>
        <v>#REF!</v>
      </c>
      <c r="I13" s="83" t="e">
        <f ca="1">VLOOKUP(CONCATENATE(LEFT(I$7, 7), "hscp", $B13), [0]!data_range, 5, FALSE)</f>
        <v>#REF!</v>
      </c>
      <c r="J13" s="83" t="e">
        <f ca="1">VLOOKUP(CONCATENATE(LEFT(J$7, 7), "hscp", $B13), [0]!data_range, 5, FALSE)</f>
        <v>#REF!</v>
      </c>
      <c r="K13" s="83" t="e">
        <f ca="1">VLOOKUP(CONCATENATE(LEFT(K$7, 7), "hscp", $B13), [0]!data_range, 5, FALSE)</f>
        <v>#REF!</v>
      </c>
      <c r="L13" s="60"/>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83" t="e">
        <f ca="1">VLOOKUP(CONCATENATE(LEFT(C$7, 7), "hscp", $B14), [0]!data_range, 5, FALSE)</f>
        <v>#REF!</v>
      </c>
      <c r="D14" s="83" t="e">
        <f ca="1">VLOOKUP(CONCATENATE(LEFT(D$7, 7), "hscp", $B14), [0]!data_range, 5, FALSE)</f>
        <v>#REF!</v>
      </c>
      <c r="E14" s="83" t="e">
        <f ca="1">VLOOKUP(CONCATENATE(LEFT(E$7, 7), "hscp", $B14), [0]!data_range, 5, FALSE)</f>
        <v>#REF!</v>
      </c>
      <c r="F14" s="83" t="e">
        <f ca="1">VLOOKUP(CONCATENATE(LEFT(F$7, 7), "hscp", $B14), [0]!data_range, 5, FALSE)</f>
        <v>#REF!</v>
      </c>
      <c r="G14" s="83" t="e">
        <f ca="1">VLOOKUP(CONCATENATE(LEFT(G$7, 7), "hscp", $B14), [0]!data_range, 5, FALSE)</f>
        <v>#REF!</v>
      </c>
      <c r="H14" s="83" t="e">
        <f ca="1">VLOOKUP(CONCATENATE(LEFT(H$7, 7), "hscp", $B14), [0]!data_range, 5, FALSE)</f>
        <v>#REF!</v>
      </c>
      <c r="I14" s="83" t="e">
        <f ca="1">VLOOKUP(CONCATENATE(LEFT(I$7, 7), "hscp", $B14), [0]!data_range, 5, FALSE)</f>
        <v>#REF!</v>
      </c>
      <c r="J14" s="83" t="e">
        <f ca="1">VLOOKUP(CONCATENATE(LEFT(J$7, 7), "hscp", $B14), [0]!data_range, 5, FALSE)</f>
        <v>#REF!</v>
      </c>
      <c r="K14" s="83" t="e">
        <f ca="1">VLOOKUP(CONCATENATE(LEFT(K$7, 7), "hscp", $B14), [0]!data_range, 5, FALSE)</f>
        <v>#REF!</v>
      </c>
      <c r="L14" s="60"/>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83" t="e">
        <f ca="1">VLOOKUP(CONCATENATE(LEFT(C$7, 7), "hscp", $B15), [0]!data_range, 5, FALSE)</f>
        <v>#REF!</v>
      </c>
      <c r="D15" s="83" t="e">
        <f ca="1">VLOOKUP(CONCATENATE(LEFT(D$7, 7), "hscp", $B15), [0]!data_range, 5, FALSE)</f>
        <v>#REF!</v>
      </c>
      <c r="E15" s="83" t="e">
        <f ca="1">VLOOKUP(CONCATENATE(LEFT(E$7, 7), "hscp", $B15), [0]!data_range, 5, FALSE)</f>
        <v>#REF!</v>
      </c>
      <c r="F15" s="83" t="e">
        <f ca="1">VLOOKUP(CONCATENATE(LEFT(F$7, 7), "hscp", $B15), [0]!data_range, 5, FALSE)</f>
        <v>#REF!</v>
      </c>
      <c r="G15" s="83" t="e">
        <f ca="1">VLOOKUP(CONCATENATE(LEFT(G$7, 7), "hscp", $B15), [0]!data_range, 5, FALSE)</f>
        <v>#REF!</v>
      </c>
      <c r="H15" s="83" t="e">
        <f ca="1">VLOOKUP(CONCATENATE(LEFT(H$7, 7), "hscp", $B15), [0]!data_range, 5, FALSE)</f>
        <v>#REF!</v>
      </c>
      <c r="I15" s="83" t="e">
        <f ca="1">VLOOKUP(CONCATENATE(LEFT(I$7, 7), "hscp", $B15), [0]!data_range, 5, FALSE)</f>
        <v>#REF!</v>
      </c>
      <c r="J15" s="83" t="e">
        <f ca="1">VLOOKUP(CONCATENATE(LEFT(J$7, 7), "hscp", $B15), [0]!data_range, 5, FALSE)</f>
        <v>#REF!</v>
      </c>
      <c r="K15" s="83" t="e">
        <f ca="1">VLOOKUP(CONCATENATE(LEFT(K$7, 7), "hscp", $B15), [0]!data_range, 5, FALSE)</f>
        <v>#REF!</v>
      </c>
      <c r="L15" s="60"/>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83" t="e">
        <f ca="1">VLOOKUP(CONCATENATE(LEFT(C$7, 7), "hscp", $B16), [0]!data_range, 5, FALSE)</f>
        <v>#REF!</v>
      </c>
      <c r="D16" s="83" t="e">
        <f ca="1">VLOOKUP(CONCATENATE(LEFT(D$7, 7), "hscp", $B16), [0]!data_range, 5, FALSE)</f>
        <v>#REF!</v>
      </c>
      <c r="E16" s="83" t="e">
        <f ca="1">VLOOKUP(CONCATENATE(LEFT(E$7, 7), "hscp", $B16), [0]!data_range, 5, FALSE)</f>
        <v>#REF!</v>
      </c>
      <c r="F16" s="83" t="e">
        <f ca="1">VLOOKUP(CONCATENATE(LEFT(F$7, 7), "hscp", $B16), [0]!data_range, 5, FALSE)</f>
        <v>#REF!</v>
      </c>
      <c r="G16" s="83" t="e">
        <f ca="1">VLOOKUP(CONCATENATE(LEFT(G$7, 7), "hscp", $B16), [0]!data_range, 5, FALSE)</f>
        <v>#REF!</v>
      </c>
      <c r="H16" s="83" t="e">
        <f ca="1">VLOOKUP(CONCATENATE(LEFT(H$7, 7), "hscp", $B16), [0]!data_range, 5, FALSE)</f>
        <v>#REF!</v>
      </c>
      <c r="I16" s="83" t="e">
        <f ca="1">VLOOKUP(CONCATENATE(LEFT(I$7, 7), "hscp", $B16), [0]!data_range, 5, FALSE)</f>
        <v>#REF!</v>
      </c>
      <c r="J16" s="83" t="e">
        <f ca="1">VLOOKUP(CONCATENATE(LEFT(J$7, 7), "hscp", $B16), [0]!data_range, 5, FALSE)</f>
        <v>#REF!</v>
      </c>
      <c r="K16" s="83" t="e">
        <f ca="1">VLOOKUP(CONCATENATE(LEFT(K$7, 7), "hscp", $B16), [0]!data_range, 5, FALSE)</f>
        <v>#REF!</v>
      </c>
      <c r="L16" s="60"/>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83" t="e">
        <f ca="1">VLOOKUP(CONCATENATE(LEFT(C$7, 7), "hscp", $B17), [0]!data_range, 5, FALSE)</f>
        <v>#REF!</v>
      </c>
      <c r="D17" s="83" t="e">
        <f ca="1">VLOOKUP(CONCATENATE(LEFT(D$7, 7), "hscp", $B17), [0]!data_range, 5, FALSE)</f>
        <v>#REF!</v>
      </c>
      <c r="E17" s="83" t="e">
        <f ca="1">VLOOKUP(CONCATENATE(LEFT(E$7, 7), "hscp", $B17), [0]!data_range, 5, FALSE)</f>
        <v>#REF!</v>
      </c>
      <c r="F17" s="83" t="e">
        <f ca="1">VLOOKUP(CONCATENATE(LEFT(F$7, 7), "hscp", $B17), [0]!data_range, 5, FALSE)</f>
        <v>#REF!</v>
      </c>
      <c r="G17" s="83" t="e">
        <f ca="1">VLOOKUP(CONCATENATE(LEFT(G$7, 7), "hscp", $B17), [0]!data_range, 5, FALSE)</f>
        <v>#REF!</v>
      </c>
      <c r="H17" s="83" t="e">
        <f ca="1">VLOOKUP(CONCATENATE(LEFT(H$7, 7), "hscp", $B17), [0]!data_range, 5, FALSE)</f>
        <v>#REF!</v>
      </c>
      <c r="I17" s="83" t="e">
        <f ca="1">VLOOKUP(CONCATENATE(LEFT(I$7, 7), "hscp", $B17), [0]!data_range, 5, FALSE)</f>
        <v>#REF!</v>
      </c>
      <c r="J17" s="83" t="e">
        <f ca="1">VLOOKUP(CONCATENATE(LEFT(J$7, 7), "hscp", $B17), [0]!data_range, 5, FALSE)</f>
        <v>#REF!</v>
      </c>
      <c r="K17" s="83" t="e">
        <f ca="1">VLOOKUP(CONCATENATE(LEFT(K$7, 7), "hscp", $B17), [0]!data_range, 5, FALSE)</f>
        <v>#REF!</v>
      </c>
      <c r="L17" s="60"/>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83" t="e">
        <f ca="1">VLOOKUP(CONCATENATE(LEFT(C$7, 7), "hscp", $B18), [0]!data_range, 5, FALSE)</f>
        <v>#REF!</v>
      </c>
      <c r="D18" s="83" t="e">
        <f ca="1">VLOOKUP(CONCATENATE(LEFT(D$7, 7), "hscp", $B18), [0]!data_range, 5, FALSE)</f>
        <v>#REF!</v>
      </c>
      <c r="E18" s="83" t="e">
        <f ca="1">VLOOKUP(CONCATENATE(LEFT(E$7, 7), "hscp", $B18), [0]!data_range, 5, FALSE)</f>
        <v>#REF!</v>
      </c>
      <c r="F18" s="83" t="e">
        <f ca="1">VLOOKUP(CONCATENATE(LEFT(F$7, 7), "hscp", $B18), [0]!data_range, 5, FALSE)</f>
        <v>#REF!</v>
      </c>
      <c r="G18" s="83" t="e">
        <f ca="1">VLOOKUP(CONCATENATE(LEFT(G$7, 7), "hscp", $B18), [0]!data_range, 5, FALSE)</f>
        <v>#REF!</v>
      </c>
      <c r="H18" s="83" t="e">
        <f ca="1">VLOOKUP(CONCATENATE(LEFT(H$7, 7), "hscp", $B18), [0]!data_range, 5, FALSE)</f>
        <v>#REF!</v>
      </c>
      <c r="I18" s="83" t="e">
        <f ca="1">VLOOKUP(CONCATENATE(LEFT(I$7, 7), "hscp", $B18), [0]!data_range, 5, FALSE)</f>
        <v>#REF!</v>
      </c>
      <c r="J18" s="83" t="e">
        <f ca="1">VLOOKUP(CONCATENATE(LEFT(J$7, 7), "hscp", $B18), [0]!data_range, 5, FALSE)</f>
        <v>#REF!</v>
      </c>
      <c r="K18" s="83" t="e">
        <f ca="1">VLOOKUP(CONCATENATE(LEFT(K$7, 7), "hscp", $B18), [0]!data_range, 5, FALSE)</f>
        <v>#REF!</v>
      </c>
      <c r="L18" s="60"/>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152</v>
      </c>
      <c r="C19" s="83" t="e">
        <f ca="1">VLOOKUP(CONCATENATE(LEFT(C$7, 7), "hscp", $B19), [0]!data_range, 5, FALSE)</f>
        <v>#REF!</v>
      </c>
      <c r="D19" s="83" t="e">
        <f ca="1">VLOOKUP(CONCATENATE(LEFT(D$7, 7), "hscp", $B19), [0]!data_range, 5, FALSE)</f>
        <v>#REF!</v>
      </c>
      <c r="E19" s="83" t="e">
        <f ca="1">VLOOKUP(CONCATENATE(LEFT(E$7, 7), "hscp", $B19), [0]!data_range, 5, FALSE)</f>
        <v>#REF!</v>
      </c>
      <c r="F19" s="83" t="e">
        <f ca="1">VLOOKUP(CONCATENATE(LEFT(F$7, 7), "hscp", $B19), [0]!data_range, 5, FALSE)</f>
        <v>#REF!</v>
      </c>
      <c r="G19" s="83" t="e">
        <f ca="1">VLOOKUP(CONCATENATE(LEFT(G$7, 7), "hscp", $B19), [0]!data_range, 5, FALSE)</f>
        <v>#REF!</v>
      </c>
      <c r="H19" s="83" t="e">
        <f ca="1">VLOOKUP(CONCATENATE(LEFT(H$7, 7), "hscp", $B19), [0]!data_range, 5, FALSE)</f>
        <v>#REF!</v>
      </c>
      <c r="I19" s="83" t="e">
        <f ca="1">VLOOKUP(CONCATENATE(LEFT(I$7, 7), "hscp", $B19), [0]!data_range, 5, FALSE)</f>
        <v>#REF!</v>
      </c>
      <c r="J19" s="83" t="e">
        <f ca="1">VLOOKUP(CONCATENATE(LEFT(J$7, 7), "hscp", $B19), [0]!data_range, 5, FALSE)</f>
        <v>#REF!</v>
      </c>
      <c r="K19" s="83" t="e">
        <f ca="1">VLOOKUP(CONCATENATE(LEFT(K$7, 7), "hscp", $B19), [0]!data_range, 5, FALSE)</f>
        <v>#REF!</v>
      </c>
      <c r="L19" s="60"/>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83" t="e">
        <f ca="1">VLOOKUP(CONCATENATE(LEFT(C$7, 7), "hscp", $B20), [0]!data_range, 5, FALSE)</f>
        <v>#REF!</v>
      </c>
      <c r="D20" s="83" t="e">
        <f ca="1">VLOOKUP(CONCATENATE(LEFT(D$7, 7), "hscp", $B20), [0]!data_range, 5, FALSE)</f>
        <v>#REF!</v>
      </c>
      <c r="E20" s="83" t="e">
        <f ca="1">VLOOKUP(CONCATENATE(LEFT(E$7, 7), "hscp", $B20), [0]!data_range, 5, FALSE)</f>
        <v>#REF!</v>
      </c>
      <c r="F20" s="83" t="e">
        <f ca="1">VLOOKUP(CONCATENATE(LEFT(F$7, 7), "hscp", $B20), [0]!data_range, 5, FALSE)</f>
        <v>#REF!</v>
      </c>
      <c r="G20" s="83" t="e">
        <f ca="1">VLOOKUP(CONCATENATE(LEFT(G$7, 7), "hscp", $B20), [0]!data_range, 5, FALSE)</f>
        <v>#REF!</v>
      </c>
      <c r="H20" s="83" t="e">
        <f ca="1">VLOOKUP(CONCATENATE(LEFT(H$7, 7), "hscp", $B20), [0]!data_range, 5, FALSE)</f>
        <v>#REF!</v>
      </c>
      <c r="I20" s="83" t="e">
        <f ca="1">VLOOKUP(CONCATENATE(LEFT(I$7, 7), "hscp", $B20), [0]!data_range, 5, FALSE)</f>
        <v>#REF!</v>
      </c>
      <c r="J20" s="83" t="e">
        <f ca="1">VLOOKUP(CONCATENATE(LEFT(J$7, 7), "hscp", $B20), [0]!data_range, 5, FALSE)</f>
        <v>#REF!</v>
      </c>
      <c r="K20" s="83" t="e">
        <f ca="1">VLOOKUP(CONCATENATE(LEFT(K$7, 7), "hscp", $B20), [0]!data_range, 5, FALSE)</f>
        <v>#REF!</v>
      </c>
      <c r="L20" s="60"/>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83" t="e">
        <f ca="1">VLOOKUP(CONCATENATE(LEFT(C$7, 7), "hscp", $B21), [0]!data_range, 5, FALSE)</f>
        <v>#REF!</v>
      </c>
      <c r="D21" s="83" t="e">
        <f ca="1">VLOOKUP(CONCATENATE(LEFT(D$7, 7), "hscp", $B21), [0]!data_range, 5, FALSE)</f>
        <v>#REF!</v>
      </c>
      <c r="E21" s="83" t="e">
        <f ca="1">VLOOKUP(CONCATENATE(LEFT(E$7, 7), "hscp", $B21), [0]!data_range, 5, FALSE)</f>
        <v>#REF!</v>
      </c>
      <c r="F21" s="83" t="e">
        <f ca="1">VLOOKUP(CONCATENATE(LEFT(F$7, 7), "hscp", $B21), [0]!data_range, 5, FALSE)</f>
        <v>#REF!</v>
      </c>
      <c r="G21" s="83" t="e">
        <f ca="1">VLOOKUP(CONCATENATE(LEFT(G$7, 7), "hscp", $B21), [0]!data_range, 5, FALSE)</f>
        <v>#REF!</v>
      </c>
      <c r="H21" s="83" t="e">
        <f ca="1">VLOOKUP(CONCATENATE(LEFT(H$7, 7), "hscp", $B21), [0]!data_range, 5, FALSE)</f>
        <v>#REF!</v>
      </c>
      <c r="I21" s="83" t="e">
        <f ca="1">VLOOKUP(CONCATENATE(LEFT(I$7, 7), "hscp", $B21), [0]!data_range, 5, FALSE)</f>
        <v>#REF!</v>
      </c>
      <c r="J21" s="83" t="e">
        <f ca="1">VLOOKUP(CONCATENATE(LEFT(J$7, 7), "hscp", $B21), [0]!data_range, 5, FALSE)</f>
        <v>#REF!</v>
      </c>
      <c r="K21" s="83" t="e">
        <f ca="1">VLOOKUP(CONCATENATE(LEFT(K$7, 7), "hscp", $B21), [0]!data_range, 5, FALSE)</f>
        <v>#REF!</v>
      </c>
      <c r="L21" s="60"/>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146</v>
      </c>
      <c r="C22" s="83" t="e">
        <f ca="1">VLOOKUP(CONCATENATE(LEFT(C$7, 7), "hscp", $B22), [0]!data_range, 5, FALSE)</f>
        <v>#REF!</v>
      </c>
      <c r="D22" s="83" t="e">
        <f ca="1">VLOOKUP(CONCATENATE(LEFT(D$7, 7), "hscp", $B22), [0]!data_range, 5, FALSE)</f>
        <v>#REF!</v>
      </c>
      <c r="E22" s="83" t="e">
        <f ca="1">VLOOKUP(CONCATENATE(LEFT(E$7, 7), "hscp", $B22), [0]!data_range, 5, FALSE)</f>
        <v>#REF!</v>
      </c>
      <c r="F22" s="83" t="e">
        <f ca="1">VLOOKUP(CONCATENATE(LEFT(F$7, 7), "hscp", $B22), [0]!data_range, 5, FALSE)</f>
        <v>#REF!</v>
      </c>
      <c r="G22" s="83" t="e">
        <f ca="1">VLOOKUP(CONCATENATE(LEFT(G$7, 7), "hscp", $B22), [0]!data_range, 5, FALSE)</f>
        <v>#REF!</v>
      </c>
      <c r="H22" s="83" t="e">
        <f ca="1">VLOOKUP(CONCATENATE(LEFT(H$7, 7), "hscp", $B22), [0]!data_range, 5, FALSE)</f>
        <v>#REF!</v>
      </c>
      <c r="I22" s="83" t="e">
        <f ca="1">VLOOKUP(CONCATENATE(LEFT(I$7, 7), "hscp", $B22), [0]!data_range, 5, FALSE)</f>
        <v>#REF!</v>
      </c>
      <c r="J22" s="83" t="e">
        <f ca="1">VLOOKUP(CONCATENATE(LEFT(J$7, 7), "hscp", $B22), [0]!data_range, 5, FALSE)</f>
        <v>#REF!</v>
      </c>
      <c r="K22" s="83" t="e">
        <f ca="1">VLOOKUP(CONCATENATE(LEFT(K$7, 7), "hscp", $B22), [0]!data_range, 5, FALSE)</f>
        <v>#REF!</v>
      </c>
      <c r="L22" s="60"/>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83" t="e">
        <f ca="1">VLOOKUP(CONCATENATE(LEFT(C$7, 7), "hscp", $B23), [0]!data_range, 5, FALSE)</f>
        <v>#REF!</v>
      </c>
      <c r="D23" s="83" t="e">
        <f ca="1">VLOOKUP(CONCATENATE(LEFT(D$7, 7), "hscp", $B23), [0]!data_range, 5, FALSE)</f>
        <v>#REF!</v>
      </c>
      <c r="E23" s="83" t="e">
        <f ca="1">VLOOKUP(CONCATENATE(LEFT(E$7, 7), "hscp", $B23), [0]!data_range, 5, FALSE)</f>
        <v>#REF!</v>
      </c>
      <c r="F23" s="83" t="e">
        <f ca="1">VLOOKUP(CONCATENATE(LEFT(F$7, 7), "hscp", $B23), [0]!data_range, 5, FALSE)</f>
        <v>#REF!</v>
      </c>
      <c r="G23" s="83" t="e">
        <f ca="1">VLOOKUP(CONCATENATE(LEFT(G$7, 7), "hscp", $B23), [0]!data_range, 5, FALSE)</f>
        <v>#REF!</v>
      </c>
      <c r="H23" s="83" t="e">
        <f ca="1">VLOOKUP(CONCATENATE(LEFT(H$7, 7), "hscp", $B23), [0]!data_range, 5, FALSE)</f>
        <v>#REF!</v>
      </c>
      <c r="I23" s="83" t="e">
        <f ca="1">VLOOKUP(CONCATENATE(LEFT(I$7, 7), "hscp", $B23), [0]!data_range, 5, FALSE)</f>
        <v>#REF!</v>
      </c>
      <c r="J23" s="83" t="e">
        <f ca="1">VLOOKUP(CONCATENATE(LEFT(J$7, 7), "hscp", $B23), [0]!data_range, 5, FALSE)</f>
        <v>#REF!</v>
      </c>
      <c r="K23" s="83" t="e">
        <f ca="1">VLOOKUP(CONCATENATE(LEFT(K$7, 7), "hscp", $B23), [0]!data_range, 5, FALSE)</f>
        <v>#REF!</v>
      </c>
      <c r="L23" s="60"/>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83" t="e">
        <f ca="1">VLOOKUP(CONCATENATE(LEFT(C$7, 7), "hscp", $B24), [0]!data_range, 5, FALSE)</f>
        <v>#REF!</v>
      </c>
      <c r="D24" s="83" t="e">
        <f ca="1">VLOOKUP(CONCATENATE(LEFT(D$7, 7), "hscp", $B24), [0]!data_range, 5, FALSE)</f>
        <v>#REF!</v>
      </c>
      <c r="E24" s="83" t="e">
        <f ca="1">VLOOKUP(CONCATENATE(LEFT(E$7, 7), "hscp", $B24), [0]!data_range, 5, FALSE)</f>
        <v>#REF!</v>
      </c>
      <c r="F24" s="83" t="e">
        <f ca="1">VLOOKUP(CONCATENATE(LEFT(F$7, 7), "hscp", $B24), [0]!data_range, 5, FALSE)</f>
        <v>#REF!</v>
      </c>
      <c r="G24" s="83" t="e">
        <f ca="1">VLOOKUP(CONCATENATE(LEFT(G$7, 7), "hscp", $B24), [0]!data_range, 5, FALSE)</f>
        <v>#REF!</v>
      </c>
      <c r="H24" s="83" t="e">
        <f ca="1">VLOOKUP(CONCATENATE(LEFT(H$7, 7), "hscp", $B24), [0]!data_range, 5, FALSE)</f>
        <v>#REF!</v>
      </c>
      <c r="I24" s="83" t="e">
        <f ca="1">VLOOKUP(CONCATENATE(LEFT(I$7, 7), "hscp", $B24), [0]!data_range, 5, FALSE)</f>
        <v>#REF!</v>
      </c>
      <c r="J24" s="83" t="e">
        <f ca="1">VLOOKUP(CONCATENATE(LEFT(J$7, 7), "hscp", $B24), [0]!data_range, 5, FALSE)</f>
        <v>#REF!</v>
      </c>
      <c r="K24" s="83" t="e">
        <f ca="1">VLOOKUP(CONCATENATE(LEFT(K$7, 7), "hscp", $B24), [0]!data_range, 5, FALSE)</f>
        <v>#REF!</v>
      </c>
      <c r="L24" s="60"/>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83" t="e">
        <f ca="1">VLOOKUP(CONCATENATE(LEFT(C$7, 7), "hscp", $B25), [0]!data_range, 5, FALSE)</f>
        <v>#REF!</v>
      </c>
      <c r="D25" s="83" t="e">
        <f ca="1">VLOOKUP(CONCATENATE(LEFT(D$7, 7), "hscp", $B25), [0]!data_range, 5, FALSE)</f>
        <v>#REF!</v>
      </c>
      <c r="E25" s="83" t="e">
        <f ca="1">VLOOKUP(CONCATENATE(LEFT(E$7, 7), "hscp", $B25), [0]!data_range, 5, FALSE)</f>
        <v>#REF!</v>
      </c>
      <c r="F25" s="83" t="e">
        <f ca="1">VLOOKUP(CONCATENATE(LEFT(F$7, 7), "hscp", $B25), [0]!data_range, 5, FALSE)</f>
        <v>#REF!</v>
      </c>
      <c r="G25" s="83" t="e">
        <f ca="1">VLOOKUP(CONCATENATE(LEFT(G$7, 7), "hscp", $B25), [0]!data_range, 5, FALSE)</f>
        <v>#REF!</v>
      </c>
      <c r="H25" s="83" t="e">
        <f ca="1">VLOOKUP(CONCATENATE(LEFT(H$7, 7), "hscp", $B25), [0]!data_range, 5, FALSE)</f>
        <v>#REF!</v>
      </c>
      <c r="I25" s="83" t="e">
        <f ca="1">VLOOKUP(CONCATENATE(LEFT(I$7, 7), "hscp", $B25), [0]!data_range, 5, FALSE)</f>
        <v>#REF!</v>
      </c>
      <c r="J25" s="83" t="e">
        <f ca="1">VLOOKUP(CONCATENATE(LEFT(J$7, 7), "hscp", $B25), [0]!data_range, 5, FALSE)</f>
        <v>#REF!</v>
      </c>
      <c r="K25" s="83" t="e">
        <f ca="1">VLOOKUP(CONCATENATE(LEFT(K$7, 7), "hscp", $B25), [0]!data_range, 5, FALSE)</f>
        <v>#REF!</v>
      </c>
      <c r="L25" s="60"/>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83" t="e">
        <f ca="1">VLOOKUP(CONCATENATE(LEFT(C$7, 7), "hscp", $B26), [0]!data_range, 5, FALSE)</f>
        <v>#REF!</v>
      </c>
      <c r="D26" s="83" t="e">
        <f ca="1">VLOOKUP(CONCATENATE(LEFT(D$7, 7), "hscp", $B26), [0]!data_range, 5, FALSE)</f>
        <v>#REF!</v>
      </c>
      <c r="E26" s="83" t="e">
        <f ca="1">VLOOKUP(CONCATENATE(LEFT(E$7, 7), "hscp", $B26), [0]!data_range, 5, FALSE)</f>
        <v>#REF!</v>
      </c>
      <c r="F26" s="83" t="e">
        <f ca="1">VLOOKUP(CONCATENATE(LEFT(F$7, 7), "hscp", $B26), [0]!data_range, 5, FALSE)</f>
        <v>#REF!</v>
      </c>
      <c r="G26" s="83" t="e">
        <f ca="1">VLOOKUP(CONCATENATE(LEFT(G$7, 7), "hscp", $B26), [0]!data_range, 5, FALSE)</f>
        <v>#REF!</v>
      </c>
      <c r="H26" s="83" t="e">
        <f ca="1">VLOOKUP(CONCATENATE(LEFT(H$7, 7), "hscp", $B26), [0]!data_range, 5, FALSE)</f>
        <v>#REF!</v>
      </c>
      <c r="I26" s="83" t="e">
        <f ca="1">VLOOKUP(CONCATENATE(LEFT(I$7, 7), "hscp", $B26), [0]!data_range, 5, FALSE)</f>
        <v>#REF!</v>
      </c>
      <c r="J26" s="83" t="e">
        <f ca="1">VLOOKUP(CONCATENATE(LEFT(J$7, 7), "hscp", $B26), [0]!data_range, 5, FALSE)</f>
        <v>#REF!</v>
      </c>
      <c r="K26" s="83" t="e">
        <f ca="1">VLOOKUP(CONCATENATE(LEFT(K$7, 7), "hscp", $B26), [0]!data_range, 5, FALSE)</f>
        <v>#REF!</v>
      </c>
      <c r="L26" s="60"/>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83" t="e">
        <f ca="1">VLOOKUP(CONCATENATE(LEFT(C$7, 7), "hscp", $B27), [0]!data_range, 5, FALSE)</f>
        <v>#REF!</v>
      </c>
      <c r="D27" s="83" t="e">
        <f ca="1">VLOOKUP(CONCATENATE(LEFT(D$7, 7), "hscp", $B27), [0]!data_range, 5, FALSE)</f>
        <v>#REF!</v>
      </c>
      <c r="E27" s="83" t="e">
        <f ca="1">VLOOKUP(CONCATENATE(LEFT(E$7, 7), "hscp", $B27), [0]!data_range, 5, FALSE)</f>
        <v>#REF!</v>
      </c>
      <c r="F27" s="83" t="e">
        <f ca="1">VLOOKUP(CONCATENATE(LEFT(F$7, 7), "hscp", $B27), [0]!data_range, 5, FALSE)</f>
        <v>#REF!</v>
      </c>
      <c r="G27" s="83" t="e">
        <f ca="1">VLOOKUP(CONCATENATE(LEFT(G$7, 7), "hscp", $B27), [0]!data_range, 5, FALSE)</f>
        <v>#REF!</v>
      </c>
      <c r="H27" s="83" t="e">
        <f ca="1">VLOOKUP(CONCATENATE(LEFT(H$7, 7), "hscp", $B27), [0]!data_range, 5, FALSE)</f>
        <v>#REF!</v>
      </c>
      <c r="I27" s="83" t="e">
        <f ca="1">VLOOKUP(CONCATENATE(LEFT(I$7, 7), "hscp", $B27), [0]!data_range, 5, FALSE)</f>
        <v>#REF!</v>
      </c>
      <c r="J27" s="83" t="e">
        <f ca="1">VLOOKUP(CONCATENATE(LEFT(J$7, 7), "hscp", $B27), [0]!data_range, 5, FALSE)</f>
        <v>#REF!</v>
      </c>
      <c r="K27" s="83" t="e">
        <f ca="1">VLOOKUP(CONCATENATE(LEFT(K$7, 7), "hscp", $B27), [0]!data_range, 5, FALSE)</f>
        <v>#REF!</v>
      </c>
      <c r="L27" s="60"/>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83" t="e">
        <f ca="1">VLOOKUP(CONCATENATE(LEFT(C$7, 7), "hscp", $B28), [0]!data_range, 5, FALSE)</f>
        <v>#REF!</v>
      </c>
      <c r="D28" s="83" t="e">
        <f ca="1">VLOOKUP(CONCATENATE(LEFT(D$7, 7), "hscp", $B28), [0]!data_range, 5, FALSE)</f>
        <v>#REF!</v>
      </c>
      <c r="E28" s="83" t="e">
        <f ca="1">VLOOKUP(CONCATENATE(LEFT(E$7, 7), "hscp", $B28), [0]!data_range, 5, FALSE)</f>
        <v>#REF!</v>
      </c>
      <c r="F28" s="83" t="e">
        <f ca="1">VLOOKUP(CONCATENATE(LEFT(F$7, 7), "hscp", $B28), [0]!data_range, 5, FALSE)</f>
        <v>#REF!</v>
      </c>
      <c r="G28" s="83" t="e">
        <f ca="1">VLOOKUP(CONCATENATE(LEFT(G$7, 7), "hscp", $B28), [0]!data_range, 5, FALSE)</f>
        <v>#REF!</v>
      </c>
      <c r="H28" s="83" t="e">
        <f ca="1">VLOOKUP(CONCATENATE(LEFT(H$7, 7), "hscp", $B28), [0]!data_range, 5, FALSE)</f>
        <v>#REF!</v>
      </c>
      <c r="I28" s="83" t="e">
        <f ca="1">VLOOKUP(CONCATENATE(LEFT(I$7, 7), "hscp", $B28), [0]!data_range, 5, FALSE)</f>
        <v>#REF!</v>
      </c>
      <c r="J28" s="83" t="e">
        <f ca="1">VLOOKUP(CONCATENATE(LEFT(J$7, 7), "hscp", $B28), [0]!data_range, 5, FALSE)</f>
        <v>#REF!</v>
      </c>
      <c r="K28" s="83" t="e">
        <f ca="1">VLOOKUP(CONCATENATE(LEFT(K$7, 7), "hscp", $B28), [0]!data_range, 5, FALSE)</f>
        <v>#REF!</v>
      </c>
      <c r="L28" s="60"/>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83" t="e">
        <f ca="1">VLOOKUP(CONCATENATE(LEFT(C$7, 7), "hscp", $B29), [0]!data_range, 5, FALSE)</f>
        <v>#REF!</v>
      </c>
      <c r="D29" s="83" t="e">
        <f ca="1">VLOOKUP(CONCATENATE(LEFT(D$7, 7), "hscp", $B29), [0]!data_range, 5, FALSE)</f>
        <v>#REF!</v>
      </c>
      <c r="E29" s="83" t="e">
        <f ca="1">VLOOKUP(CONCATENATE(LEFT(E$7, 7), "hscp", $B29), [0]!data_range, 5, FALSE)</f>
        <v>#REF!</v>
      </c>
      <c r="F29" s="83" t="e">
        <f ca="1">VLOOKUP(CONCATENATE(LEFT(F$7, 7), "hscp", $B29), [0]!data_range, 5, FALSE)</f>
        <v>#REF!</v>
      </c>
      <c r="G29" s="83" t="e">
        <f ca="1">VLOOKUP(CONCATENATE(LEFT(G$7, 7), "hscp", $B29), [0]!data_range, 5, FALSE)</f>
        <v>#REF!</v>
      </c>
      <c r="H29" s="83" t="e">
        <f ca="1">VLOOKUP(CONCATENATE(LEFT(H$7, 7), "hscp", $B29), [0]!data_range, 5, FALSE)</f>
        <v>#REF!</v>
      </c>
      <c r="I29" s="83" t="e">
        <f ca="1">VLOOKUP(CONCATENATE(LEFT(I$7, 7), "hscp", $B29), [0]!data_range, 5, FALSE)</f>
        <v>#REF!</v>
      </c>
      <c r="J29" s="83" t="e">
        <f ca="1">VLOOKUP(CONCATENATE(LEFT(J$7, 7), "hscp", $B29), [0]!data_range, 5, FALSE)</f>
        <v>#REF!</v>
      </c>
      <c r="K29" s="83" t="e">
        <f ca="1">VLOOKUP(CONCATENATE(LEFT(K$7, 7), "hscp", $B29), [0]!data_range, 5, FALSE)</f>
        <v>#REF!</v>
      </c>
      <c r="L29" s="60"/>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201</v>
      </c>
      <c r="C30" s="83" t="e">
        <f ca="1">VLOOKUP(CONCATENATE(LEFT(C$7, 7), "hscp", $B30), [0]!data_range, 5, FALSE)</f>
        <v>#REF!</v>
      </c>
      <c r="D30" s="83" t="e">
        <f ca="1">VLOOKUP(CONCATENATE(LEFT(D$7, 7), "hscp", $B30), [0]!data_range, 5, FALSE)</f>
        <v>#REF!</v>
      </c>
      <c r="E30" s="83" t="e">
        <f ca="1">VLOOKUP(CONCATENATE(LEFT(E$7, 7), "hscp", $B30), [0]!data_range, 5, FALSE)</f>
        <v>#REF!</v>
      </c>
      <c r="F30" s="83" t="e">
        <f ca="1">VLOOKUP(CONCATENATE(LEFT(F$7, 7), "hscp", $B30), [0]!data_range, 5, FALSE)</f>
        <v>#REF!</v>
      </c>
      <c r="G30" s="83" t="e">
        <f ca="1">VLOOKUP(CONCATENATE(LEFT(G$7, 7), "hscp", $B30), [0]!data_range, 5, FALSE)</f>
        <v>#REF!</v>
      </c>
      <c r="H30" s="83" t="e">
        <f ca="1">VLOOKUP(CONCATENATE(LEFT(H$7, 7), "hscp", $B30), [0]!data_range, 5, FALSE)</f>
        <v>#REF!</v>
      </c>
      <c r="I30" s="83" t="e">
        <f ca="1">VLOOKUP(CONCATENATE(LEFT(I$7, 7), "hscp", $B30), [0]!data_range, 5, FALSE)</f>
        <v>#REF!</v>
      </c>
      <c r="J30" s="83" t="e">
        <f ca="1">VLOOKUP(CONCATENATE(LEFT(J$7, 7), "hscp", $B30), [0]!data_range, 5, FALSE)</f>
        <v>#REF!</v>
      </c>
      <c r="K30" s="83" t="e">
        <f ca="1">VLOOKUP(CONCATENATE(LEFT(K$7, 7), "hscp", $B30), [0]!data_range, 5, FALSE)</f>
        <v>#REF!</v>
      </c>
      <c r="L30" s="60"/>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83" t="e">
        <f ca="1">VLOOKUP(CONCATENATE(LEFT(C$7, 7), "hscp", $B31), [0]!data_range, 5, FALSE)</f>
        <v>#REF!</v>
      </c>
      <c r="D31" s="83" t="e">
        <f ca="1">VLOOKUP(CONCATENATE(LEFT(D$7, 7), "hscp", $B31), [0]!data_range, 5, FALSE)</f>
        <v>#REF!</v>
      </c>
      <c r="E31" s="83" t="e">
        <f ca="1">VLOOKUP(CONCATENATE(LEFT(E$7, 7), "hscp", $B31), [0]!data_range, 5, FALSE)</f>
        <v>#REF!</v>
      </c>
      <c r="F31" s="83" t="e">
        <f ca="1">VLOOKUP(CONCATENATE(LEFT(F$7, 7), "hscp", $B31), [0]!data_range, 5, FALSE)</f>
        <v>#REF!</v>
      </c>
      <c r="G31" s="83" t="e">
        <f ca="1">VLOOKUP(CONCATENATE(LEFT(G$7, 7), "hscp", $B31), [0]!data_range, 5, FALSE)</f>
        <v>#REF!</v>
      </c>
      <c r="H31" s="83" t="e">
        <f ca="1">VLOOKUP(CONCATENATE(LEFT(H$7, 7), "hscp", $B31), [0]!data_range, 5, FALSE)</f>
        <v>#REF!</v>
      </c>
      <c r="I31" s="83" t="e">
        <f ca="1">VLOOKUP(CONCATENATE(LEFT(I$7, 7), "hscp", $B31), [0]!data_range, 5, FALSE)</f>
        <v>#REF!</v>
      </c>
      <c r="J31" s="83" t="e">
        <f ca="1">VLOOKUP(CONCATENATE(LEFT(J$7, 7), "hscp", $B31), [0]!data_range, 5, FALSE)</f>
        <v>#REF!</v>
      </c>
      <c r="K31" s="83" t="e">
        <f ca="1">VLOOKUP(CONCATENATE(LEFT(K$7, 7), "hscp", $B31), [0]!data_range, 5, FALSE)</f>
        <v>#REF!</v>
      </c>
      <c r="L31" s="60"/>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83" t="e">
        <f ca="1">VLOOKUP(CONCATENATE(LEFT(C$7, 7), "hscp", $B32), [0]!data_range, 5, FALSE)</f>
        <v>#REF!</v>
      </c>
      <c r="D32" s="83" t="e">
        <f ca="1">VLOOKUP(CONCATENATE(LEFT(D$7, 7), "hscp", $B32), [0]!data_range, 5, FALSE)</f>
        <v>#REF!</v>
      </c>
      <c r="E32" s="83" t="e">
        <f ca="1">VLOOKUP(CONCATENATE(LEFT(E$7, 7), "hscp", $B32), [0]!data_range, 5, FALSE)</f>
        <v>#REF!</v>
      </c>
      <c r="F32" s="83" t="e">
        <f ca="1">VLOOKUP(CONCATENATE(LEFT(F$7, 7), "hscp", $B32), [0]!data_range, 5, FALSE)</f>
        <v>#REF!</v>
      </c>
      <c r="G32" s="83" t="e">
        <f ca="1">VLOOKUP(CONCATENATE(LEFT(G$7, 7), "hscp", $B32), [0]!data_range, 5, FALSE)</f>
        <v>#REF!</v>
      </c>
      <c r="H32" s="83" t="e">
        <f ca="1">VLOOKUP(CONCATENATE(LEFT(H$7, 7), "hscp", $B32), [0]!data_range, 5, FALSE)</f>
        <v>#REF!</v>
      </c>
      <c r="I32" s="83" t="e">
        <f ca="1">VLOOKUP(CONCATENATE(LEFT(I$7, 7), "hscp", $B32), [0]!data_range, 5, FALSE)</f>
        <v>#REF!</v>
      </c>
      <c r="J32" s="83" t="e">
        <f ca="1">VLOOKUP(CONCATENATE(LEFT(J$7, 7), "hscp", $B32), [0]!data_range, 5, FALSE)</f>
        <v>#REF!</v>
      </c>
      <c r="K32" s="83" t="e">
        <f ca="1">VLOOKUP(CONCATENATE(LEFT(K$7, 7), "hscp", $B32), [0]!data_range, 5, FALSE)</f>
        <v>#REF!</v>
      </c>
      <c r="L32" s="60"/>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83" t="e">
        <f ca="1">VLOOKUP(CONCATENATE(LEFT(C$7, 7), "hscp", $B33), [0]!data_range, 5, FALSE)</f>
        <v>#REF!</v>
      </c>
      <c r="D33" s="83" t="e">
        <f ca="1">VLOOKUP(CONCATENATE(LEFT(D$7, 7), "hscp", $B33), [0]!data_range, 5, FALSE)</f>
        <v>#REF!</v>
      </c>
      <c r="E33" s="83" t="e">
        <f ca="1">VLOOKUP(CONCATENATE(LEFT(E$7, 7), "hscp", $B33), [0]!data_range, 5, FALSE)</f>
        <v>#REF!</v>
      </c>
      <c r="F33" s="83" t="e">
        <f ca="1">VLOOKUP(CONCATENATE(LEFT(F$7, 7), "hscp", $B33), [0]!data_range, 5, FALSE)</f>
        <v>#REF!</v>
      </c>
      <c r="G33" s="83" t="e">
        <f ca="1">VLOOKUP(CONCATENATE(LEFT(G$7, 7), "hscp", $B33), [0]!data_range, 5, FALSE)</f>
        <v>#REF!</v>
      </c>
      <c r="H33" s="83" t="e">
        <f ca="1">VLOOKUP(CONCATENATE(LEFT(H$7, 7), "hscp", $B33), [0]!data_range, 5, FALSE)</f>
        <v>#REF!</v>
      </c>
      <c r="I33" s="83" t="e">
        <f ca="1">VLOOKUP(CONCATENATE(LEFT(I$7, 7), "hscp", $B33), [0]!data_range, 5, FALSE)</f>
        <v>#REF!</v>
      </c>
      <c r="J33" s="83" t="e">
        <f ca="1">VLOOKUP(CONCATENATE(LEFT(J$7, 7), "hscp", $B33), [0]!data_range, 5, FALSE)</f>
        <v>#REF!</v>
      </c>
      <c r="K33" s="83" t="e">
        <f ca="1">VLOOKUP(CONCATENATE(LEFT(K$7, 7), "hscp", $B33), [0]!data_range, 5, FALSE)</f>
        <v>#REF!</v>
      </c>
      <c r="L33" s="60"/>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83" t="e">
        <f ca="1">VLOOKUP(CONCATENATE(LEFT(C$7, 7), "hscp", $B34), [0]!data_range, 5, FALSE)</f>
        <v>#REF!</v>
      </c>
      <c r="D34" s="83" t="e">
        <f ca="1">VLOOKUP(CONCATENATE(LEFT(D$7, 7), "hscp", $B34), [0]!data_range, 5, FALSE)</f>
        <v>#REF!</v>
      </c>
      <c r="E34" s="83" t="e">
        <f ca="1">VLOOKUP(CONCATENATE(LEFT(E$7, 7), "hscp", $B34), [0]!data_range, 5, FALSE)</f>
        <v>#REF!</v>
      </c>
      <c r="F34" s="83" t="e">
        <f ca="1">VLOOKUP(CONCATENATE(LEFT(F$7, 7), "hscp", $B34), [0]!data_range, 5, FALSE)</f>
        <v>#REF!</v>
      </c>
      <c r="G34" s="83" t="e">
        <f ca="1">VLOOKUP(CONCATENATE(LEFT(G$7, 7), "hscp", $B34), [0]!data_range, 5, FALSE)</f>
        <v>#REF!</v>
      </c>
      <c r="H34" s="83" t="e">
        <f ca="1">VLOOKUP(CONCATENATE(LEFT(H$7, 7), "hscp", $B34), [0]!data_range, 5, FALSE)</f>
        <v>#REF!</v>
      </c>
      <c r="I34" s="83" t="e">
        <f ca="1">VLOOKUP(CONCATENATE(LEFT(I$7, 7), "hscp", $B34), [0]!data_range, 5, FALSE)</f>
        <v>#REF!</v>
      </c>
      <c r="J34" s="83" t="e">
        <f ca="1">VLOOKUP(CONCATENATE(LEFT(J$7, 7), "hscp", $B34), [0]!data_range, 5, FALSE)</f>
        <v>#REF!</v>
      </c>
      <c r="K34" s="83" t="e">
        <f ca="1">VLOOKUP(CONCATENATE(LEFT(K$7, 7), "hscp", $B34), [0]!data_range, 5, FALSE)</f>
        <v>#REF!</v>
      </c>
      <c r="L34" s="60"/>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83" t="e">
        <f ca="1">VLOOKUP(CONCATENATE(LEFT(C$7, 7), "hscp", $B35), [0]!data_range, 5, FALSE)</f>
        <v>#REF!</v>
      </c>
      <c r="D35" s="83" t="e">
        <f ca="1">VLOOKUP(CONCATENATE(LEFT(D$7, 7), "hscp", $B35), [0]!data_range, 5, FALSE)</f>
        <v>#REF!</v>
      </c>
      <c r="E35" s="83" t="e">
        <f ca="1">VLOOKUP(CONCATENATE(LEFT(E$7, 7), "hscp", $B35), [0]!data_range, 5, FALSE)</f>
        <v>#REF!</v>
      </c>
      <c r="F35" s="83" t="e">
        <f ca="1">VLOOKUP(CONCATENATE(LEFT(F$7, 7), "hscp", $B35), [0]!data_range, 5, FALSE)</f>
        <v>#REF!</v>
      </c>
      <c r="G35" s="83" t="e">
        <f ca="1">VLOOKUP(CONCATENATE(LEFT(G$7, 7), "hscp", $B35), [0]!data_range, 5, FALSE)</f>
        <v>#REF!</v>
      </c>
      <c r="H35" s="83" t="e">
        <f ca="1">VLOOKUP(CONCATENATE(LEFT(H$7, 7), "hscp", $B35), [0]!data_range, 5, FALSE)</f>
        <v>#REF!</v>
      </c>
      <c r="I35" s="83" t="e">
        <f ca="1">VLOOKUP(CONCATENATE(LEFT(I$7, 7), "hscp", $B35), [0]!data_range, 5, FALSE)</f>
        <v>#REF!</v>
      </c>
      <c r="J35" s="83" t="e">
        <f ca="1">VLOOKUP(CONCATENATE(LEFT(J$7, 7), "hscp", $B35), [0]!data_range, 5, FALSE)</f>
        <v>#REF!</v>
      </c>
      <c r="K35" s="83" t="e">
        <f ca="1">VLOOKUP(CONCATENATE(LEFT(K$7, 7), "hscp", $B35), [0]!data_range, 5, FALSE)</f>
        <v>#REF!</v>
      </c>
      <c r="L35" s="60"/>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83" t="e">
        <f ca="1">VLOOKUP(CONCATENATE(LEFT(C$7, 7), "hscp", $B36), [0]!data_range, 5, FALSE)</f>
        <v>#REF!</v>
      </c>
      <c r="D36" s="83" t="e">
        <f ca="1">VLOOKUP(CONCATENATE(LEFT(D$7, 7), "hscp", $B36), [0]!data_range, 5, FALSE)</f>
        <v>#REF!</v>
      </c>
      <c r="E36" s="83" t="e">
        <f ca="1">VLOOKUP(CONCATENATE(LEFT(E$7, 7), "hscp", $B36), [0]!data_range, 5, FALSE)</f>
        <v>#REF!</v>
      </c>
      <c r="F36" s="83" t="e">
        <f ca="1">VLOOKUP(CONCATENATE(LEFT(F$7, 7), "hscp", $B36), [0]!data_range, 5, FALSE)</f>
        <v>#REF!</v>
      </c>
      <c r="G36" s="83" t="e">
        <f ca="1">VLOOKUP(CONCATENATE(LEFT(G$7, 7), "hscp", $B36), [0]!data_range, 5, FALSE)</f>
        <v>#REF!</v>
      </c>
      <c r="H36" s="83" t="e">
        <f ca="1">VLOOKUP(CONCATENATE(LEFT(H$7, 7), "hscp", $B36), [0]!data_range, 5, FALSE)</f>
        <v>#REF!</v>
      </c>
      <c r="I36" s="83" t="e">
        <f ca="1">VLOOKUP(CONCATENATE(LEFT(I$7, 7), "hscp", $B36), [0]!data_range, 5, FALSE)</f>
        <v>#REF!</v>
      </c>
      <c r="J36" s="83" t="e">
        <f ca="1">VLOOKUP(CONCATENATE(LEFT(J$7, 7), "hscp", $B36), [0]!data_range, 5, FALSE)</f>
        <v>#REF!</v>
      </c>
      <c r="K36" s="83" t="e">
        <f ca="1">VLOOKUP(CONCATENATE(LEFT(K$7, 7), "hscp", $B36), [0]!data_range, 5, FALSE)</f>
        <v>#REF!</v>
      </c>
      <c r="L36" s="60"/>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83" t="e">
        <f ca="1">VLOOKUP(CONCATENATE(LEFT(C$7, 7), "hscp", $B37), [0]!data_range, 5, FALSE)</f>
        <v>#REF!</v>
      </c>
      <c r="D37" s="83" t="e">
        <f ca="1">VLOOKUP(CONCATENATE(LEFT(D$7, 7), "hscp", $B37), [0]!data_range, 5, FALSE)</f>
        <v>#REF!</v>
      </c>
      <c r="E37" s="83" t="e">
        <f ca="1">VLOOKUP(CONCATENATE(LEFT(E$7, 7), "hscp", $B37), [0]!data_range, 5, FALSE)</f>
        <v>#REF!</v>
      </c>
      <c r="F37" s="83" t="e">
        <f ca="1">VLOOKUP(CONCATENATE(LEFT(F$7, 7), "hscp", $B37), [0]!data_range, 5, FALSE)</f>
        <v>#REF!</v>
      </c>
      <c r="G37" s="83" t="e">
        <f ca="1">VLOOKUP(CONCATENATE(LEFT(G$7, 7), "hscp", $B37), [0]!data_range, 5, FALSE)</f>
        <v>#REF!</v>
      </c>
      <c r="H37" s="83" t="e">
        <f ca="1">VLOOKUP(CONCATENATE(LEFT(H$7, 7), "hscp", $B37), [0]!data_range, 5, FALSE)</f>
        <v>#REF!</v>
      </c>
      <c r="I37" s="83" t="e">
        <f ca="1">VLOOKUP(CONCATENATE(LEFT(I$7, 7), "hscp", $B37), [0]!data_range, 5, FALSE)</f>
        <v>#REF!</v>
      </c>
      <c r="J37" s="83" t="e">
        <f ca="1">VLOOKUP(CONCATENATE(LEFT(J$7, 7), "hscp", $B37), [0]!data_range, 5, FALSE)</f>
        <v>#REF!</v>
      </c>
      <c r="K37" s="83" t="e">
        <f ca="1">VLOOKUP(CONCATENATE(LEFT(K$7, 7), "hscp", $B37), [0]!data_range, 5, FALSE)</f>
        <v>#REF!</v>
      </c>
      <c r="L37" s="60"/>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83" t="e">
        <f ca="1">VLOOKUP(CONCATENATE(LEFT(C$7, 7), "hscp", $B38), [0]!data_range, 5, FALSE)</f>
        <v>#REF!</v>
      </c>
      <c r="D38" s="83" t="e">
        <f ca="1">VLOOKUP(CONCATENATE(LEFT(D$7, 7), "hscp", $B38), [0]!data_range, 5, FALSE)</f>
        <v>#REF!</v>
      </c>
      <c r="E38" s="83" t="e">
        <f ca="1">VLOOKUP(CONCATENATE(LEFT(E$7, 7), "hscp", $B38), [0]!data_range, 5, FALSE)</f>
        <v>#REF!</v>
      </c>
      <c r="F38" s="83" t="e">
        <f ca="1">VLOOKUP(CONCATENATE(LEFT(F$7, 7), "hscp", $B38), [0]!data_range, 5, FALSE)</f>
        <v>#REF!</v>
      </c>
      <c r="G38" s="83" t="e">
        <f ca="1">VLOOKUP(CONCATENATE(LEFT(G$7, 7), "hscp", $B38), [0]!data_range, 5, FALSE)</f>
        <v>#REF!</v>
      </c>
      <c r="H38" s="83" t="e">
        <f ca="1">VLOOKUP(CONCATENATE(LEFT(H$7, 7), "hscp", $B38), [0]!data_range, 5, FALSE)</f>
        <v>#REF!</v>
      </c>
      <c r="I38" s="83" t="e">
        <f ca="1">VLOOKUP(CONCATENATE(LEFT(I$7, 7), "hscp", $B38), [0]!data_range, 5, FALSE)</f>
        <v>#REF!</v>
      </c>
      <c r="J38" s="83" t="e">
        <f ca="1">VLOOKUP(CONCATENATE(LEFT(J$7, 7), "hscp", $B38), [0]!data_range, 5, FALSE)</f>
        <v>#REF!</v>
      </c>
      <c r="K38" s="83" t="e">
        <f ca="1">VLOOKUP(CONCATENATE(LEFT(K$7, 7), "hscp", $B38), [0]!data_range, 5, FALSE)</f>
        <v>#REF!</v>
      </c>
      <c r="L38" s="60"/>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82" t="e">
        <f ca="1">VLOOKUP(CONCATENATE(LEFT(C$7, 7), "Scotland", $B39), [0]!data_range, 5, FALSE)</f>
        <v>#REF!</v>
      </c>
      <c r="D39" s="82" t="e">
        <f ca="1">VLOOKUP(CONCATENATE(LEFT(D$7, 7), "Scotland", $B39), [0]!data_range, 5, FALSE)</f>
        <v>#REF!</v>
      </c>
      <c r="E39" s="82" t="e">
        <f ca="1">VLOOKUP(CONCATENATE(LEFT(E$7, 7), "Scotland", $B39), [0]!data_range, 5, FALSE)</f>
        <v>#REF!</v>
      </c>
      <c r="F39" s="82" t="e">
        <f ca="1">VLOOKUP(CONCATENATE(LEFT(F$7, 7), "Scotland", $B39), [0]!data_range, 5, FALSE)</f>
        <v>#REF!</v>
      </c>
      <c r="G39" s="82" t="e">
        <f ca="1">VLOOKUP(CONCATENATE(LEFT(G$7, 7), "Scotland", $B39), [0]!data_range, 5, FALSE)</f>
        <v>#REF!</v>
      </c>
      <c r="H39" s="82" t="e">
        <f ca="1">VLOOKUP(CONCATENATE(LEFT(H$7, 7), "Scotland", $B39), [0]!data_range, 5, FALSE)</f>
        <v>#REF!</v>
      </c>
      <c r="I39" s="82" t="e">
        <f ca="1">VLOOKUP(CONCATENATE(LEFT(I$7, 7), "Scotland", $B39), [0]!data_range, 5, FALSE)</f>
        <v>#REF!</v>
      </c>
      <c r="J39" s="82" t="e">
        <f ca="1">VLOOKUP(CONCATENATE(LEFT(J$7, 7), "Scotland", $B39), [0]!data_range, 5, FALSE)</f>
        <v>#REF!</v>
      </c>
      <c r="K39" s="82" t="e">
        <f ca="1">VLOOKUP(CONCATENATE(LEFT(K$7, 7), "Scotland", $B39), [0]!data_range, 5, FALSE)</f>
        <v>#REF!</v>
      </c>
      <c r="L39" s="1"/>
      <c r="M39" s="61"/>
      <c r="N39" s="61"/>
      <c r="O39" s="61"/>
      <c r="P39" s="61"/>
      <c r="Q39" s="61"/>
      <c r="R39" s="61"/>
      <c r="S39" s="61"/>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J41" s="23"/>
      <c r="K41" s="23"/>
      <c r="L41" s="5"/>
    </row>
    <row r="42" spans="2:29" ht="15" customHeight="1" x14ac:dyDescent="0.2">
      <c r="C42" s="55"/>
      <c r="J42" s="23"/>
      <c r="K42" s="23"/>
      <c r="L42" s="5"/>
    </row>
    <row r="43" spans="2:29" ht="15" customHeight="1" x14ac:dyDescent="0.2">
      <c r="B43" s="19" t="s">
        <v>15</v>
      </c>
      <c r="J43" s="23"/>
      <c r="K43" s="23"/>
      <c r="L43" s="5"/>
    </row>
    <row r="44" spans="2:29" ht="15" customHeight="1" x14ac:dyDescent="0.2">
      <c r="J44" s="23"/>
      <c r="K44" s="23"/>
      <c r="L44" s="5"/>
    </row>
    <row r="45" spans="2:29" ht="15" customHeight="1" x14ac:dyDescent="0.2">
      <c r="B45" s="21" t="s">
        <v>149</v>
      </c>
      <c r="J45" s="23"/>
      <c r="K45" s="23"/>
      <c r="L45" s="5"/>
    </row>
    <row r="46" spans="2:29" ht="15" customHeight="1" x14ac:dyDescent="0.2">
      <c r="B46" s="21" t="s">
        <v>142</v>
      </c>
      <c r="J46" s="23"/>
      <c r="K46" s="23"/>
      <c r="L46" s="5"/>
    </row>
    <row r="47" spans="2:29" ht="15" customHeight="1" x14ac:dyDescent="0.2">
      <c r="B47" s="21" t="e">
        <f ca="1">"    1. Data for " &amp; [0]!fy_max &amp;" are incomplete and will be revised in October 20" &amp; RIGHT([0]!fy_max, 2) &amp; " publication"</f>
        <v>#REF!</v>
      </c>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J156" s="23"/>
      <c r="K156" s="23"/>
      <c r="L156" s="5"/>
    </row>
    <row r="157" spans="10:12" ht="15" customHeight="1" x14ac:dyDescent="0.2">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row r="189" spans="10:12" ht="15" customHeight="1" x14ac:dyDescent="0.2">
      <c r="J189" s="23"/>
      <c r="K189" s="23"/>
      <c r="L189" s="6"/>
    </row>
  </sheetData>
  <mergeCells count="1">
    <mergeCell ref="B1:J1"/>
  </mergeCells>
  <phoneticPr fontId="5" type="noConversion"/>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90"/>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100" t="str">
        <f>Notes!B1:O1</f>
        <v/>
      </c>
      <c r="C1" s="100"/>
      <c r="D1" s="100"/>
      <c r="E1" s="100"/>
      <c r="F1" s="100"/>
      <c r="G1" s="100"/>
      <c r="H1" s="100"/>
      <c r="I1" s="100"/>
      <c r="J1" s="100"/>
    </row>
    <row r="2" spans="2:11" ht="15" customHeight="1" x14ac:dyDescent="0.25">
      <c r="B2" s="4" t="s">
        <v>136</v>
      </c>
      <c r="J2" s="23"/>
      <c r="K2" s="23"/>
    </row>
    <row r="3" spans="2:11" ht="15" customHeight="1" x14ac:dyDescent="0.25">
      <c r="B3" s="4" t="s">
        <v>205</v>
      </c>
      <c r="J3" s="23"/>
      <c r="K3" s="23"/>
    </row>
    <row r="4" spans="2:11" ht="15" customHeight="1" x14ac:dyDescent="0.25">
      <c r="B4" s="4"/>
      <c r="J4" s="23"/>
      <c r="K4" s="23"/>
    </row>
    <row r="5" spans="2:11" ht="15" customHeight="1" x14ac:dyDescent="0.2">
      <c r="G5" s="10" t="s">
        <v>162</v>
      </c>
      <c r="J5" s="23"/>
      <c r="K5" s="23"/>
    </row>
    <row r="6" spans="2:11"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row>
    <row r="7" spans="2:11" ht="15" customHeight="1" x14ac:dyDescent="0.2">
      <c r="B7" s="57" t="s">
        <v>206</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row>
    <row r="8" spans="2:11" ht="15" customHeight="1" x14ac:dyDescent="0.2">
      <c r="B8" s="27" t="s">
        <v>90</v>
      </c>
      <c r="C8" s="83" t="e">
        <f ca="1">VLOOKUP(CONCATENATE(LEFT(C$7, 7), "ca", $B8), [0]!data_range, 5, FALSE)</f>
        <v>#REF!</v>
      </c>
      <c r="D8" s="83" t="e">
        <f ca="1">VLOOKUP(CONCATENATE(LEFT(D$7, 7), "ca", $B8), [0]!data_range, 5, FALSE)</f>
        <v>#REF!</v>
      </c>
      <c r="E8" s="83" t="e">
        <f ca="1">VLOOKUP(CONCATENATE(LEFT(E$7, 7), "ca", $B8), [0]!data_range, 5, FALSE)</f>
        <v>#REF!</v>
      </c>
      <c r="F8" s="83" t="e">
        <f ca="1">VLOOKUP(CONCATENATE(LEFT(F$7, 7), "ca", $B8), [0]!data_range, 5, FALSE)</f>
        <v>#REF!</v>
      </c>
      <c r="G8" s="83" t="e">
        <f ca="1">VLOOKUP(CONCATENATE(LEFT(G$7, 7), "ca", $B8), [0]!data_range, 5, FALSE)</f>
        <v>#REF!</v>
      </c>
      <c r="H8" s="83" t="e">
        <f ca="1">VLOOKUP(CONCATENATE(LEFT(H$7, 7), "ca", $B8), [0]!data_range, 5, FALSE)</f>
        <v>#REF!</v>
      </c>
      <c r="I8" s="83" t="e">
        <f ca="1">VLOOKUP(CONCATENATE(LEFT(I$7, 7), "ca", $B8), [0]!data_range, 5, FALSE)</f>
        <v>#REF!</v>
      </c>
      <c r="J8" s="83" t="e">
        <f ca="1">VLOOKUP(CONCATENATE(LEFT(J$7, 7), "ca", $B8), [0]!data_range, 5, FALSE)</f>
        <v>#REF!</v>
      </c>
      <c r="K8" s="83" t="e">
        <f ca="1">VLOOKUP(CONCATENATE(LEFT(K$7, 7), "ca", $B8), [0]!data_range, 5, FALSE)</f>
        <v>#REF!</v>
      </c>
    </row>
    <row r="9" spans="2:11" ht="15" customHeight="1" x14ac:dyDescent="0.2">
      <c r="B9" s="23" t="s">
        <v>91</v>
      </c>
      <c r="C9" s="83" t="e">
        <f ca="1">VLOOKUP(CONCATENATE(LEFT(C$7, 7), "ca", $B9), [0]!data_range, 5, FALSE)</f>
        <v>#REF!</v>
      </c>
      <c r="D9" s="83" t="e">
        <f ca="1">VLOOKUP(CONCATENATE(LEFT(D$7, 7), "ca", $B9), [0]!data_range, 5, FALSE)</f>
        <v>#REF!</v>
      </c>
      <c r="E9" s="83" t="e">
        <f ca="1">VLOOKUP(CONCATENATE(LEFT(E$7, 7), "ca", $B9), [0]!data_range, 5, FALSE)</f>
        <v>#REF!</v>
      </c>
      <c r="F9" s="83" t="e">
        <f ca="1">VLOOKUP(CONCATENATE(LEFT(F$7, 7), "ca", $B9), [0]!data_range, 5, FALSE)</f>
        <v>#REF!</v>
      </c>
      <c r="G9" s="83" t="e">
        <f ca="1">VLOOKUP(CONCATENATE(LEFT(G$7, 7), "ca", $B9), [0]!data_range, 5, FALSE)</f>
        <v>#REF!</v>
      </c>
      <c r="H9" s="83" t="e">
        <f ca="1">VLOOKUP(CONCATENATE(LEFT(H$7, 7), "ca", $B9), [0]!data_range, 5, FALSE)</f>
        <v>#REF!</v>
      </c>
      <c r="I9" s="83" t="e">
        <f ca="1">VLOOKUP(CONCATENATE(LEFT(I$7, 7), "ca", $B9), [0]!data_range, 5, FALSE)</f>
        <v>#REF!</v>
      </c>
      <c r="J9" s="83" t="e">
        <f ca="1">VLOOKUP(CONCATENATE(LEFT(J$7, 7), "ca", $B9), [0]!data_range, 5, FALSE)</f>
        <v>#REF!</v>
      </c>
      <c r="K9" s="83" t="e">
        <f ca="1">VLOOKUP(CONCATENATE(LEFT(K$7, 7), "ca", $B9), [0]!data_range, 5, FALSE)</f>
        <v>#REF!</v>
      </c>
    </row>
    <row r="10" spans="2:11" ht="15" customHeight="1" x14ac:dyDescent="0.2">
      <c r="B10" s="23" t="s">
        <v>92</v>
      </c>
      <c r="C10" s="83" t="e">
        <f ca="1">VLOOKUP(CONCATENATE(LEFT(C$7, 7), "ca", $B10), [0]!data_range, 5, FALSE)</f>
        <v>#REF!</v>
      </c>
      <c r="D10" s="83" t="e">
        <f ca="1">VLOOKUP(CONCATENATE(LEFT(D$7, 7), "ca", $B10), [0]!data_range, 5, FALSE)</f>
        <v>#REF!</v>
      </c>
      <c r="E10" s="83" t="e">
        <f ca="1">VLOOKUP(CONCATENATE(LEFT(E$7, 7), "ca", $B10), [0]!data_range, 5, FALSE)</f>
        <v>#REF!</v>
      </c>
      <c r="F10" s="83" t="e">
        <f ca="1">VLOOKUP(CONCATENATE(LEFT(F$7, 7), "ca", $B10), [0]!data_range, 5, FALSE)</f>
        <v>#REF!</v>
      </c>
      <c r="G10" s="83" t="e">
        <f ca="1">VLOOKUP(CONCATENATE(LEFT(G$7, 7), "ca", $B10), [0]!data_range, 5, FALSE)</f>
        <v>#REF!</v>
      </c>
      <c r="H10" s="83" t="e">
        <f ca="1">VLOOKUP(CONCATENATE(LEFT(H$7, 7), "ca", $B10), [0]!data_range, 5, FALSE)</f>
        <v>#REF!</v>
      </c>
      <c r="I10" s="83" t="e">
        <f ca="1">VLOOKUP(CONCATENATE(LEFT(I$7, 7), "ca", $B10), [0]!data_range, 5, FALSE)</f>
        <v>#REF!</v>
      </c>
      <c r="J10" s="83" t="e">
        <f ca="1">VLOOKUP(CONCATENATE(LEFT(J$7, 7), "ca", $B10), [0]!data_range, 5, FALSE)</f>
        <v>#REF!</v>
      </c>
      <c r="K10" s="83" t="e">
        <f ca="1">VLOOKUP(CONCATENATE(LEFT(K$7, 7), "ca", $B10), [0]!data_range, 5, FALSE)</f>
        <v>#REF!</v>
      </c>
    </row>
    <row r="11" spans="2:11" ht="15" customHeight="1" x14ac:dyDescent="0.2">
      <c r="B11" s="23" t="s">
        <v>200</v>
      </c>
      <c r="C11" s="83" t="e">
        <f ca="1">VLOOKUP(CONCATENATE(LEFT(C$7, 7), "ca", $B11), [0]!data_range, 5, FALSE)</f>
        <v>#REF!</v>
      </c>
      <c r="D11" s="83" t="e">
        <f ca="1">VLOOKUP(CONCATENATE(LEFT(D$7, 7), "ca", $B11), [0]!data_range, 5, FALSE)</f>
        <v>#REF!</v>
      </c>
      <c r="E11" s="83" t="e">
        <f ca="1">VLOOKUP(CONCATENATE(LEFT(E$7, 7), "ca", $B11), [0]!data_range, 5, FALSE)</f>
        <v>#REF!</v>
      </c>
      <c r="F11" s="83" t="e">
        <f ca="1">VLOOKUP(CONCATENATE(LEFT(F$7, 7), "ca", $B11), [0]!data_range, 5, FALSE)</f>
        <v>#REF!</v>
      </c>
      <c r="G11" s="83" t="e">
        <f ca="1">VLOOKUP(CONCATENATE(LEFT(G$7, 7), "ca", $B11), [0]!data_range, 5, FALSE)</f>
        <v>#REF!</v>
      </c>
      <c r="H11" s="83" t="e">
        <f ca="1">VLOOKUP(CONCATENATE(LEFT(H$7, 7), "ca", $B11), [0]!data_range, 5, FALSE)</f>
        <v>#REF!</v>
      </c>
      <c r="I11" s="83" t="e">
        <f ca="1">VLOOKUP(CONCATENATE(LEFT(I$7, 7), "ca", $B11), [0]!data_range, 5, FALSE)</f>
        <v>#REF!</v>
      </c>
      <c r="J11" s="83" t="e">
        <f ca="1">VLOOKUP(CONCATENATE(LEFT(J$7, 7), "ca", $B11), [0]!data_range, 5, FALSE)</f>
        <v>#REF!</v>
      </c>
      <c r="K11" s="83" t="e">
        <f ca="1">VLOOKUP(CONCATENATE(LEFT(K$7, 7), "ca", $B11), [0]!data_range, 5, FALSE)</f>
        <v>#REF!</v>
      </c>
    </row>
    <row r="12" spans="2:11" ht="15" customHeight="1" x14ac:dyDescent="0.2">
      <c r="B12" s="23" t="s">
        <v>202</v>
      </c>
      <c r="C12" s="83" t="e">
        <f ca="1">VLOOKUP(CONCATENATE(LEFT(C$7, 7), "ca", $B12), [0]!data_range, 5, FALSE)</f>
        <v>#REF!</v>
      </c>
      <c r="D12" s="83" t="e">
        <f ca="1">VLOOKUP(CONCATENATE(LEFT(D$7, 7), "ca", $B12), [0]!data_range, 5, FALSE)</f>
        <v>#REF!</v>
      </c>
      <c r="E12" s="83" t="e">
        <f ca="1">VLOOKUP(CONCATENATE(LEFT(E$7, 7), "ca", $B12), [0]!data_range, 5, FALSE)</f>
        <v>#REF!</v>
      </c>
      <c r="F12" s="83" t="e">
        <f ca="1">VLOOKUP(CONCATENATE(LEFT(F$7, 7), "ca", $B12), [0]!data_range, 5, FALSE)</f>
        <v>#REF!</v>
      </c>
      <c r="G12" s="83" t="e">
        <f ca="1">VLOOKUP(CONCATENATE(LEFT(G$7, 7), "ca", $B12), [0]!data_range, 5, FALSE)</f>
        <v>#REF!</v>
      </c>
      <c r="H12" s="83" t="e">
        <f ca="1">VLOOKUP(CONCATENATE(LEFT(H$7, 7), "ca", $B12), [0]!data_range, 5, FALSE)</f>
        <v>#REF!</v>
      </c>
      <c r="I12" s="83" t="e">
        <f ca="1">VLOOKUP(CONCATENATE(LEFT(I$7, 7), "ca", $B12), [0]!data_range, 5, FALSE)</f>
        <v>#REF!</v>
      </c>
      <c r="J12" s="83" t="e">
        <f ca="1">VLOOKUP(CONCATENATE(LEFT(J$7, 7), "ca", $B12), [0]!data_range, 5, FALSE)</f>
        <v>#REF!</v>
      </c>
      <c r="K12" s="83" t="e">
        <f ca="1">VLOOKUP(CONCATENATE(LEFT(K$7, 7), "ca", $B12), [0]!data_range, 5, FALSE)</f>
        <v>#REF!</v>
      </c>
    </row>
    <row r="13" spans="2:11" ht="15" customHeight="1" x14ac:dyDescent="0.2">
      <c r="B13" s="23" t="s">
        <v>163</v>
      </c>
      <c r="C13" s="83" t="e">
        <f ca="1">VLOOKUP(CONCATENATE(LEFT(C$7, 7), "ca", $B13), [0]!data_range, 5, FALSE)</f>
        <v>#REF!</v>
      </c>
      <c r="D13" s="83" t="e">
        <f ca="1">VLOOKUP(CONCATENATE(LEFT(D$7, 7), "ca", $B13), [0]!data_range, 5, FALSE)</f>
        <v>#REF!</v>
      </c>
      <c r="E13" s="83" t="e">
        <f ca="1">VLOOKUP(CONCATENATE(LEFT(E$7, 7), "ca", $B13), [0]!data_range, 5, FALSE)</f>
        <v>#REF!</v>
      </c>
      <c r="F13" s="83" t="e">
        <f ca="1">VLOOKUP(CONCATENATE(LEFT(F$7, 7), "ca", $B13), [0]!data_range, 5, FALSE)</f>
        <v>#REF!</v>
      </c>
      <c r="G13" s="83" t="e">
        <f ca="1">VLOOKUP(CONCATENATE(LEFT(G$7, 7), "ca", $B13), [0]!data_range, 5, FALSE)</f>
        <v>#REF!</v>
      </c>
      <c r="H13" s="83" t="e">
        <f ca="1">VLOOKUP(CONCATENATE(LEFT(H$7, 7), "ca", $B13), [0]!data_range, 5, FALSE)</f>
        <v>#REF!</v>
      </c>
      <c r="I13" s="83" t="e">
        <f ca="1">VLOOKUP(CONCATENATE(LEFT(I$7, 7), "ca", $B13), [0]!data_range, 5, FALSE)</f>
        <v>#REF!</v>
      </c>
      <c r="J13" s="83" t="e">
        <f ca="1">VLOOKUP(CONCATENATE(LEFT(J$7, 7), "ca", $B13), [0]!data_range, 5, FALSE)</f>
        <v>#REF!</v>
      </c>
      <c r="K13" s="83" t="e">
        <f ca="1">VLOOKUP(CONCATENATE(LEFT(K$7, 7), "ca", $B13), [0]!data_range, 5, FALSE)</f>
        <v>#REF!</v>
      </c>
    </row>
    <row r="14" spans="2:11" ht="15" customHeight="1" x14ac:dyDescent="0.2">
      <c r="B14" s="23" t="s">
        <v>198</v>
      </c>
      <c r="C14" s="83" t="e">
        <f ca="1">VLOOKUP(CONCATENATE(LEFT(C$7, 7), "ca", $B14), [0]!data_range, 5, FALSE)</f>
        <v>#REF!</v>
      </c>
      <c r="D14" s="83" t="e">
        <f ca="1">VLOOKUP(CONCATENATE(LEFT(D$7, 7), "ca", $B14), [0]!data_range, 5, FALSE)</f>
        <v>#REF!</v>
      </c>
      <c r="E14" s="83" t="e">
        <f ca="1">VLOOKUP(CONCATENATE(LEFT(E$7, 7), "ca", $B14), [0]!data_range, 5, FALSE)</f>
        <v>#REF!</v>
      </c>
      <c r="F14" s="83" t="e">
        <f ca="1">VLOOKUP(CONCATENATE(LEFT(F$7, 7), "ca", $B14), [0]!data_range, 5, FALSE)</f>
        <v>#REF!</v>
      </c>
      <c r="G14" s="83" t="e">
        <f ca="1">VLOOKUP(CONCATENATE(LEFT(G$7, 7), "ca", $B14), [0]!data_range, 5, FALSE)</f>
        <v>#REF!</v>
      </c>
      <c r="H14" s="83" t="e">
        <f ca="1">VLOOKUP(CONCATENATE(LEFT(H$7, 7), "ca", $B14), [0]!data_range, 5, FALSE)</f>
        <v>#REF!</v>
      </c>
      <c r="I14" s="83" t="e">
        <f ca="1">VLOOKUP(CONCATENATE(LEFT(I$7, 7), "ca", $B14), [0]!data_range, 5, FALSE)</f>
        <v>#REF!</v>
      </c>
      <c r="J14" s="83" t="e">
        <f ca="1">VLOOKUP(CONCATENATE(LEFT(J$7, 7), "ca", $B14), [0]!data_range, 5, FALSE)</f>
        <v>#REF!</v>
      </c>
      <c r="K14" s="83" t="e">
        <f ca="1">VLOOKUP(CONCATENATE(LEFT(K$7, 7), "ca", $B14), [0]!data_range, 5, FALSE)</f>
        <v>#REF!</v>
      </c>
    </row>
    <row r="15" spans="2:11" ht="15" customHeight="1" x14ac:dyDescent="0.2">
      <c r="B15" s="23" t="s">
        <v>93</v>
      </c>
      <c r="C15" s="83" t="e">
        <f ca="1">VLOOKUP(CONCATENATE(LEFT(C$7, 7), "ca", $B15), [0]!data_range, 5, FALSE)</f>
        <v>#REF!</v>
      </c>
      <c r="D15" s="83" t="e">
        <f ca="1">VLOOKUP(CONCATENATE(LEFT(D$7, 7), "ca", $B15), [0]!data_range, 5, FALSE)</f>
        <v>#REF!</v>
      </c>
      <c r="E15" s="83" t="e">
        <f ca="1">VLOOKUP(CONCATENATE(LEFT(E$7, 7), "ca", $B15), [0]!data_range, 5, FALSE)</f>
        <v>#REF!</v>
      </c>
      <c r="F15" s="83" t="e">
        <f ca="1">VLOOKUP(CONCATENATE(LEFT(F$7, 7), "ca", $B15), [0]!data_range, 5, FALSE)</f>
        <v>#REF!</v>
      </c>
      <c r="G15" s="83" t="e">
        <f ca="1">VLOOKUP(CONCATENATE(LEFT(G$7, 7), "ca", $B15), [0]!data_range, 5, FALSE)</f>
        <v>#REF!</v>
      </c>
      <c r="H15" s="83" t="e">
        <f ca="1">VLOOKUP(CONCATENATE(LEFT(H$7, 7), "ca", $B15), [0]!data_range, 5, FALSE)</f>
        <v>#REF!</v>
      </c>
      <c r="I15" s="83" t="e">
        <f ca="1">VLOOKUP(CONCATENATE(LEFT(I$7, 7), "ca", $B15), [0]!data_range, 5, FALSE)</f>
        <v>#REF!</v>
      </c>
      <c r="J15" s="83" t="e">
        <f ca="1">VLOOKUP(CONCATENATE(LEFT(J$7, 7), "ca", $B15), [0]!data_range, 5, FALSE)</f>
        <v>#REF!</v>
      </c>
      <c r="K15" s="83" t="e">
        <f ca="1">VLOOKUP(CONCATENATE(LEFT(K$7, 7), "ca", $B15), [0]!data_range, 5, FALSE)</f>
        <v>#REF!</v>
      </c>
    </row>
    <row r="16" spans="2:11" ht="15" customHeight="1" x14ac:dyDescent="0.2">
      <c r="B16" s="23" t="s">
        <v>94</v>
      </c>
      <c r="C16" s="83" t="e">
        <f ca="1">VLOOKUP(CONCATENATE(LEFT(C$7, 7), "ca", $B16), [0]!data_range, 5, FALSE)</f>
        <v>#REF!</v>
      </c>
      <c r="D16" s="83" t="e">
        <f ca="1">VLOOKUP(CONCATENATE(LEFT(D$7, 7), "ca", $B16), [0]!data_range, 5, FALSE)</f>
        <v>#REF!</v>
      </c>
      <c r="E16" s="83" t="e">
        <f ca="1">VLOOKUP(CONCATENATE(LEFT(E$7, 7), "ca", $B16), [0]!data_range, 5, FALSE)</f>
        <v>#REF!</v>
      </c>
      <c r="F16" s="83" t="e">
        <f ca="1">VLOOKUP(CONCATENATE(LEFT(F$7, 7), "ca", $B16), [0]!data_range, 5, FALSE)</f>
        <v>#REF!</v>
      </c>
      <c r="G16" s="83" t="e">
        <f ca="1">VLOOKUP(CONCATENATE(LEFT(G$7, 7), "ca", $B16), [0]!data_range, 5, FALSE)</f>
        <v>#REF!</v>
      </c>
      <c r="H16" s="83" t="e">
        <f ca="1">VLOOKUP(CONCATENATE(LEFT(H$7, 7), "ca", $B16), [0]!data_range, 5, FALSE)</f>
        <v>#REF!</v>
      </c>
      <c r="I16" s="83" t="e">
        <f ca="1">VLOOKUP(CONCATENATE(LEFT(I$7, 7), "ca", $B16), [0]!data_range, 5, FALSE)</f>
        <v>#REF!</v>
      </c>
      <c r="J16" s="83" t="e">
        <f ca="1">VLOOKUP(CONCATENATE(LEFT(J$7, 7), "ca", $B16), [0]!data_range, 5, FALSE)</f>
        <v>#REF!</v>
      </c>
      <c r="K16" s="83" t="e">
        <f ca="1">VLOOKUP(CONCATENATE(LEFT(K$7, 7), "ca", $B16), [0]!data_range, 5, FALSE)</f>
        <v>#REF!</v>
      </c>
    </row>
    <row r="17" spans="2:11" ht="15" customHeight="1" x14ac:dyDescent="0.2">
      <c r="B17" s="23" t="s">
        <v>95</v>
      </c>
      <c r="C17" s="83" t="e">
        <f ca="1">VLOOKUP(CONCATENATE(LEFT(C$7, 7), "ca", $B17), [0]!data_range, 5, FALSE)</f>
        <v>#REF!</v>
      </c>
      <c r="D17" s="83" t="e">
        <f ca="1">VLOOKUP(CONCATENATE(LEFT(D$7, 7), "ca", $B17), [0]!data_range, 5, FALSE)</f>
        <v>#REF!</v>
      </c>
      <c r="E17" s="83" t="e">
        <f ca="1">VLOOKUP(CONCATENATE(LEFT(E$7, 7), "ca", $B17), [0]!data_range, 5, FALSE)</f>
        <v>#REF!</v>
      </c>
      <c r="F17" s="83" t="e">
        <f ca="1">VLOOKUP(CONCATENATE(LEFT(F$7, 7), "ca", $B17), [0]!data_range, 5, FALSE)</f>
        <v>#REF!</v>
      </c>
      <c r="G17" s="83" t="e">
        <f ca="1">VLOOKUP(CONCATENATE(LEFT(G$7, 7), "ca", $B17), [0]!data_range, 5, FALSE)</f>
        <v>#REF!</v>
      </c>
      <c r="H17" s="83" t="e">
        <f ca="1">VLOOKUP(CONCATENATE(LEFT(H$7, 7), "ca", $B17), [0]!data_range, 5, FALSE)</f>
        <v>#REF!</v>
      </c>
      <c r="I17" s="83" t="e">
        <f ca="1">VLOOKUP(CONCATENATE(LEFT(I$7, 7), "ca", $B17), [0]!data_range, 5, FALSE)</f>
        <v>#REF!</v>
      </c>
      <c r="J17" s="83" t="e">
        <f ca="1">VLOOKUP(CONCATENATE(LEFT(J$7, 7), "ca", $B17), [0]!data_range, 5, FALSE)</f>
        <v>#REF!</v>
      </c>
      <c r="K17" s="83" t="e">
        <f ca="1">VLOOKUP(CONCATENATE(LEFT(K$7, 7), "ca", $B17), [0]!data_range, 5, FALSE)</f>
        <v>#REF!</v>
      </c>
    </row>
    <row r="18" spans="2:11" ht="15" customHeight="1" x14ac:dyDescent="0.2">
      <c r="B18" s="23" t="s">
        <v>96</v>
      </c>
      <c r="C18" s="83" t="e">
        <f ca="1">VLOOKUP(CONCATENATE(LEFT(C$7, 7), "ca", $B18), [0]!data_range, 5, FALSE)</f>
        <v>#REF!</v>
      </c>
      <c r="D18" s="83" t="e">
        <f ca="1">VLOOKUP(CONCATENATE(LEFT(D$7, 7), "ca", $B18), [0]!data_range, 5, FALSE)</f>
        <v>#REF!</v>
      </c>
      <c r="E18" s="83" t="e">
        <f ca="1">VLOOKUP(CONCATENATE(LEFT(E$7, 7), "ca", $B18), [0]!data_range, 5, FALSE)</f>
        <v>#REF!</v>
      </c>
      <c r="F18" s="83" t="e">
        <f ca="1">VLOOKUP(CONCATENATE(LEFT(F$7, 7), "ca", $B18), [0]!data_range, 5, FALSE)</f>
        <v>#REF!</v>
      </c>
      <c r="G18" s="83" t="e">
        <f ca="1">VLOOKUP(CONCATENATE(LEFT(G$7, 7), "ca", $B18), [0]!data_range, 5, FALSE)</f>
        <v>#REF!</v>
      </c>
      <c r="H18" s="83" t="e">
        <f ca="1">VLOOKUP(CONCATENATE(LEFT(H$7, 7), "ca", $B18), [0]!data_range, 5, FALSE)</f>
        <v>#REF!</v>
      </c>
      <c r="I18" s="83" t="e">
        <f ca="1">VLOOKUP(CONCATENATE(LEFT(I$7, 7), "ca", $B18), [0]!data_range, 5, FALSE)</f>
        <v>#REF!</v>
      </c>
      <c r="J18" s="83" t="e">
        <f ca="1">VLOOKUP(CONCATENATE(LEFT(J$7, 7), "ca", $B18), [0]!data_range, 5, FALSE)</f>
        <v>#REF!</v>
      </c>
      <c r="K18" s="83" t="e">
        <f ca="1">VLOOKUP(CONCATENATE(LEFT(K$7, 7), "ca", $B18), [0]!data_range, 5, FALSE)</f>
        <v>#REF!</v>
      </c>
    </row>
    <row r="19" spans="2:11" ht="15" customHeight="1" x14ac:dyDescent="0.2">
      <c r="B19" s="23" t="s">
        <v>97</v>
      </c>
      <c r="C19" s="83" t="e">
        <f ca="1">VLOOKUP(CONCATENATE(LEFT(C$7, 7), "ca", $B19), [0]!data_range, 5, FALSE)</f>
        <v>#REF!</v>
      </c>
      <c r="D19" s="83" t="e">
        <f ca="1">VLOOKUP(CONCATENATE(LEFT(D$7, 7), "ca", $B19), [0]!data_range, 5, FALSE)</f>
        <v>#REF!</v>
      </c>
      <c r="E19" s="83" t="e">
        <f ca="1">VLOOKUP(CONCATENATE(LEFT(E$7, 7), "ca", $B19), [0]!data_range, 5, FALSE)</f>
        <v>#REF!</v>
      </c>
      <c r="F19" s="83" t="e">
        <f ca="1">VLOOKUP(CONCATENATE(LEFT(F$7, 7), "ca", $B19), [0]!data_range, 5, FALSE)</f>
        <v>#REF!</v>
      </c>
      <c r="G19" s="83" t="e">
        <f ca="1">VLOOKUP(CONCATENATE(LEFT(G$7, 7), "ca", $B19), [0]!data_range, 5, FALSE)</f>
        <v>#REF!</v>
      </c>
      <c r="H19" s="83" t="e">
        <f ca="1">VLOOKUP(CONCATENATE(LEFT(H$7, 7), "ca", $B19), [0]!data_range, 5, FALSE)</f>
        <v>#REF!</v>
      </c>
      <c r="I19" s="83" t="e">
        <f ca="1">VLOOKUP(CONCATENATE(LEFT(I$7, 7), "ca", $B19), [0]!data_range, 5, FALSE)</f>
        <v>#REF!</v>
      </c>
      <c r="J19" s="83" t="e">
        <f ca="1">VLOOKUP(CONCATENATE(LEFT(J$7, 7), "ca", $B19), [0]!data_range, 5, FALSE)</f>
        <v>#REF!</v>
      </c>
      <c r="K19" s="83" t="e">
        <f ca="1">VLOOKUP(CONCATENATE(LEFT(K$7, 7), "ca", $B19), [0]!data_range, 5, FALSE)</f>
        <v>#REF!</v>
      </c>
    </row>
    <row r="20" spans="2:11" ht="15" customHeight="1" x14ac:dyDescent="0.2">
      <c r="B20" s="23" t="s">
        <v>98</v>
      </c>
      <c r="C20" s="83" t="e">
        <f ca="1">VLOOKUP(CONCATENATE(LEFT(C$7, 7), "ca", $B20), [0]!data_range, 5, FALSE)</f>
        <v>#REF!</v>
      </c>
      <c r="D20" s="83" t="e">
        <f ca="1">VLOOKUP(CONCATENATE(LEFT(D$7, 7), "ca", $B20), [0]!data_range, 5, FALSE)</f>
        <v>#REF!</v>
      </c>
      <c r="E20" s="83" t="e">
        <f ca="1">VLOOKUP(CONCATENATE(LEFT(E$7, 7), "ca", $B20), [0]!data_range, 5, FALSE)</f>
        <v>#REF!</v>
      </c>
      <c r="F20" s="83" t="e">
        <f ca="1">VLOOKUP(CONCATENATE(LEFT(F$7, 7), "ca", $B20), [0]!data_range, 5, FALSE)</f>
        <v>#REF!</v>
      </c>
      <c r="G20" s="83" t="e">
        <f ca="1">VLOOKUP(CONCATENATE(LEFT(G$7, 7), "ca", $B20), [0]!data_range, 5, FALSE)</f>
        <v>#REF!</v>
      </c>
      <c r="H20" s="83" t="e">
        <f ca="1">VLOOKUP(CONCATENATE(LEFT(H$7, 7), "ca", $B20), [0]!data_range, 5, FALSE)</f>
        <v>#REF!</v>
      </c>
      <c r="I20" s="83" t="e">
        <f ca="1">VLOOKUP(CONCATENATE(LEFT(I$7, 7), "ca", $B20), [0]!data_range, 5, FALSE)</f>
        <v>#REF!</v>
      </c>
      <c r="J20" s="83" t="e">
        <f ca="1">VLOOKUP(CONCATENATE(LEFT(J$7, 7), "ca", $B20), [0]!data_range, 5, FALSE)</f>
        <v>#REF!</v>
      </c>
      <c r="K20" s="83" t="e">
        <f ca="1">VLOOKUP(CONCATENATE(LEFT(K$7, 7), "ca", $B20), [0]!data_range, 5, FALSE)</f>
        <v>#REF!</v>
      </c>
    </row>
    <row r="21" spans="2:11" ht="15" customHeight="1" x14ac:dyDescent="0.2">
      <c r="B21" s="23" t="s">
        <v>1</v>
      </c>
      <c r="C21" s="83" t="e">
        <f ca="1">VLOOKUP(CONCATENATE(LEFT(C$7, 7), "ca", $B21), [0]!data_range, 5, FALSE)</f>
        <v>#REF!</v>
      </c>
      <c r="D21" s="83" t="e">
        <f ca="1">VLOOKUP(CONCATENATE(LEFT(D$7, 7), "ca", $B21), [0]!data_range, 5, FALSE)</f>
        <v>#REF!</v>
      </c>
      <c r="E21" s="83" t="e">
        <f ca="1">VLOOKUP(CONCATENATE(LEFT(E$7, 7), "ca", $B21), [0]!data_range, 5, FALSE)</f>
        <v>#REF!</v>
      </c>
      <c r="F21" s="83" t="e">
        <f ca="1">VLOOKUP(CONCATENATE(LEFT(F$7, 7), "ca", $B21), [0]!data_range, 5, FALSE)</f>
        <v>#REF!</v>
      </c>
      <c r="G21" s="83" t="e">
        <f ca="1">VLOOKUP(CONCATENATE(LEFT(G$7, 7), "ca", $B21), [0]!data_range, 5, FALSE)</f>
        <v>#REF!</v>
      </c>
      <c r="H21" s="83" t="e">
        <f ca="1">VLOOKUP(CONCATENATE(LEFT(H$7, 7), "ca", $B21), [0]!data_range, 5, FALSE)</f>
        <v>#REF!</v>
      </c>
      <c r="I21" s="83" t="e">
        <f ca="1">VLOOKUP(CONCATENATE(LEFT(I$7, 7), "ca", $B21), [0]!data_range, 5, FALSE)</f>
        <v>#REF!</v>
      </c>
      <c r="J21" s="83" t="e">
        <f ca="1">VLOOKUP(CONCATENATE(LEFT(J$7, 7), "ca", $B21), [0]!data_range, 5, FALSE)</f>
        <v>#REF!</v>
      </c>
      <c r="K21" s="83" t="e">
        <f ca="1">VLOOKUP(CONCATENATE(LEFT(K$7, 7), "ca", $B21), [0]!data_range, 5, FALSE)</f>
        <v>#REF!</v>
      </c>
    </row>
    <row r="22" spans="2:11" ht="15" customHeight="1" x14ac:dyDescent="0.2">
      <c r="B22" s="23" t="s">
        <v>146</v>
      </c>
      <c r="C22" s="83" t="e">
        <f ca="1">VLOOKUP(CONCATENATE(LEFT(C$7, 7), "ca", $B22), [0]!data_range, 5, FALSE)</f>
        <v>#REF!</v>
      </c>
      <c r="D22" s="83" t="e">
        <f ca="1">VLOOKUP(CONCATENATE(LEFT(D$7, 7), "ca", $B22), [0]!data_range, 5, FALSE)</f>
        <v>#REF!</v>
      </c>
      <c r="E22" s="83" t="e">
        <f ca="1">VLOOKUP(CONCATENATE(LEFT(E$7, 7), "ca", $B22), [0]!data_range, 5, FALSE)</f>
        <v>#REF!</v>
      </c>
      <c r="F22" s="83" t="e">
        <f ca="1">VLOOKUP(CONCATENATE(LEFT(F$7, 7), "ca", $B22), [0]!data_range, 5, FALSE)</f>
        <v>#REF!</v>
      </c>
      <c r="G22" s="83" t="e">
        <f ca="1">VLOOKUP(CONCATENATE(LEFT(G$7, 7), "ca", $B22), [0]!data_range, 5, FALSE)</f>
        <v>#REF!</v>
      </c>
      <c r="H22" s="83" t="e">
        <f ca="1">VLOOKUP(CONCATENATE(LEFT(H$7, 7), "ca", $B22), [0]!data_range, 5, FALSE)</f>
        <v>#REF!</v>
      </c>
      <c r="I22" s="83" t="e">
        <f ca="1">VLOOKUP(CONCATENATE(LEFT(I$7, 7), "ca", $B22), [0]!data_range, 5, FALSE)</f>
        <v>#REF!</v>
      </c>
      <c r="J22" s="83" t="e">
        <f ca="1">VLOOKUP(CONCATENATE(LEFT(J$7, 7), "ca", $B22), [0]!data_range, 5, FALSE)</f>
        <v>#REF!</v>
      </c>
      <c r="K22" s="83" t="e">
        <f ca="1">VLOOKUP(CONCATENATE(LEFT(K$7, 7), "ca", $B22), [0]!data_range, 5, FALSE)</f>
        <v>#REF!</v>
      </c>
    </row>
    <row r="23" spans="2:11" ht="15" customHeight="1" x14ac:dyDescent="0.2">
      <c r="B23" s="23" t="s">
        <v>4</v>
      </c>
      <c r="C23" s="83" t="e">
        <f ca="1">VLOOKUP(CONCATENATE(LEFT(C$7, 7), "ca", $B23), [0]!data_range, 5, FALSE)</f>
        <v>#REF!</v>
      </c>
      <c r="D23" s="83" t="e">
        <f ca="1">VLOOKUP(CONCATENATE(LEFT(D$7, 7), "ca", $B23), [0]!data_range, 5, FALSE)</f>
        <v>#REF!</v>
      </c>
      <c r="E23" s="83" t="e">
        <f ca="1">VLOOKUP(CONCATENATE(LEFT(E$7, 7), "ca", $B23), [0]!data_range, 5, FALSE)</f>
        <v>#REF!</v>
      </c>
      <c r="F23" s="83" t="e">
        <f ca="1">VLOOKUP(CONCATENATE(LEFT(F$7, 7), "ca", $B23), [0]!data_range, 5, FALSE)</f>
        <v>#REF!</v>
      </c>
      <c r="G23" s="83" t="e">
        <f ca="1">VLOOKUP(CONCATENATE(LEFT(G$7, 7), "ca", $B23), [0]!data_range, 5, FALSE)</f>
        <v>#REF!</v>
      </c>
      <c r="H23" s="83" t="e">
        <f ca="1">VLOOKUP(CONCATENATE(LEFT(H$7, 7), "ca", $B23), [0]!data_range, 5, FALSE)</f>
        <v>#REF!</v>
      </c>
      <c r="I23" s="83" t="e">
        <f ca="1">VLOOKUP(CONCATENATE(LEFT(I$7, 7), "ca", $B23), [0]!data_range, 5, FALSE)</f>
        <v>#REF!</v>
      </c>
      <c r="J23" s="83" t="e">
        <f ca="1">VLOOKUP(CONCATENATE(LEFT(J$7, 7), "ca", $B23), [0]!data_range, 5, FALSE)</f>
        <v>#REF!</v>
      </c>
      <c r="K23" s="83" t="e">
        <f ca="1">VLOOKUP(CONCATENATE(LEFT(K$7, 7), "ca", $B23), [0]!data_range, 5, FALSE)</f>
        <v>#REF!</v>
      </c>
    </row>
    <row r="24" spans="2:11" ht="15" customHeight="1" x14ac:dyDescent="0.2">
      <c r="B24" s="23" t="s">
        <v>99</v>
      </c>
      <c r="C24" s="83" t="e">
        <f ca="1">VLOOKUP(CONCATENATE(LEFT(C$7, 7), "ca", $B24), [0]!data_range, 5, FALSE)</f>
        <v>#REF!</v>
      </c>
      <c r="D24" s="83" t="e">
        <f ca="1">VLOOKUP(CONCATENATE(LEFT(D$7, 7), "ca", $B24), [0]!data_range, 5, FALSE)</f>
        <v>#REF!</v>
      </c>
      <c r="E24" s="83" t="e">
        <f ca="1">VLOOKUP(CONCATENATE(LEFT(E$7, 7), "ca", $B24), [0]!data_range, 5, FALSE)</f>
        <v>#REF!</v>
      </c>
      <c r="F24" s="83" t="e">
        <f ca="1">VLOOKUP(CONCATENATE(LEFT(F$7, 7), "ca", $B24), [0]!data_range, 5, FALSE)</f>
        <v>#REF!</v>
      </c>
      <c r="G24" s="83" t="e">
        <f ca="1">VLOOKUP(CONCATENATE(LEFT(G$7, 7), "ca", $B24), [0]!data_range, 5, FALSE)</f>
        <v>#REF!</v>
      </c>
      <c r="H24" s="83" t="e">
        <f ca="1">VLOOKUP(CONCATENATE(LEFT(H$7, 7), "ca", $B24), [0]!data_range, 5, FALSE)</f>
        <v>#REF!</v>
      </c>
      <c r="I24" s="83" t="e">
        <f ca="1">VLOOKUP(CONCATENATE(LEFT(I$7, 7), "ca", $B24), [0]!data_range, 5, FALSE)</f>
        <v>#REF!</v>
      </c>
      <c r="J24" s="83" t="e">
        <f ca="1">VLOOKUP(CONCATENATE(LEFT(J$7, 7), "ca", $B24), [0]!data_range, 5, FALSE)</f>
        <v>#REF!</v>
      </c>
      <c r="K24" s="83" t="e">
        <f ca="1">VLOOKUP(CONCATENATE(LEFT(K$7, 7), "ca", $B24), [0]!data_range, 5, FALSE)</f>
        <v>#REF!</v>
      </c>
    </row>
    <row r="25" spans="2:11" ht="15" customHeight="1" x14ac:dyDescent="0.2">
      <c r="B25" s="23" t="s">
        <v>100</v>
      </c>
      <c r="C25" s="83" t="e">
        <f ca="1">VLOOKUP(CONCATENATE(LEFT(C$7, 7), "ca", $B25), [0]!data_range, 5, FALSE)</f>
        <v>#REF!</v>
      </c>
      <c r="D25" s="83" t="e">
        <f ca="1">VLOOKUP(CONCATENATE(LEFT(D$7, 7), "ca", $B25), [0]!data_range, 5, FALSE)</f>
        <v>#REF!</v>
      </c>
      <c r="E25" s="83" t="e">
        <f ca="1">VLOOKUP(CONCATENATE(LEFT(E$7, 7), "ca", $B25), [0]!data_range, 5, FALSE)</f>
        <v>#REF!</v>
      </c>
      <c r="F25" s="83" t="e">
        <f ca="1">VLOOKUP(CONCATENATE(LEFT(F$7, 7), "ca", $B25), [0]!data_range, 5, FALSE)</f>
        <v>#REF!</v>
      </c>
      <c r="G25" s="83" t="e">
        <f ca="1">VLOOKUP(CONCATENATE(LEFT(G$7, 7), "ca", $B25), [0]!data_range, 5, FALSE)</f>
        <v>#REF!</v>
      </c>
      <c r="H25" s="83" t="e">
        <f ca="1">VLOOKUP(CONCATENATE(LEFT(H$7, 7), "ca", $B25), [0]!data_range, 5, FALSE)</f>
        <v>#REF!</v>
      </c>
      <c r="I25" s="83" t="e">
        <f ca="1">VLOOKUP(CONCATENATE(LEFT(I$7, 7), "ca", $B25), [0]!data_range, 5, FALSE)</f>
        <v>#REF!</v>
      </c>
      <c r="J25" s="83" t="e">
        <f ca="1">VLOOKUP(CONCATENATE(LEFT(J$7, 7), "ca", $B25), [0]!data_range, 5, FALSE)</f>
        <v>#REF!</v>
      </c>
      <c r="K25" s="83" t="e">
        <f ca="1">VLOOKUP(CONCATENATE(LEFT(K$7, 7), "ca", $B25), [0]!data_range, 5, FALSE)</f>
        <v>#REF!</v>
      </c>
    </row>
    <row r="26" spans="2:11" ht="15" customHeight="1" x14ac:dyDescent="0.2">
      <c r="B26" s="23" t="s">
        <v>101</v>
      </c>
      <c r="C26" s="83" t="e">
        <f ca="1">VLOOKUP(CONCATENATE(LEFT(C$7, 7), "ca", $B26), [0]!data_range, 5, FALSE)</f>
        <v>#REF!</v>
      </c>
      <c r="D26" s="83" t="e">
        <f ca="1">VLOOKUP(CONCATENATE(LEFT(D$7, 7), "ca", $B26), [0]!data_range, 5, FALSE)</f>
        <v>#REF!</v>
      </c>
      <c r="E26" s="83" t="e">
        <f ca="1">VLOOKUP(CONCATENATE(LEFT(E$7, 7), "ca", $B26), [0]!data_range, 5, FALSE)</f>
        <v>#REF!</v>
      </c>
      <c r="F26" s="83" t="e">
        <f ca="1">VLOOKUP(CONCATENATE(LEFT(F$7, 7), "ca", $B26), [0]!data_range, 5, FALSE)</f>
        <v>#REF!</v>
      </c>
      <c r="G26" s="83" t="e">
        <f ca="1">VLOOKUP(CONCATENATE(LEFT(G$7, 7), "ca", $B26), [0]!data_range, 5, FALSE)</f>
        <v>#REF!</v>
      </c>
      <c r="H26" s="83" t="e">
        <f ca="1">VLOOKUP(CONCATENATE(LEFT(H$7, 7), "ca", $B26), [0]!data_range, 5, FALSE)</f>
        <v>#REF!</v>
      </c>
      <c r="I26" s="83" t="e">
        <f ca="1">VLOOKUP(CONCATENATE(LEFT(I$7, 7), "ca", $B26), [0]!data_range, 5, FALSE)</f>
        <v>#REF!</v>
      </c>
      <c r="J26" s="83" t="e">
        <f ca="1">VLOOKUP(CONCATENATE(LEFT(J$7, 7), "ca", $B26), [0]!data_range, 5, FALSE)</f>
        <v>#REF!</v>
      </c>
      <c r="K26" s="83" t="e">
        <f ca="1">VLOOKUP(CONCATENATE(LEFT(K$7, 7), "ca", $B26), [0]!data_range, 5, FALSE)</f>
        <v>#REF!</v>
      </c>
    </row>
    <row r="27" spans="2:11" ht="15" customHeight="1" x14ac:dyDescent="0.2">
      <c r="B27" s="23" t="s">
        <v>203</v>
      </c>
      <c r="C27" s="83" t="e">
        <f ca="1">VLOOKUP(CONCATENATE(LEFT(C$7, 7), "ca", $B27), [0]!data_range, 5, FALSE)</f>
        <v>#REF!</v>
      </c>
      <c r="D27" s="83" t="e">
        <f ca="1">VLOOKUP(CONCATENATE(LEFT(D$7, 7), "ca", $B27), [0]!data_range, 5, FALSE)</f>
        <v>#REF!</v>
      </c>
      <c r="E27" s="83" t="e">
        <f ca="1">VLOOKUP(CONCATENATE(LEFT(E$7, 7), "ca", $B27), [0]!data_range, 5, FALSE)</f>
        <v>#REF!</v>
      </c>
      <c r="F27" s="83" t="e">
        <f ca="1">VLOOKUP(CONCATENATE(LEFT(F$7, 7), "ca", $B27), [0]!data_range, 5, FALSE)</f>
        <v>#REF!</v>
      </c>
      <c r="G27" s="83" t="e">
        <f ca="1">VLOOKUP(CONCATENATE(LEFT(G$7, 7), "ca", $B27), [0]!data_range, 5, FALSE)</f>
        <v>#REF!</v>
      </c>
      <c r="H27" s="83" t="e">
        <f ca="1">VLOOKUP(CONCATENATE(LEFT(H$7, 7), "ca", $B27), [0]!data_range, 5, FALSE)</f>
        <v>#REF!</v>
      </c>
      <c r="I27" s="83" t="e">
        <f ca="1">VLOOKUP(CONCATENATE(LEFT(I$7, 7), "ca", $B27), [0]!data_range, 5, FALSE)</f>
        <v>#REF!</v>
      </c>
      <c r="J27" s="83" t="e">
        <f ca="1">VLOOKUP(CONCATENATE(LEFT(J$7, 7), "ca", $B27), [0]!data_range, 5, FALSE)</f>
        <v>#REF!</v>
      </c>
      <c r="K27" s="83" t="e">
        <f ca="1">VLOOKUP(CONCATENATE(LEFT(K$7, 7), "ca", $B27), [0]!data_range, 5, FALSE)</f>
        <v>#REF!</v>
      </c>
    </row>
    <row r="28" spans="2:11" ht="15" customHeight="1" x14ac:dyDescent="0.2">
      <c r="B28" s="23" t="s">
        <v>102</v>
      </c>
      <c r="C28" s="83" t="e">
        <f ca="1">VLOOKUP(CONCATENATE(LEFT(C$7, 7), "ca", $B28), [0]!data_range, 5, FALSE)</f>
        <v>#REF!</v>
      </c>
      <c r="D28" s="83" t="e">
        <f ca="1">VLOOKUP(CONCATENATE(LEFT(D$7, 7), "ca", $B28), [0]!data_range, 5, FALSE)</f>
        <v>#REF!</v>
      </c>
      <c r="E28" s="83" t="e">
        <f ca="1">VLOOKUP(CONCATENATE(LEFT(E$7, 7), "ca", $B28), [0]!data_range, 5, FALSE)</f>
        <v>#REF!</v>
      </c>
      <c r="F28" s="83" t="e">
        <f ca="1">VLOOKUP(CONCATENATE(LEFT(F$7, 7), "ca", $B28), [0]!data_range, 5, FALSE)</f>
        <v>#REF!</v>
      </c>
      <c r="G28" s="83" t="e">
        <f ca="1">VLOOKUP(CONCATENATE(LEFT(G$7, 7), "ca", $B28), [0]!data_range, 5, FALSE)</f>
        <v>#REF!</v>
      </c>
      <c r="H28" s="83" t="e">
        <f ca="1">VLOOKUP(CONCATENATE(LEFT(H$7, 7), "ca", $B28), [0]!data_range, 5, FALSE)</f>
        <v>#REF!</v>
      </c>
      <c r="I28" s="83" t="e">
        <f ca="1">VLOOKUP(CONCATENATE(LEFT(I$7, 7), "ca", $B28), [0]!data_range, 5, FALSE)</f>
        <v>#REF!</v>
      </c>
      <c r="J28" s="83" t="e">
        <f ca="1">VLOOKUP(CONCATENATE(LEFT(J$7, 7), "ca", $B28), [0]!data_range, 5, FALSE)</f>
        <v>#REF!</v>
      </c>
      <c r="K28" s="83" t="e">
        <f ca="1">VLOOKUP(CONCATENATE(LEFT(K$7, 7), "ca", $B28), [0]!data_range, 5, FALSE)</f>
        <v>#REF!</v>
      </c>
    </row>
    <row r="29" spans="2:11" ht="15" customHeight="1" x14ac:dyDescent="0.2">
      <c r="B29" s="23" t="s">
        <v>103</v>
      </c>
      <c r="C29" s="83" t="e">
        <f ca="1">VLOOKUP(CONCATENATE(LEFT(C$7, 7), "ca", $B29), [0]!data_range, 5, FALSE)</f>
        <v>#REF!</v>
      </c>
      <c r="D29" s="83" t="e">
        <f ca="1">VLOOKUP(CONCATENATE(LEFT(D$7, 7), "ca", $B29), [0]!data_range, 5, FALSE)</f>
        <v>#REF!</v>
      </c>
      <c r="E29" s="83" t="e">
        <f ca="1">VLOOKUP(CONCATENATE(LEFT(E$7, 7), "ca", $B29), [0]!data_range, 5, FALSE)</f>
        <v>#REF!</v>
      </c>
      <c r="F29" s="83" t="e">
        <f ca="1">VLOOKUP(CONCATENATE(LEFT(F$7, 7), "ca", $B29), [0]!data_range, 5, FALSE)</f>
        <v>#REF!</v>
      </c>
      <c r="G29" s="83" t="e">
        <f ca="1">VLOOKUP(CONCATENATE(LEFT(G$7, 7), "ca", $B29), [0]!data_range, 5, FALSE)</f>
        <v>#REF!</v>
      </c>
      <c r="H29" s="83" t="e">
        <f ca="1">VLOOKUP(CONCATENATE(LEFT(H$7, 7), "ca", $B29), [0]!data_range, 5, FALSE)</f>
        <v>#REF!</v>
      </c>
      <c r="I29" s="83" t="e">
        <f ca="1">VLOOKUP(CONCATENATE(LEFT(I$7, 7), "ca", $B29), [0]!data_range, 5, FALSE)</f>
        <v>#REF!</v>
      </c>
      <c r="J29" s="83" t="e">
        <f ca="1">VLOOKUP(CONCATENATE(LEFT(J$7, 7), "ca", $B29), [0]!data_range, 5, FALSE)</f>
        <v>#REF!</v>
      </c>
      <c r="K29" s="83" t="e">
        <f ca="1">VLOOKUP(CONCATENATE(LEFT(K$7, 7), "ca", $B29), [0]!data_range, 5, FALSE)</f>
        <v>#REF!</v>
      </c>
    </row>
    <row r="30" spans="2:11" ht="15" customHeight="1" x14ac:dyDescent="0.2">
      <c r="B30" s="23" t="s">
        <v>104</v>
      </c>
      <c r="C30" s="83" t="e">
        <f ca="1">VLOOKUP(CONCATENATE(LEFT(C$7, 7), "ca", $B30), [0]!data_range, 5, FALSE)</f>
        <v>#REF!</v>
      </c>
      <c r="D30" s="83" t="e">
        <f ca="1">VLOOKUP(CONCATENATE(LEFT(D$7, 7), "ca", $B30), [0]!data_range, 5, FALSE)</f>
        <v>#REF!</v>
      </c>
      <c r="E30" s="83" t="e">
        <f ca="1">VLOOKUP(CONCATENATE(LEFT(E$7, 7), "ca", $B30), [0]!data_range, 5, FALSE)</f>
        <v>#REF!</v>
      </c>
      <c r="F30" s="83" t="e">
        <f ca="1">VLOOKUP(CONCATENATE(LEFT(F$7, 7), "ca", $B30), [0]!data_range, 5, FALSE)</f>
        <v>#REF!</v>
      </c>
      <c r="G30" s="83" t="e">
        <f ca="1">VLOOKUP(CONCATENATE(LEFT(G$7, 7), "ca", $B30), [0]!data_range, 5, FALSE)</f>
        <v>#REF!</v>
      </c>
      <c r="H30" s="83" t="e">
        <f ca="1">VLOOKUP(CONCATENATE(LEFT(H$7, 7), "ca", $B30), [0]!data_range, 5, FALSE)</f>
        <v>#REF!</v>
      </c>
      <c r="I30" s="83" t="e">
        <f ca="1">VLOOKUP(CONCATENATE(LEFT(I$7, 7), "ca", $B30), [0]!data_range, 5, FALSE)</f>
        <v>#REF!</v>
      </c>
      <c r="J30" s="83" t="e">
        <f ca="1">VLOOKUP(CONCATENATE(LEFT(J$7, 7), "ca", $B30), [0]!data_range, 5, FALSE)</f>
        <v>#REF!</v>
      </c>
      <c r="K30" s="83" t="e">
        <f ca="1">VLOOKUP(CONCATENATE(LEFT(K$7, 7), "ca", $B30), [0]!data_range, 5, FALSE)</f>
        <v>#REF!</v>
      </c>
    </row>
    <row r="31" spans="2:11" ht="15" customHeight="1" x14ac:dyDescent="0.2">
      <c r="B31" s="23" t="s">
        <v>201</v>
      </c>
      <c r="C31" s="83" t="e">
        <f ca="1">VLOOKUP(CONCATENATE(LEFT(C$7, 7), "ca", $B31), [0]!data_range, 5, FALSE)</f>
        <v>#REF!</v>
      </c>
      <c r="D31" s="83" t="e">
        <f ca="1">VLOOKUP(CONCATENATE(LEFT(D$7, 7), "ca", $B31), [0]!data_range, 5, FALSE)</f>
        <v>#REF!</v>
      </c>
      <c r="E31" s="83" t="e">
        <f ca="1">VLOOKUP(CONCATENATE(LEFT(E$7, 7), "ca", $B31), [0]!data_range, 5, FALSE)</f>
        <v>#REF!</v>
      </c>
      <c r="F31" s="83" t="e">
        <f ca="1">VLOOKUP(CONCATENATE(LEFT(F$7, 7), "ca", $B31), [0]!data_range, 5, FALSE)</f>
        <v>#REF!</v>
      </c>
      <c r="G31" s="83" t="e">
        <f ca="1">VLOOKUP(CONCATENATE(LEFT(G$7, 7), "ca", $B31), [0]!data_range, 5, FALSE)</f>
        <v>#REF!</v>
      </c>
      <c r="H31" s="83" t="e">
        <f ca="1">VLOOKUP(CONCATENATE(LEFT(H$7, 7), "ca", $B31), [0]!data_range, 5, FALSE)</f>
        <v>#REF!</v>
      </c>
      <c r="I31" s="83" t="e">
        <f ca="1">VLOOKUP(CONCATENATE(LEFT(I$7, 7), "ca", $B31), [0]!data_range, 5, FALSE)</f>
        <v>#REF!</v>
      </c>
      <c r="J31" s="83" t="e">
        <f ca="1">VLOOKUP(CONCATENATE(LEFT(J$7, 7), "ca", $B31), [0]!data_range, 5, FALSE)</f>
        <v>#REF!</v>
      </c>
      <c r="K31" s="83" t="e">
        <f ca="1">VLOOKUP(CONCATENATE(LEFT(K$7, 7), "ca", $B31), [0]!data_range, 5, FALSE)</f>
        <v>#REF!</v>
      </c>
    </row>
    <row r="32" spans="2:11" ht="15" customHeight="1" x14ac:dyDescent="0.2">
      <c r="B32" s="23" t="s">
        <v>105</v>
      </c>
      <c r="C32" s="83" t="e">
        <f ca="1">VLOOKUP(CONCATENATE(LEFT(C$7, 7), "ca", $B32), [0]!data_range, 5, FALSE)</f>
        <v>#REF!</v>
      </c>
      <c r="D32" s="83" t="e">
        <f ca="1">VLOOKUP(CONCATENATE(LEFT(D$7, 7), "ca", $B32), [0]!data_range, 5, FALSE)</f>
        <v>#REF!</v>
      </c>
      <c r="E32" s="83" t="e">
        <f ca="1">VLOOKUP(CONCATENATE(LEFT(E$7, 7), "ca", $B32), [0]!data_range, 5, FALSE)</f>
        <v>#REF!</v>
      </c>
      <c r="F32" s="83" t="e">
        <f ca="1">VLOOKUP(CONCATENATE(LEFT(F$7, 7), "ca", $B32), [0]!data_range, 5, FALSE)</f>
        <v>#REF!</v>
      </c>
      <c r="G32" s="83" t="e">
        <f ca="1">VLOOKUP(CONCATENATE(LEFT(G$7, 7), "ca", $B32), [0]!data_range, 5, FALSE)</f>
        <v>#REF!</v>
      </c>
      <c r="H32" s="83" t="e">
        <f ca="1">VLOOKUP(CONCATENATE(LEFT(H$7, 7), "ca", $B32), [0]!data_range, 5, FALSE)</f>
        <v>#REF!</v>
      </c>
      <c r="I32" s="83" t="e">
        <f ca="1">VLOOKUP(CONCATENATE(LEFT(I$7, 7), "ca", $B32), [0]!data_range, 5, FALSE)</f>
        <v>#REF!</v>
      </c>
      <c r="J32" s="83" t="e">
        <f ca="1">VLOOKUP(CONCATENATE(LEFT(J$7, 7), "ca", $B32), [0]!data_range, 5, FALSE)</f>
        <v>#REF!</v>
      </c>
      <c r="K32" s="83" t="e">
        <f ca="1">VLOOKUP(CONCATENATE(LEFT(K$7, 7), "ca", $B32), [0]!data_range, 5, FALSE)</f>
        <v>#REF!</v>
      </c>
    </row>
    <row r="33" spans="2:11" ht="15" customHeight="1" x14ac:dyDescent="0.2">
      <c r="B33" s="23" t="s">
        <v>106</v>
      </c>
      <c r="C33" s="83" t="e">
        <f ca="1">VLOOKUP(CONCATENATE(LEFT(C$7, 7), "ca", $B33), [0]!data_range, 5, FALSE)</f>
        <v>#REF!</v>
      </c>
      <c r="D33" s="83" t="e">
        <f ca="1">VLOOKUP(CONCATENATE(LEFT(D$7, 7), "ca", $B33), [0]!data_range, 5, FALSE)</f>
        <v>#REF!</v>
      </c>
      <c r="E33" s="83" t="e">
        <f ca="1">VLOOKUP(CONCATENATE(LEFT(E$7, 7), "ca", $B33), [0]!data_range, 5, FALSE)</f>
        <v>#REF!</v>
      </c>
      <c r="F33" s="83" t="e">
        <f ca="1">VLOOKUP(CONCATENATE(LEFT(F$7, 7), "ca", $B33), [0]!data_range, 5, FALSE)</f>
        <v>#REF!</v>
      </c>
      <c r="G33" s="83" t="e">
        <f ca="1">VLOOKUP(CONCATENATE(LEFT(G$7, 7), "ca", $B33), [0]!data_range, 5, FALSE)</f>
        <v>#REF!</v>
      </c>
      <c r="H33" s="83" t="e">
        <f ca="1">VLOOKUP(CONCATENATE(LEFT(H$7, 7), "ca", $B33), [0]!data_range, 5, FALSE)</f>
        <v>#REF!</v>
      </c>
      <c r="I33" s="83" t="e">
        <f ca="1">VLOOKUP(CONCATENATE(LEFT(I$7, 7), "ca", $B33), [0]!data_range, 5, FALSE)</f>
        <v>#REF!</v>
      </c>
      <c r="J33" s="83" t="e">
        <f ca="1">VLOOKUP(CONCATENATE(LEFT(J$7, 7), "ca", $B33), [0]!data_range, 5, FALSE)</f>
        <v>#REF!</v>
      </c>
      <c r="K33" s="83" t="e">
        <f ca="1">VLOOKUP(CONCATENATE(LEFT(K$7, 7), "ca", $B33), [0]!data_range, 5, FALSE)</f>
        <v>#REF!</v>
      </c>
    </row>
    <row r="34" spans="2:11" ht="15" customHeight="1" x14ac:dyDescent="0.2">
      <c r="B34" s="23" t="s">
        <v>107</v>
      </c>
      <c r="C34" s="83" t="e">
        <f ca="1">VLOOKUP(CONCATENATE(LEFT(C$7, 7), "ca", $B34), [0]!data_range, 5, FALSE)</f>
        <v>#REF!</v>
      </c>
      <c r="D34" s="83" t="e">
        <f ca="1">VLOOKUP(CONCATENATE(LEFT(D$7, 7), "ca", $B34), [0]!data_range, 5, FALSE)</f>
        <v>#REF!</v>
      </c>
      <c r="E34" s="83" t="e">
        <f ca="1">VLOOKUP(CONCATENATE(LEFT(E$7, 7), "ca", $B34), [0]!data_range, 5, FALSE)</f>
        <v>#REF!</v>
      </c>
      <c r="F34" s="83" t="e">
        <f ca="1">VLOOKUP(CONCATENATE(LEFT(F$7, 7), "ca", $B34), [0]!data_range, 5, FALSE)</f>
        <v>#REF!</v>
      </c>
      <c r="G34" s="83" t="e">
        <f ca="1">VLOOKUP(CONCATENATE(LEFT(G$7, 7), "ca", $B34), [0]!data_range, 5, FALSE)</f>
        <v>#REF!</v>
      </c>
      <c r="H34" s="83" t="e">
        <f ca="1">VLOOKUP(CONCATENATE(LEFT(H$7, 7), "ca", $B34), [0]!data_range, 5, FALSE)</f>
        <v>#REF!</v>
      </c>
      <c r="I34" s="83" t="e">
        <f ca="1">VLOOKUP(CONCATENATE(LEFT(I$7, 7), "ca", $B34), [0]!data_range, 5, FALSE)</f>
        <v>#REF!</v>
      </c>
      <c r="J34" s="83" t="e">
        <f ca="1">VLOOKUP(CONCATENATE(LEFT(J$7, 7), "ca", $B34), [0]!data_range, 5, FALSE)</f>
        <v>#REF!</v>
      </c>
      <c r="K34" s="83" t="e">
        <f ca="1">VLOOKUP(CONCATENATE(LEFT(K$7, 7), "ca", $B34), [0]!data_range, 5, FALSE)</f>
        <v>#REF!</v>
      </c>
    </row>
    <row r="35" spans="2:11" ht="15" customHeight="1" x14ac:dyDescent="0.2">
      <c r="B35" s="23" t="s">
        <v>108</v>
      </c>
      <c r="C35" s="83" t="e">
        <f ca="1">VLOOKUP(CONCATENATE(LEFT(C$7, 7), "ca", $B35), [0]!data_range, 5, FALSE)</f>
        <v>#REF!</v>
      </c>
      <c r="D35" s="83" t="e">
        <f ca="1">VLOOKUP(CONCATENATE(LEFT(D$7, 7), "ca", $B35), [0]!data_range, 5, FALSE)</f>
        <v>#REF!</v>
      </c>
      <c r="E35" s="83" t="e">
        <f ca="1">VLOOKUP(CONCATENATE(LEFT(E$7, 7), "ca", $B35), [0]!data_range, 5, FALSE)</f>
        <v>#REF!</v>
      </c>
      <c r="F35" s="83" t="e">
        <f ca="1">VLOOKUP(CONCATENATE(LEFT(F$7, 7), "ca", $B35), [0]!data_range, 5, FALSE)</f>
        <v>#REF!</v>
      </c>
      <c r="G35" s="83" t="e">
        <f ca="1">VLOOKUP(CONCATENATE(LEFT(G$7, 7), "ca", $B35), [0]!data_range, 5, FALSE)</f>
        <v>#REF!</v>
      </c>
      <c r="H35" s="83" t="e">
        <f ca="1">VLOOKUP(CONCATENATE(LEFT(H$7, 7), "ca", $B35), [0]!data_range, 5, FALSE)</f>
        <v>#REF!</v>
      </c>
      <c r="I35" s="83" t="e">
        <f ca="1">VLOOKUP(CONCATENATE(LEFT(I$7, 7), "ca", $B35), [0]!data_range, 5, FALSE)</f>
        <v>#REF!</v>
      </c>
      <c r="J35" s="83" t="e">
        <f ca="1">VLOOKUP(CONCATENATE(LEFT(J$7, 7), "ca", $B35), [0]!data_range, 5, FALSE)</f>
        <v>#REF!</v>
      </c>
      <c r="K35" s="83" t="e">
        <f ca="1">VLOOKUP(CONCATENATE(LEFT(K$7, 7), "ca", $B35), [0]!data_range, 5, FALSE)</f>
        <v>#REF!</v>
      </c>
    </row>
    <row r="36" spans="2:11" ht="15" customHeight="1" x14ac:dyDescent="0.2">
      <c r="B36" s="23" t="s">
        <v>109</v>
      </c>
      <c r="C36" s="83" t="e">
        <f ca="1">VLOOKUP(CONCATENATE(LEFT(C$7, 7), "ca", $B36), [0]!data_range, 5, FALSE)</f>
        <v>#REF!</v>
      </c>
      <c r="D36" s="83" t="e">
        <f ca="1">VLOOKUP(CONCATENATE(LEFT(D$7, 7), "ca", $B36), [0]!data_range, 5, FALSE)</f>
        <v>#REF!</v>
      </c>
      <c r="E36" s="83" t="e">
        <f ca="1">VLOOKUP(CONCATENATE(LEFT(E$7, 7), "ca", $B36), [0]!data_range, 5, FALSE)</f>
        <v>#REF!</v>
      </c>
      <c r="F36" s="83" t="e">
        <f ca="1">VLOOKUP(CONCATENATE(LEFT(F$7, 7), "ca", $B36), [0]!data_range, 5, FALSE)</f>
        <v>#REF!</v>
      </c>
      <c r="G36" s="83" t="e">
        <f ca="1">VLOOKUP(CONCATENATE(LEFT(G$7, 7), "ca", $B36), [0]!data_range, 5, FALSE)</f>
        <v>#REF!</v>
      </c>
      <c r="H36" s="83" t="e">
        <f ca="1">VLOOKUP(CONCATENATE(LEFT(H$7, 7), "ca", $B36), [0]!data_range, 5, FALSE)</f>
        <v>#REF!</v>
      </c>
      <c r="I36" s="83" t="e">
        <f ca="1">VLOOKUP(CONCATENATE(LEFT(I$7, 7), "ca", $B36), [0]!data_range, 5, FALSE)</f>
        <v>#REF!</v>
      </c>
      <c r="J36" s="83" t="e">
        <f ca="1">VLOOKUP(CONCATENATE(LEFT(J$7, 7), "ca", $B36), [0]!data_range, 5, FALSE)</f>
        <v>#REF!</v>
      </c>
      <c r="K36" s="83" t="e">
        <f ca="1">VLOOKUP(CONCATENATE(LEFT(K$7, 7), "ca", $B36), [0]!data_range, 5, FALSE)</f>
        <v>#REF!</v>
      </c>
    </row>
    <row r="37" spans="2:11" ht="15" customHeight="1" x14ac:dyDescent="0.2">
      <c r="B37" s="23" t="s">
        <v>164</v>
      </c>
      <c r="C37" s="83" t="e">
        <f ca="1">VLOOKUP(CONCATENATE(LEFT(C$7, 7), "ca", $B37), [0]!data_range, 5, FALSE)</f>
        <v>#REF!</v>
      </c>
      <c r="D37" s="83" t="e">
        <f ca="1">VLOOKUP(CONCATENATE(LEFT(D$7, 7), "ca", $B37), [0]!data_range, 5, FALSE)</f>
        <v>#REF!</v>
      </c>
      <c r="E37" s="83" t="e">
        <f ca="1">VLOOKUP(CONCATENATE(LEFT(E$7, 7), "ca", $B37), [0]!data_range, 5, FALSE)</f>
        <v>#REF!</v>
      </c>
      <c r="F37" s="83" t="e">
        <f ca="1">VLOOKUP(CONCATENATE(LEFT(F$7, 7), "ca", $B37), [0]!data_range, 5, FALSE)</f>
        <v>#REF!</v>
      </c>
      <c r="G37" s="83" t="e">
        <f ca="1">VLOOKUP(CONCATENATE(LEFT(G$7, 7), "ca", $B37), [0]!data_range, 5, FALSE)</f>
        <v>#REF!</v>
      </c>
      <c r="H37" s="83" t="e">
        <f ca="1">VLOOKUP(CONCATENATE(LEFT(H$7, 7), "ca", $B37), [0]!data_range, 5, FALSE)</f>
        <v>#REF!</v>
      </c>
      <c r="I37" s="83" t="e">
        <f ca="1">VLOOKUP(CONCATENATE(LEFT(I$7, 7), "ca", $B37), [0]!data_range, 5, FALSE)</f>
        <v>#REF!</v>
      </c>
      <c r="J37" s="83" t="e">
        <f ca="1">VLOOKUP(CONCATENATE(LEFT(J$7, 7), "ca", $B37), [0]!data_range, 5, FALSE)</f>
        <v>#REF!</v>
      </c>
      <c r="K37" s="83" t="e">
        <f ca="1">VLOOKUP(CONCATENATE(LEFT(K$7, 7), "ca", $B37), [0]!data_range, 5, FALSE)</f>
        <v>#REF!</v>
      </c>
    </row>
    <row r="38" spans="2:11" ht="15" customHeight="1" x14ac:dyDescent="0.2">
      <c r="B38" s="23" t="s">
        <v>110</v>
      </c>
      <c r="C38" s="83" t="e">
        <f ca="1">VLOOKUP(CONCATENATE(LEFT(C$7, 7), "ca", $B38), [0]!data_range, 5, FALSE)</f>
        <v>#REF!</v>
      </c>
      <c r="D38" s="83" t="e">
        <f ca="1">VLOOKUP(CONCATENATE(LEFT(D$7, 7), "ca", $B38), [0]!data_range, 5, FALSE)</f>
        <v>#REF!</v>
      </c>
      <c r="E38" s="83" t="e">
        <f ca="1">VLOOKUP(CONCATENATE(LEFT(E$7, 7), "ca", $B38), [0]!data_range, 5, FALSE)</f>
        <v>#REF!</v>
      </c>
      <c r="F38" s="83" t="e">
        <f ca="1">VLOOKUP(CONCATENATE(LEFT(F$7, 7), "ca", $B38), [0]!data_range, 5, FALSE)</f>
        <v>#REF!</v>
      </c>
      <c r="G38" s="83" t="e">
        <f ca="1">VLOOKUP(CONCATENATE(LEFT(G$7, 7), "ca", $B38), [0]!data_range, 5, FALSE)</f>
        <v>#REF!</v>
      </c>
      <c r="H38" s="83" t="e">
        <f ca="1">VLOOKUP(CONCATENATE(LEFT(H$7, 7), "ca", $B38), [0]!data_range, 5, FALSE)</f>
        <v>#REF!</v>
      </c>
      <c r="I38" s="83" t="e">
        <f ca="1">VLOOKUP(CONCATENATE(LEFT(I$7, 7), "ca", $B38), [0]!data_range, 5, FALSE)</f>
        <v>#REF!</v>
      </c>
      <c r="J38" s="83" t="e">
        <f ca="1">VLOOKUP(CONCATENATE(LEFT(J$7, 7), "ca", $B38), [0]!data_range, 5, FALSE)</f>
        <v>#REF!</v>
      </c>
      <c r="K38" s="83" t="e">
        <f ca="1">VLOOKUP(CONCATENATE(LEFT(K$7, 7), "ca", $B38), [0]!data_range, 5, FALSE)</f>
        <v>#REF!</v>
      </c>
    </row>
    <row r="39" spans="2:11" ht="15" customHeight="1" x14ac:dyDescent="0.2">
      <c r="B39" s="27" t="s">
        <v>111</v>
      </c>
      <c r="C39" s="83" t="e">
        <f ca="1">VLOOKUP(CONCATENATE(LEFT(C$7, 7), "ca", $B39), [0]!data_range, 5, FALSE)</f>
        <v>#REF!</v>
      </c>
      <c r="D39" s="83" t="e">
        <f ca="1">VLOOKUP(CONCATENATE(LEFT(D$7, 7), "ca", $B39), [0]!data_range, 5, FALSE)</f>
        <v>#REF!</v>
      </c>
      <c r="E39" s="83" t="e">
        <f ca="1">VLOOKUP(CONCATENATE(LEFT(E$7, 7), "ca", $B39), [0]!data_range, 5, FALSE)</f>
        <v>#REF!</v>
      </c>
      <c r="F39" s="83" t="e">
        <f ca="1">VLOOKUP(CONCATENATE(LEFT(F$7, 7), "ca", $B39), [0]!data_range, 5, FALSE)</f>
        <v>#REF!</v>
      </c>
      <c r="G39" s="83" t="e">
        <f ca="1">VLOOKUP(CONCATENATE(LEFT(G$7, 7), "ca", $B39), [0]!data_range, 5, FALSE)</f>
        <v>#REF!</v>
      </c>
      <c r="H39" s="83" t="e">
        <f ca="1">VLOOKUP(CONCATENATE(LEFT(H$7, 7), "ca", $B39), [0]!data_range, 5, FALSE)</f>
        <v>#REF!</v>
      </c>
      <c r="I39" s="83" t="e">
        <f ca="1">VLOOKUP(CONCATENATE(LEFT(I$7, 7), "ca", $B39), [0]!data_range, 5, FALSE)</f>
        <v>#REF!</v>
      </c>
      <c r="J39" s="83" t="e">
        <f ca="1">VLOOKUP(CONCATENATE(LEFT(J$7, 7), "ca", $B39), [0]!data_range, 5, FALSE)</f>
        <v>#REF!</v>
      </c>
      <c r="K39" s="83" t="e">
        <f ca="1">VLOOKUP(CONCATENATE(LEFT(K$7, 7), "ca", $B39), [0]!data_range, 5, FALSE)</f>
        <v>#REF!</v>
      </c>
    </row>
    <row r="40" spans="2:11" ht="15" customHeight="1" x14ac:dyDescent="0.2">
      <c r="B40" s="36" t="s">
        <v>11</v>
      </c>
      <c r="C40" s="82" t="e">
        <f ca="1">VLOOKUP(CONCATENATE(LEFT(C$7, 7), "Scotland", $B40), [0]!data_range, 5, FALSE)</f>
        <v>#REF!</v>
      </c>
      <c r="D40" s="82" t="e">
        <f ca="1">VLOOKUP(CONCATENATE(LEFT(D$7, 7), "Scotland", $B40), [0]!data_range, 5, FALSE)</f>
        <v>#REF!</v>
      </c>
      <c r="E40" s="82" t="e">
        <f ca="1">VLOOKUP(CONCATENATE(LEFT(E$7, 7), "Scotland", $B40), [0]!data_range, 5, FALSE)</f>
        <v>#REF!</v>
      </c>
      <c r="F40" s="82" t="e">
        <f ca="1">VLOOKUP(CONCATENATE(LEFT(F$7, 7), "Scotland", $B40), [0]!data_range, 5, FALSE)</f>
        <v>#REF!</v>
      </c>
      <c r="G40" s="82" t="e">
        <f ca="1">VLOOKUP(CONCATENATE(LEFT(G$7, 7), "Scotland", $B40), [0]!data_range, 5, FALSE)</f>
        <v>#REF!</v>
      </c>
      <c r="H40" s="82" t="e">
        <f ca="1">VLOOKUP(CONCATENATE(LEFT(H$7, 7), "Scotland", $B40), [0]!data_range, 5, FALSE)</f>
        <v>#REF!</v>
      </c>
      <c r="I40" s="82" t="e">
        <f ca="1">VLOOKUP(CONCATENATE(LEFT(I$7, 7), "Scotland", $B40), [0]!data_range, 5, FALSE)</f>
        <v>#REF!</v>
      </c>
      <c r="J40" s="82" t="e">
        <f ca="1">VLOOKUP(CONCATENATE(LEFT(J$7, 7), "Scotland", $B40), [0]!data_range, 5, FALSE)</f>
        <v>#REF!</v>
      </c>
      <c r="K40" s="82" t="e">
        <f ca="1">VLOOKUP(CONCATENATE(LEFT(K$7, 7), "Scotland", $B40), [0]!data_range, 5, FALSE)</f>
        <v>#REF!</v>
      </c>
    </row>
    <row r="41" spans="2:11" ht="15" customHeight="1" x14ac:dyDescent="0.2">
      <c r="J41" s="23"/>
      <c r="K41" s="23"/>
    </row>
    <row r="42" spans="2:11" ht="15" customHeight="1" x14ac:dyDescent="0.2">
      <c r="J42" s="23"/>
      <c r="K42" s="23"/>
    </row>
    <row r="43" spans="2:11" ht="15" customHeight="1" x14ac:dyDescent="0.2">
      <c r="C43" s="55"/>
      <c r="J43" s="23"/>
      <c r="K43" s="23"/>
    </row>
    <row r="44" spans="2:11" ht="15" customHeight="1" x14ac:dyDescent="0.2">
      <c r="B44" s="19" t="s">
        <v>15</v>
      </c>
      <c r="J44" s="23"/>
      <c r="K44" s="23"/>
    </row>
    <row r="45" spans="2:11" ht="15" customHeight="1" x14ac:dyDescent="0.2">
      <c r="J45" s="23"/>
      <c r="K45" s="23"/>
    </row>
    <row r="46" spans="2:11" ht="15" customHeight="1" x14ac:dyDescent="0.2">
      <c r="B46" s="21" t="s">
        <v>149</v>
      </c>
      <c r="J46" s="23"/>
      <c r="K46" s="23"/>
    </row>
    <row r="47" spans="2:11" ht="15" customHeight="1" x14ac:dyDescent="0.2">
      <c r="B47" s="21" t="s">
        <v>142</v>
      </c>
      <c r="J47" s="23"/>
      <c r="K47" s="23"/>
    </row>
    <row r="48" spans="2:11" ht="15" customHeight="1" x14ac:dyDescent="0.2">
      <c r="B48" s="21" t="e">
        <f ca="1">"    1. Data for " &amp; [0]!fy_max &amp;" are incomplete and will be revised in October 20" &amp; RIGHT([0]!fy_max, 2) &amp; " publication"</f>
        <v>#REF!</v>
      </c>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7" spans="10:11" ht="15" customHeight="1" x14ac:dyDescent="0.2">
      <c r="J157" s="23"/>
      <c r="K157"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row r="190" spans="10:11" ht="15" customHeight="1" x14ac:dyDescent="0.2">
      <c r="J190" s="23"/>
      <c r="K190" s="23"/>
    </row>
  </sheetData>
  <sortState ref="B8:K39">
    <sortCondition ref="B8"/>
  </sortState>
  <mergeCells count="1">
    <mergeCell ref="B1:J1"/>
  </mergeCells>
  <hyperlinks>
    <hyperlink ref="B44"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4"/>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100" t="str">
        <f>Notes!B1:O1</f>
        <v/>
      </c>
      <c r="C1" s="100"/>
      <c r="D1" s="100"/>
      <c r="E1" s="100"/>
      <c r="F1" s="100"/>
      <c r="G1" s="100"/>
      <c r="H1" s="100"/>
      <c r="I1" s="100"/>
      <c r="J1" s="100"/>
    </row>
    <row r="2" spans="2:12" ht="15" customHeight="1" x14ac:dyDescent="0.25">
      <c r="B2" s="4" t="s">
        <v>169</v>
      </c>
      <c r="J2" s="23"/>
      <c r="K2" s="23"/>
      <c r="L2" s="23"/>
    </row>
    <row r="3" spans="2:12" ht="15" customHeight="1" x14ac:dyDescent="0.25">
      <c r="B3" s="4" t="s">
        <v>140</v>
      </c>
      <c r="J3" s="23"/>
      <c r="K3" s="23"/>
      <c r="L3" s="23"/>
    </row>
    <row r="4" spans="2:12" ht="15" customHeight="1" x14ac:dyDescent="0.25">
      <c r="B4" s="4"/>
      <c r="J4" s="23"/>
      <c r="K4" s="23"/>
      <c r="L4" s="23"/>
    </row>
    <row r="5" spans="2:12" ht="15" customHeight="1" x14ac:dyDescent="0.25">
      <c r="B5" s="4"/>
      <c r="E5" s="10" t="s">
        <v>12</v>
      </c>
      <c r="I5" s="46"/>
      <c r="J5" s="23"/>
      <c r="K5" s="23"/>
      <c r="L5" s="23"/>
    </row>
    <row r="6" spans="2:12" ht="15" customHeight="1" x14ac:dyDescent="0.25">
      <c r="B6" s="4"/>
      <c r="D6" s="38" t="e">
        <f t="array" aca="1" ref="D6" ca="1">INDEX(fy_range, MATCH(0, COUNTIF($C$6:C6, fy_range), 0))</f>
        <v>#REF!</v>
      </c>
      <c r="E6" s="38" t="e">
        <f t="array" aca="1" ref="E6" ca="1">INDEX(fy_range, MATCH(0, COUNTIF($C$6:D6, fy_range), 0))</f>
        <v>#REF!</v>
      </c>
      <c r="F6" s="38" t="e">
        <f t="array" aca="1" ref="F6" ca="1">INDEX(fy_range, MATCH(0, COUNTIF($C$6:E6, fy_range), 0))</f>
        <v>#REF!</v>
      </c>
      <c r="G6" s="38" t="e">
        <f t="array" aca="1" ref="G6" ca="1">INDEX(fy_range, MATCH(0, COUNTIF($C$6:F6, fy_range), 0))</f>
        <v>#REF!</v>
      </c>
      <c r="H6" s="38" t="e">
        <f t="array" aca="1" ref="H6" ca="1">INDEX(fy_range, MATCH(0, COUNTIF($C$6:G6, fy_range), 0))</f>
        <v>#REF!</v>
      </c>
      <c r="I6" s="38" t="e">
        <f t="array" aca="1" ref="I6" ca="1">INDEX(fy_range, MATCH(0, COUNTIF($C$6:H6, fy_range), 0))</f>
        <v>#REF!</v>
      </c>
      <c r="J6" s="38" t="e">
        <f t="array" aca="1" ref="J6" ca="1">INDEX(fy_range, MATCH(0, COUNTIF($C$6:I6, fy_range), 0))</f>
        <v>#REF!</v>
      </c>
      <c r="K6" s="38" t="e">
        <f t="array" aca="1" ref="K6" ca="1">INDEX(fy_range, MATCH(0, COUNTIF($C$6:J6, fy_range), 0))</f>
        <v>#REF!</v>
      </c>
      <c r="L6" s="38" t="e">
        <f t="array" aca="1" ref="L6" ca="1">INDEX(fy_range, MATCH(0, COUNTIF($C$6:K6, fy_range), 0))</f>
        <v>#REF!</v>
      </c>
    </row>
    <row r="7" spans="2:12" ht="15" customHeight="1" x14ac:dyDescent="0.2">
      <c r="B7" s="62" t="s">
        <v>122</v>
      </c>
      <c r="C7" s="57" t="s">
        <v>116</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18" t="e">
        <f ca="1">IF(L$6 = [0]!fy_max, L$6 &amp; calculation!$B$4, L$6)</f>
        <v>#REF!</v>
      </c>
    </row>
    <row r="8" spans="2:12" ht="15" customHeight="1" x14ac:dyDescent="0.2">
      <c r="B8" s="63" t="s">
        <v>124</v>
      </c>
      <c r="C8" s="39" t="s">
        <v>117</v>
      </c>
      <c r="D8" s="83" t="e">
        <f ca="1">VLOOKUP(CONCATENATE(LEFT(D$7, 7), "age/sex", $B$8, " ", $C8), [0]!data_range, 5, FALSE)</f>
        <v>#REF!</v>
      </c>
      <c r="E8" s="83" t="e">
        <f ca="1">VLOOKUP(CONCATENATE(LEFT(E$7, 7), "age/sex", $B$8, " ", $C8), [0]!data_range, 5, FALSE)</f>
        <v>#REF!</v>
      </c>
      <c r="F8" s="83" t="e">
        <f ca="1">VLOOKUP(CONCATENATE(LEFT(F$7, 7), "age/sex", $B$8, " ", $C8), [0]!data_range, 5, FALSE)</f>
        <v>#REF!</v>
      </c>
      <c r="G8" s="83" t="e">
        <f ca="1">VLOOKUP(CONCATENATE(LEFT(G$7, 7), "age/sex", $B$8, " ", $C8), [0]!data_range, 5, FALSE)</f>
        <v>#REF!</v>
      </c>
      <c r="H8" s="83" t="e">
        <f ca="1">VLOOKUP(CONCATENATE(LEFT(H$7, 7), "age/sex", $B$8, " ", $C8), [0]!data_range, 5, FALSE)</f>
        <v>#REF!</v>
      </c>
      <c r="I8" s="83" t="e">
        <f ca="1">VLOOKUP(CONCATENATE(LEFT(I$7, 7), "age/sex", $B$8, " ", $C8), [0]!data_range, 5, FALSE)</f>
        <v>#REF!</v>
      </c>
      <c r="J8" s="83" t="e">
        <f ca="1">VLOOKUP(CONCATENATE(LEFT(J$7, 7), "age/sex", $B$8, " ", $C8), [0]!data_range, 5, FALSE)</f>
        <v>#REF!</v>
      </c>
      <c r="K8" s="83" t="e">
        <f ca="1">VLOOKUP(CONCATENATE(LEFT(K$7, 7), "age/sex", $B$8, " ", $C8), [0]!data_range, 5, FALSE)</f>
        <v>#REF!</v>
      </c>
      <c r="L8" s="83" t="e">
        <f ca="1">VLOOKUP(CONCATENATE(LEFT(L$7, 7), "age/sex", $B$8, " ", $C8), [0]!data_range, 5, FALSE)</f>
        <v>#REF!</v>
      </c>
    </row>
    <row r="9" spans="2:12" ht="15" customHeight="1" x14ac:dyDescent="0.2">
      <c r="B9" s="9"/>
      <c r="C9" s="39" t="s">
        <v>191</v>
      </c>
      <c r="D9" s="83" t="e">
        <f ca="1">VLOOKUP(CONCATENATE(LEFT(D$7, 7), "age/sex", $B$8, " ", $C9), [0]!data_range, 5, FALSE)</f>
        <v>#REF!</v>
      </c>
      <c r="E9" s="83" t="e">
        <f ca="1">VLOOKUP(CONCATENATE(LEFT(E$7, 7), "age/sex", $B$8, " ", $C9), [0]!data_range, 5, FALSE)</f>
        <v>#REF!</v>
      </c>
      <c r="F9" s="83" t="e">
        <f ca="1">VLOOKUP(CONCATENATE(LEFT(F$7, 7), "age/sex", $B$8, " ", $C9), [0]!data_range, 5, FALSE)</f>
        <v>#REF!</v>
      </c>
      <c r="G9" s="83" t="e">
        <f ca="1">VLOOKUP(CONCATENATE(LEFT(G$7, 7), "age/sex", $B$8, " ", $C9), [0]!data_range, 5, FALSE)</f>
        <v>#REF!</v>
      </c>
      <c r="H9" s="83" t="e">
        <f ca="1">VLOOKUP(CONCATENATE(LEFT(H$7, 7), "age/sex", $B$8, " ", $C9), [0]!data_range, 5, FALSE)</f>
        <v>#REF!</v>
      </c>
      <c r="I9" s="83" t="e">
        <f ca="1">VLOOKUP(CONCATENATE(LEFT(I$7, 7), "age/sex", $B$8, " ", $C9), [0]!data_range, 5, FALSE)</f>
        <v>#REF!</v>
      </c>
      <c r="J9" s="83" t="e">
        <f ca="1">VLOOKUP(CONCATENATE(LEFT(J$7, 7), "age/sex", $B$8, " ", $C9), [0]!data_range, 5, FALSE)</f>
        <v>#REF!</v>
      </c>
      <c r="K9" s="83" t="e">
        <f ca="1">VLOOKUP(CONCATENATE(LEFT(K$7, 7), "age/sex", $B$8, " ", $C9), [0]!data_range, 5, FALSE)</f>
        <v>#REF!</v>
      </c>
      <c r="L9" s="83" t="e">
        <f ca="1">VLOOKUP(CONCATENATE(LEFT(L$7, 7), "age/sex", $B$8, " ", $C9), [0]!data_range, 5, FALSE)</f>
        <v>#REF!</v>
      </c>
    </row>
    <row r="10" spans="2:12" ht="15" customHeight="1" x14ac:dyDescent="0.2">
      <c r="B10" s="9"/>
      <c r="C10" s="3" t="s">
        <v>125</v>
      </c>
      <c r="D10" s="83" t="e">
        <f ca="1">VLOOKUP(CONCATENATE(LEFT(D$7, 7), "age/sex", $B$8, " ", $C10), [0]!data_range, 5, FALSE)</f>
        <v>#REF!</v>
      </c>
      <c r="E10" s="83" t="e">
        <f ca="1">VLOOKUP(CONCATENATE(LEFT(E$7, 7), "age/sex", $B$8, " ", $C10), [0]!data_range, 5, FALSE)</f>
        <v>#REF!</v>
      </c>
      <c r="F10" s="83" t="e">
        <f ca="1">VLOOKUP(CONCATENATE(LEFT(F$7, 7), "age/sex", $B$8, " ", $C10), [0]!data_range, 5, FALSE)</f>
        <v>#REF!</v>
      </c>
      <c r="G10" s="83" t="e">
        <f ca="1">VLOOKUP(CONCATENATE(LEFT(G$7, 7), "age/sex", $B$8, " ", $C10), [0]!data_range, 5, FALSE)</f>
        <v>#REF!</v>
      </c>
      <c r="H10" s="83" t="e">
        <f ca="1">VLOOKUP(CONCATENATE(LEFT(H$7, 7), "age/sex", $B$8, " ", $C10), [0]!data_range, 5, FALSE)</f>
        <v>#REF!</v>
      </c>
      <c r="I10" s="83" t="e">
        <f ca="1">VLOOKUP(CONCATENATE(LEFT(I$7, 7), "age/sex", $B$8, " ", $C10), [0]!data_range, 5, FALSE)</f>
        <v>#REF!</v>
      </c>
      <c r="J10" s="83" t="e">
        <f ca="1">VLOOKUP(CONCATENATE(LEFT(J$7, 7), "age/sex", $B$8, " ", $C10), [0]!data_range, 5, FALSE)</f>
        <v>#REF!</v>
      </c>
      <c r="K10" s="83" t="e">
        <f ca="1">VLOOKUP(CONCATENATE(LEFT(K$7, 7), "age/sex", $B$8, " ", $C10), [0]!data_range, 5, FALSE)</f>
        <v>#REF!</v>
      </c>
      <c r="L10" s="83" t="e">
        <f ca="1">VLOOKUP(CONCATENATE(LEFT(L$7, 7), "age/sex", $B$8, " ", $C10), [0]!data_range, 5, FALSE)</f>
        <v>#REF!</v>
      </c>
    </row>
    <row r="11" spans="2:12" ht="15" customHeight="1" x14ac:dyDescent="0.2">
      <c r="B11" s="9" t="s">
        <v>126</v>
      </c>
      <c r="C11" s="3" t="s">
        <v>117</v>
      </c>
      <c r="D11" s="83" t="e">
        <f ca="1">VLOOKUP(CONCATENATE(LEFT(D$7, 7), "age/sex", $B$8, " ", $C11), [0]!data_range, 5, FALSE)</f>
        <v>#REF!</v>
      </c>
      <c r="E11" s="83" t="e">
        <f ca="1">VLOOKUP(CONCATENATE(LEFT(E$7, 7), "age/sex", $B$8, " ", $C11), [0]!data_range, 5, FALSE)</f>
        <v>#REF!</v>
      </c>
      <c r="F11" s="83" t="e">
        <f ca="1">VLOOKUP(CONCATENATE(LEFT(F$7, 7), "age/sex", $B$8, " ", $C11), [0]!data_range, 5, FALSE)</f>
        <v>#REF!</v>
      </c>
      <c r="G11" s="83" t="e">
        <f ca="1">VLOOKUP(CONCATENATE(LEFT(G$7, 7), "age/sex", $B$8, " ", $C11), [0]!data_range, 5, FALSE)</f>
        <v>#REF!</v>
      </c>
      <c r="H11" s="83" t="e">
        <f ca="1">VLOOKUP(CONCATENATE(LEFT(H$7, 7), "age/sex", $B$8, " ", $C11), [0]!data_range, 5, FALSE)</f>
        <v>#REF!</v>
      </c>
      <c r="I11" s="83" t="e">
        <f ca="1">VLOOKUP(CONCATENATE(LEFT(I$7, 7), "age/sex", $B$8, " ", $C11), [0]!data_range, 5, FALSE)</f>
        <v>#REF!</v>
      </c>
      <c r="J11" s="83" t="e">
        <f ca="1">VLOOKUP(CONCATENATE(LEFT(J$7, 7), "age/sex", $B$8, " ", $C11), [0]!data_range, 5, FALSE)</f>
        <v>#REF!</v>
      </c>
      <c r="K11" s="83" t="e">
        <f ca="1">VLOOKUP(CONCATENATE(LEFT(K$7, 7), "age/sex", $B$8, " ", $C11), [0]!data_range, 5, FALSE)</f>
        <v>#REF!</v>
      </c>
      <c r="L11" s="83" t="e">
        <f ca="1">VLOOKUP(CONCATENATE(LEFT(L$7, 7), "age/sex", $B$8, " ", $C11), [0]!data_range, 5, FALSE)</f>
        <v>#REF!</v>
      </c>
    </row>
    <row r="12" spans="2:12" ht="15" customHeight="1" x14ac:dyDescent="0.2">
      <c r="C12" s="39" t="s">
        <v>191</v>
      </c>
      <c r="D12" s="83" t="e">
        <f ca="1">VLOOKUP(CONCATENATE(LEFT(D$7, 7), "age/sex", $B$8, " ", $C12), [0]!data_range, 5, FALSE)</f>
        <v>#REF!</v>
      </c>
      <c r="E12" s="83" t="e">
        <f ca="1">VLOOKUP(CONCATENATE(LEFT(E$7, 7), "age/sex", $B$8, " ", $C12), [0]!data_range, 5, FALSE)</f>
        <v>#REF!</v>
      </c>
      <c r="F12" s="83" t="e">
        <f ca="1">VLOOKUP(CONCATENATE(LEFT(F$7, 7), "age/sex", $B$8, " ", $C12), [0]!data_range, 5, FALSE)</f>
        <v>#REF!</v>
      </c>
      <c r="G12" s="83" t="e">
        <f ca="1">VLOOKUP(CONCATENATE(LEFT(G$7, 7), "age/sex", $B$8, " ", $C12), [0]!data_range, 5, FALSE)</f>
        <v>#REF!</v>
      </c>
      <c r="H12" s="83" t="e">
        <f ca="1">VLOOKUP(CONCATENATE(LEFT(H$7, 7), "age/sex", $B$8, " ", $C12), [0]!data_range, 5, FALSE)</f>
        <v>#REF!</v>
      </c>
      <c r="I12" s="83" t="e">
        <f ca="1">VLOOKUP(CONCATENATE(LEFT(I$7, 7), "age/sex", $B$8, " ", $C12), [0]!data_range, 5, FALSE)</f>
        <v>#REF!</v>
      </c>
      <c r="J12" s="83" t="e">
        <f ca="1">VLOOKUP(CONCATENATE(LEFT(J$7, 7), "age/sex", $B$8, " ", $C12), [0]!data_range, 5, FALSE)</f>
        <v>#REF!</v>
      </c>
      <c r="K12" s="83" t="e">
        <f ca="1">VLOOKUP(CONCATENATE(LEFT(K$7, 7), "age/sex", $B$8, " ", $C12), [0]!data_range, 5, FALSE)</f>
        <v>#REF!</v>
      </c>
      <c r="L12" s="83" t="e">
        <f ca="1">VLOOKUP(CONCATENATE(LEFT(L$7, 7), "age/sex", $B$8, " ", $C12), [0]!data_range, 5, FALSE)</f>
        <v>#REF!</v>
      </c>
    </row>
    <row r="13" spans="2:12" ht="15" customHeight="1" x14ac:dyDescent="0.2">
      <c r="C13" s="3" t="s">
        <v>125</v>
      </c>
      <c r="D13" s="83" t="e">
        <f ca="1">VLOOKUP(CONCATENATE(LEFT(D$7, 7), "age/sex", $B$8, " ", $C13), [0]!data_range, 5, FALSE)</f>
        <v>#REF!</v>
      </c>
      <c r="E13" s="83" t="e">
        <f ca="1">VLOOKUP(CONCATENATE(LEFT(E$7, 7), "age/sex", $B$8, " ", $C13), [0]!data_range, 5, FALSE)</f>
        <v>#REF!</v>
      </c>
      <c r="F13" s="83" t="e">
        <f ca="1">VLOOKUP(CONCATENATE(LEFT(F$7, 7), "age/sex", $B$8, " ", $C13), [0]!data_range, 5, FALSE)</f>
        <v>#REF!</v>
      </c>
      <c r="G13" s="83" t="e">
        <f ca="1">VLOOKUP(CONCATENATE(LEFT(G$7, 7), "age/sex", $B$8, " ", $C13), [0]!data_range, 5, FALSE)</f>
        <v>#REF!</v>
      </c>
      <c r="H13" s="83" t="e">
        <f ca="1">VLOOKUP(CONCATENATE(LEFT(H$7, 7), "age/sex", $B$8, " ", $C13), [0]!data_range, 5, FALSE)</f>
        <v>#REF!</v>
      </c>
      <c r="I13" s="83" t="e">
        <f ca="1">VLOOKUP(CONCATENATE(LEFT(I$7, 7), "age/sex", $B$8, " ", $C13), [0]!data_range, 5, FALSE)</f>
        <v>#REF!</v>
      </c>
      <c r="J13" s="83" t="e">
        <f ca="1">VLOOKUP(CONCATENATE(LEFT(J$7, 7), "age/sex", $B$8, " ", $C13), [0]!data_range, 5, FALSE)</f>
        <v>#REF!</v>
      </c>
      <c r="K13" s="83" t="e">
        <f ca="1">VLOOKUP(CONCATENATE(LEFT(K$7, 7), "age/sex", $B$8, " ", $C13), [0]!data_range, 5, FALSE)</f>
        <v>#REF!</v>
      </c>
      <c r="L13" s="83" t="e">
        <f ca="1">VLOOKUP(CONCATENATE(LEFT(L$7, 7), "age/sex", $B$8, " ", $C13), [0]!data_range, 5, FALSE)</f>
        <v>#REF!</v>
      </c>
    </row>
    <row r="14" spans="2:12" ht="15" customHeight="1" x14ac:dyDescent="0.2">
      <c r="B14" s="9" t="s">
        <v>123</v>
      </c>
      <c r="C14" s="3" t="s">
        <v>117</v>
      </c>
      <c r="D14" s="83" t="e">
        <f ca="1">VLOOKUP(CONCATENATE(LEFT(D$7, 7), "age/sex", $B$8, " ", $C14), [0]!data_range, 5, FALSE)</f>
        <v>#REF!</v>
      </c>
      <c r="E14" s="83" t="e">
        <f ca="1">VLOOKUP(CONCATENATE(LEFT(E$7, 7), "age/sex", $B$8, " ", $C14), [0]!data_range, 5, FALSE)</f>
        <v>#REF!</v>
      </c>
      <c r="F14" s="83" t="e">
        <f ca="1">VLOOKUP(CONCATENATE(LEFT(F$7, 7), "age/sex", $B$8, " ", $C14), [0]!data_range, 5, FALSE)</f>
        <v>#REF!</v>
      </c>
      <c r="G14" s="83" t="e">
        <f ca="1">VLOOKUP(CONCATENATE(LEFT(G$7, 7), "age/sex", $B$8, " ", $C14), [0]!data_range, 5, FALSE)</f>
        <v>#REF!</v>
      </c>
      <c r="H14" s="83" t="e">
        <f ca="1">VLOOKUP(CONCATENATE(LEFT(H$7, 7), "age/sex", $B$8, " ", $C14), [0]!data_range, 5, FALSE)</f>
        <v>#REF!</v>
      </c>
      <c r="I14" s="83" t="e">
        <f ca="1">VLOOKUP(CONCATENATE(LEFT(I$7, 7), "age/sex", $B$8, " ", $C14), [0]!data_range, 5, FALSE)</f>
        <v>#REF!</v>
      </c>
      <c r="J14" s="83" t="e">
        <f ca="1">VLOOKUP(CONCATENATE(LEFT(J$7, 7), "age/sex", $B$8, " ", $C14), [0]!data_range, 5, FALSE)</f>
        <v>#REF!</v>
      </c>
      <c r="K14" s="83" t="e">
        <f ca="1">VLOOKUP(CONCATENATE(LEFT(K$7, 7), "age/sex", $B$8, " ", $C14), [0]!data_range, 5, FALSE)</f>
        <v>#REF!</v>
      </c>
      <c r="L14" s="83" t="e">
        <f ca="1">VLOOKUP(CONCATENATE(LEFT(L$7, 7), "age/sex", $B$8, " ", $C14), [0]!data_range, 5, FALSE)</f>
        <v>#REF!</v>
      </c>
    </row>
    <row r="15" spans="2:12" ht="15" customHeight="1" x14ac:dyDescent="0.2">
      <c r="C15" s="39" t="s">
        <v>191</v>
      </c>
      <c r="D15" s="83" t="e">
        <f ca="1">VLOOKUP(CONCATENATE(LEFT(D$7, 7), "age/sex", $B$8, " ", $C15), [0]!data_range, 5, FALSE)</f>
        <v>#REF!</v>
      </c>
      <c r="E15" s="83" t="e">
        <f ca="1">VLOOKUP(CONCATENATE(LEFT(E$7, 7), "age/sex", $B$8, " ", $C15), [0]!data_range, 5, FALSE)</f>
        <v>#REF!</v>
      </c>
      <c r="F15" s="83" t="e">
        <f ca="1">VLOOKUP(CONCATENATE(LEFT(F$7, 7), "age/sex", $B$8, " ", $C15), [0]!data_range, 5, FALSE)</f>
        <v>#REF!</v>
      </c>
      <c r="G15" s="83" t="e">
        <f ca="1">VLOOKUP(CONCATENATE(LEFT(G$7, 7), "age/sex", $B$8, " ", $C15), [0]!data_range, 5, FALSE)</f>
        <v>#REF!</v>
      </c>
      <c r="H15" s="83" t="e">
        <f ca="1">VLOOKUP(CONCATENATE(LEFT(H$7, 7), "age/sex", $B$8, " ", $C15), [0]!data_range, 5, FALSE)</f>
        <v>#REF!</v>
      </c>
      <c r="I15" s="83" t="e">
        <f ca="1">VLOOKUP(CONCATENATE(LEFT(I$7, 7), "age/sex", $B$8, " ", $C15), [0]!data_range, 5, FALSE)</f>
        <v>#REF!</v>
      </c>
      <c r="J15" s="83" t="e">
        <f ca="1">VLOOKUP(CONCATENATE(LEFT(J$7, 7), "age/sex", $B$8, " ", $C15), [0]!data_range, 5, FALSE)</f>
        <v>#REF!</v>
      </c>
      <c r="K15" s="83" t="e">
        <f ca="1">VLOOKUP(CONCATENATE(LEFT(K$7, 7), "age/sex", $B$8, " ", $C15), [0]!data_range, 5, FALSE)</f>
        <v>#REF!</v>
      </c>
      <c r="L15" s="83" t="e">
        <f ca="1">VLOOKUP(CONCATENATE(LEFT(L$7, 7), "age/sex", $B$8, " ", $C15), [0]!data_range, 5, FALSE)</f>
        <v>#REF!</v>
      </c>
    </row>
    <row r="16" spans="2:12" ht="15" customHeight="1" x14ac:dyDescent="0.2">
      <c r="C16" s="39" t="s">
        <v>125</v>
      </c>
      <c r="D16" s="83" t="e">
        <f ca="1">VLOOKUP(CONCATENATE(LEFT(D$7, 7), "age/sex", $B$8, " ", $C16), [0]!data_range, 5, FALSE)</f>
        <v>#REF!</v>
      </c>
      <c r="E16" s="83" t="e">
        <f ca="1">VLOOKUP(CONCATENATE(LEFT(E$7, 7), "age/sex", $B$8, " ", $C16), [0]!data_range, 5, FALSE)</f>
        <v>#REF!</v>
      </c>
      <c r="F16" s="83" t="e">
        <f ca="1">VLOOKUP(CONCATENATE(LEFT(F$7, 7), "age/sex", $B$8, " ", $C16), [0]!data_range, 5, FALSE)</f>
        <v>#REF!</v>
      </c>
      <c r="G16" s="83" t="e">
        <f ca="1">VLOOKUP(CONCATENATE(LEFT(G$7, 7), "age/sex", $B$8, " ", $C16), [0]!data_range, 5, FALSE)</f>
        <v>#REF!</v>
      </c>
      <c r="H16" s="83" t="e">
        <f ca="1">VLOOKUP(CONCATENATE(LEFT(H$7, 7), "age/sex", $B$8, " ", $C16), [0]!data_range, 5, FALSE)</f>
        <v>#REF!</v>
      </c>
      <c r="I16" s="83" t="e">
        <f ca="1">VLOOKUP(CONCATENATE(LEFT(I$7, 7), "age/sex", $B$8, " ", $C16), [0]!data_range, 5, FALSE)</f>
        <v>#REF!</v>
      </c>
      <c r="J16" s="83" t="e">
        <f ca="1">VLOOKUP(CONCATENATE(LEFT(J$7, 7), "age/sex", $B$8, " ", $C16), [0]!data_range, 5, FALSE)</f>
        <v>#REF!</v>
      </c>
      <c r="K16" s="83" t="e">
        <f ca="1">VLOOKUP(CONCATENATE(LEFT(K$7, 7), "age/sex", $B$8, " ", $C16), [0]!data_range, 5, FALSE)</f>
        <v>#REF!</v>
      </c>
      <c r="L16" s="83" t="e">
        <f ca="1">VLOOKUP(CONCATENATE(LEFT(L$7, 7), "age/sex", $B$8, " ", $C16), [0]!data_range, 5, FALSE)</f>
        <v>#REF!</v>
      </c>
    </row>
    <row r="17" spans="2:12" ht="15" customHeight="1" x14ac:dyDescent="0.2">
      <c r="B17" s="9" t="s">
        <v>127</v>
      </c>
      <c r="C17" s="3" t="s">
        <v>117</v>
      </c>
      <c r="D17" s="83" t="e">
        <f ca="1">VLOOKUP(CONCATENATE(LEFT(D$7, 7), "age/sex", $B$8, " ", $C17), [0]!data_range, 5, FALSE)</f>
        <v>#REF!</v>
      </c>
      <c r="E17" s="83" t="e">
        <f ca="1">VLOOKUP(CONCATENATE(LEFT(E$7, 7), "age/sex", $B$8, " ", $C17), [0]!data_range, 5, FALSE)</f>
        <v>#REF!</v>
      </c>
      <c r="F17" s="83" t="e">
        <f ca="1">VLOOKUP(CONCATENATE(LEFT(F$7, 7), "age/sex", $B$8, " ", $C17), [0]!data_range, 5, FALSE)</f>
        <v>#REF!</v>
      </c>
      <c r="G17" s="83" t="e">
        <f ca="1">VLOOKUP(CONCATENATE(LEFT(G$7, 7), "age/sex", $B$8, " ", $C17), [0]!data_range, 5, FALSE)</f>
        <v>#REF!</v>
      </c>
      <c r="H17" s="83" t="e">
        <f ca="1">VLOOKUP(CONCATENATE(LEFT(H$7, 7), "age/sex", $B$8, " ", $C17), [0]!data_range, 5, FALSE)</f>
        <v>#REF!</v>
      </c>
      <c r="I17" s="83" t="e">
        <f ca="1">VLOOKUP(CONCATENATE(LEFT(I$7, 7), "age/sex", $B$8, " ", $C17), [0]!data_range, 5, FALSE)</f>
        <v>#REF!</v>
      </c>
      <c r="J17" s="83" t="e">
        <f ca="1">VLOOKUP(CONCATENATE(LEFT(J$7, 7), "age/sex", $B$8, " ", $C17), [0]!data_range, 5, FALSE)</f>
        <v>#REF!</v>
      </c>
      <c r="K17" s="83" t="e">
        <f ca="1">VLOOKUP(CONCATENATE(LEFT(K$7, 7), "age/sex", $B$8, " ", $C17), [0]!data_range, 5, FALSE)</f>
        <v>#REF!</v>
      </c>
      <c r="L17" s="83" t="e">
        <f ca="1">VLOOKUP(CONCATENATE(LEFT(L$7, 7), "age/sex", $B$8, " ", $C17), [0]!data_range, 5, FALSE)</f>
        <v>#REF!</v>
      </c>
    </row>
    <row r="18" spans="2:12" ht="15" customHeight="1" x14ac:dyDescent="0.2">
      <c r="C18" s="39" t="s">
        <v>191</v>
      </c>
      <c r="D18" s="83" t="e">
        <f ca="1">VLOOKUP(CONCATENATE(LEFT(D$7, 7), "age/sex", $B$8, " ", $C18), [0]!data_range, 5, FALSE)</f>
        <v>#REF!</v>
      </c>
      <c r="E18" s="83" t="e">
        <f ca="1">VLOOKUP(CONCATENATE(LEFT(E$7, 7), "age/sex", $B$8, " ", $C18), [0]!data_range, 5, FALSE)</f>
        <v>#REF!</v>
      </c>
      <c r="F18" s="83" t="e">
        <f ca="1">VLOOKUP(CONCATENATE(LEFT(F$7, 7), "age/sex", $B$8, " ", $C18), [0]!data_range, 5, FALSE)</f>
        <v>#REF!</v>
      </c>
      <c r="G18" s="83" t="e">
        <f ca="1">VLOOKUP(CONCATENATE(LEFT(G$7, 7), "age/sex", $B$8, " ", $C18), [0]!data_range, 5, FALSE)</f>
        <v>#REF!</v>
      </c>
      <c r="H18" s="83" t="e">
        <f ca="1">VLOOKUP(CONCATENATE(LEFT(H$7, 7), "age/sex", $B$8, " ", $C18), [0]!data_range, 5, FALSE)</f>
        <v>#REF!</v>
      </c>
      <c r="I18" s="83" t="e">
        <f ca="1">VLOOKUP(CONCATENATE(LEFT(I$7, 7), "age/sex", $B$8, " ", $C18), [0]!data_range, 5, FALSE)</f>
        <v>#REF!</v>
      </c>
      <c r="J18" s="83" t="e">
        <f ca="1">VLOOKUP(CONCATENATE(LEFT(J$7, 7), "age/sex", $B$8, " ", $C18), [0]!data_range, 5, FALSE)</f>
        <v>#REF!</v>
      </c>
      <c r="K18" s="83" t="e">
        <f ca="1">VLOOKUP(CONCATENATE(LEFT(K$7, 7), "age/sex", $B$8, " ", $C18), [0]!data_range, 5, FALSE)</f>
        <v>#REF!</v>
      </c>
      <c r="L18" s="83" t="e">
        <f ca="1">VLOOKUP(CONCATENATE(LEFT(L$7, 7), "age/sex", $B$8, " ", $C18), [0]!data_range, 5, FALSE)</f>
        <v>#REF!</v>
      </c>
    </row>
    <row r="19" spans="2:12" ht="15" customHeight="1" x14ac:dyDescent="0.2">
      <c r="C19" s="3" t="s">
        <v>125</v>
      </c>
      <c r="D19" s="83" t="e">
        <f ca="1">VLOOKUP(CONCATENATE(LEFT(D$7, 7), "age/sex", $B$8, " ", $C19), [0]!data_range, 5, FALSE)</f>
        <v>#REF!</v>
      </c>
      <c r="E19" s="83" t="e">
        <f ca="1">VLOOKUP(CONCATENATE(LEFT(E$7, 7), "age/sex", $B$8, " ", $C19), [0]!data_range, 5, FALSE)</f>
        <v>#REF!</v>
      </c>
      <c r="F19" s="83" t="e">
        <f ca="1">VLOOKUP(CONCATENATE(LEFT(F$7, 7), "age/sex", $B$8, " ", $C19), [0]!data_range, 5, FALSE)</f>
        <v>#REF!</v>
      </c>
      <c r="G19" s="83" t="e">
        <f ca="1">VLOOKUP(CONCATENATE(LEFT(G$7, 7), "age/sex", $B$8, " ", $C19), [0]!data_range, 5, FALSE)</f>
        <v>#REF!</v>
      </c>
      <c r="H19" s="83" t="e">
        <f ca="1">VLOOKUP(CONCATENATE(LEFT(H$7, 7), "age/sex", $B$8, " ", $C19), [0]!data_range, 5, FALSE)</f>
        <v>#REF!</v>
      </c>
      <c r="I19" s="83" t="e">
        <f ca="1">VLOOKUP(CONCATENATE(LEFT(I$7, 7), "age/sex", $B$8, " ", $C19), [0]!data_range, 5, FALSE)</f>
        <v>#REF!</v>
      </c>
      <c r="J19" s="83" t="e">
        <f ca="1">VLOOKUP(CONCATENATE(LEFT(J$7, 7), "age/sex", $B$8, " ", $C19), [0]!data_range, 5, FALSE)</f>
        <v>#REF!</v>
      </c>
      <c r="K19" s="83" t="e">
        <f ca="1">VLOOKUP(CONCATENATE(LEFT(K$7, 7), "age/sex", $B$8, " ", $C19), [0]!data_range, 5, FALSE)</f>
        <v>#REF!</v>
      </c>
      <c r="L19" s="83" t="e">
        <f ca="1">VLOOKUP(CONCATENATE(LEFT(L$7, 7), "age/sex", $B$8, " ", $C19), [0]!data_range, 5, FALSE)</f>
        <v>#REF!</v>
      </c>
    </row>
    <row r="20" spans="2:12" ht="15" customHeight="1" x14ac:dyDescent="0.2">
      <c r="B20" s="9" t="s">
        <v>128</v>
      </c>
      <c r="C20" s="3" t="s">
        <v>117</v>
      </c>
      <c r="D20" s="83" t="e">
        <f ca="1">VLOOKUP(CONCATENATE(LEFT(D$7, 7), "age/sex", $B$8, " ", $C20), [0]!data_range, 5, FALSE)</f>
        <v>#REF!</v>
      </c>
      <c r="E20" s="83" t="e">
        <f ca="1">VLOOKUP(CONCATENATE(LEFT(E$7, 7), "age/sex", $B$8, " ", $C20), [0]!data_range, 5, FALSE)</f>
        <v>#REF!</v>
      </c>
      <c r="F20" s="83" t="e">
        <f ca="1">VLOOKUP(CONCATENATE(LEFT(F$7, 7), "age/sex", $B$8, " ", $C20), [0]!data_range, 5, FALSE)</f>
        <v>#REF!</v>
      </c>
      <c r="G20" s="83" t="e">
        <f ca="1">VLOOKUP(CONCATENATE(LEFT(G$7, 7), "age/sex", $B$8, " ", $C20), [0]!data_range, 5, FALSE)</f>
        <v>#REF!</v>
      </c>
      <c r="H20" s="83" t="e">
        <f ca="1">VLOOKUP(CONCATENATE(LEFT(H$7, 7), "age/sex", $B$8, " ", $C20), [0]!data_range, 5, FALSE)</f>
        <v>#REF!</v>
      </c>
      <c r="I20" s="83" t="e">
        <f ca="1">VLOOKUP(CONCATENATE(LEFT(I$7, 7), "age/sex", $B$8, " ", $C20), [0]!data_range, 5, FALSE)</f>
        <v>#REF!</v>
      </c>
      <c r="J20" s="83" t="e">
        <f ca="1">VLOOKUP(CONCATENATE(LEFT(J$7, 7), "age/sex", $B$8, " ", $C20), [0]!data_range, 5, FALSE)</f>
        <v>#REF!</v>
      </c>
      <c r="K20" s="83" t="e">
        <f ca="1">VLOOKUP(CONCATENATE(LEFT(K$7, 7), "age/sex", $B$8, " ", $C20), [0]!data_range, 5, FALSE)</f>
        <v>#REF!</v>
      </c>
      <c r="L20" s="83" t="e">
        <f ca="1">VLOOKUP(CONCATENATE(LEFT(L$7, 7), "age/sex", $B$8, " ", $C20), [0]!data_range, 5, FALSE)</f>
        <v>#REF!</v>
      </c>
    </row>
    <row r="21" spans="2:12" ht="15" customHeight="1" x14ac:dyDescent="0.2">
      <c r="C21" s="39" t="s">
        <v>191</v>
      </c>
      <c r="D21" s="83" t="e">
        <f ca="1">VLOOKUP(CONCATENATE(LEFT(D$7, 7), "age/sex", $B$8, " ", $C21), [0]!data_range, 5, FALSE)</f>
        <v>#REF!</v>
      </c>
      <c r="E21" s="83" t="e">
        <f ca="1">VLOOKUP(CONCATENATE(LEFT(E$7, 7), "age/sex", $B$8, " ", $C21), [0]!data_range, 5, FALSE)</f>
        <v>#REF!</v>
      </c>
      <c r="F21" s="83" t="e">
        <f ca="1">VLOOKUP(CONCATENATE(LEFT(F$7, 7), "age/sex", $B$8, " ", $C21), [0]!data_range, 5, FALSE)</f>
        <v>#REF!</v>
      </c>
      <c r="G21" s="83" t="e">
        <f ca="1">VLOOKUP(CONCATENATE(LEFT(G$7, 7), "age/sex", $B$8, " ", $C21), [0]!data_range, 5, FALSE)</f>
        <v>#REF!</v>
      </c>
      <c r="H21" s="83" t="e">
        <f ca="1">VLOOKUP(CONCATENATE(LEFT(H$7, 7), "age/sex", $B$8, " ", $C21), [0]!data_range, 5, FALSE)</f>
        <v>#REF!</v>
      </c>
      <c r="I21" s="83" t="e">
        <f ca="1">VLOOKUP(CONCATENATE(LEFT(I$7, 7), "age/sex", $B$8, " ", $C21), [0]!data_range, 5, FALSE)</f>
        <v>#REF!</v>
      </c>
      <c r="J21" s="83" t="e">
        <f ca="1">VLOOKUP(CONCATENATE(LEFT(J$7, 7), "age/sex", $B$8, " ", $C21), [0]!data_range, 5, FALSE)</f>
        <v>#REF!</v>
      </c>
      <c r="K21" s="83" t="e">
        <f ca="1">VLOOKUP(CONCATENATE(LEFT(K$7, 7), "age/sex", $B$8, " ", $C21), [0]!data_range, 5, FALSE)</f>
        <v>#REF!</v>
      </c>
      <c r="L21" s="83" t="e">
        <f ca="1">VLOOKUP(CONCATENATE(LEFT(L$7, 7), "age/sex", $B$8, " ", $C21), [0]!data_range, 5, FALSE)</f>
        <v>#REF!</v>
      </c>
    </row>
    <row r="22" spans="2:12" ht="15" customHeight="1" x14ac:dyDescent="0.2">
      <c r="C22" s="3" t="s">
        <v>125</v>
      </c>
      <c r="D22" s="83" t="e">
        <f ca="1">VLOOKUP(CONCATENATE(LEFT(D$7, 7), "age/sex", $B$8, " ", $C22), [0]!data_range, 5, FALSE)</f>
        <v>#REF!</v>
      </c>
      <c r="E22" s="83" t="e">
        <f ca="1">VLOOKUP(CONCATENATE(LEFT(E$7, 7), "age/sex", $B$8, " ", $C22), [0]!data_range, 5, FALSE)</f>
        <v>#REF!</v>
      </c>
      <c r="F22" s="83" t="e">
        <f ca="1">VLOOKUP(CONCATENATE(LEFT(F$7, 7), "age/sex", $B$8, " ", $C22), [0]!data_range, 5, FALSE)</f>
        <v>#REF!</v>
      </c>
      <c r="G22" s="83" t="e">
        <f ca="1">VLOOKUP(CONCATENATE(LEFT(G$7, 7), "age/sex", $B$8, " ", $C22), [0]!data_range, 5, FALSE)</f>
        <v>#REF!</v>
      </c>
      <c r="H22" s="83" t="e">
        <f ca="1">VLOOKUP(CONCATENATE(LEFT(H$7, 7), "age/sex", $B$8, " ", $C22), [0]!data_range, 5, FALSE)</f>
        <v>#REF!</v>
      </c>
      <c r="I22" s="83" t="e">
        <f ca="1">VLOOKUP(CONCATENATE(LEFT(I$7, 7), "age/sex", $B$8, " ", $C22), [0]!data_range, 5, FALSE)</f>
        <v>#REF!</v>
      </c>
      <c r="J22" s="83" t="e">
        <f ca="1">VLOOKUP(CONCATENATE(LEFT(J$7, 7), "age/sex", $B$8, " ", $C22), [0]!data_range, 5, FALSE)</f>
        <v>#REF!</v>
      </c>
      <c r="K22" s="83" t="e">
        <f ca="1">VLOOKUP(CONCATENATE(LEFT(K$7, 7), "age/sex", $B$8, " ", $C22), [0]!data_range, 5, FALSE)</f>
        <v>#REF!</v>
      </c>
      <c r="L22" s="83" t="e">
        <f ca="1">VLOOKUP(CONCATENATE(LEFT(L$7, 7), "age/sex", $B$8, " ", $C22), [0]!data_range, 5, FALSE)</f>
        <v>#REF!</v>
      </c>
    </row>
    <row r="23" spans="2:12" ht="15" customHeight="1" x14ac:dyDescent="0.2">
      <c r="B23" s="3" t="s">
        <v>129</v>
      </c>
      <c r="C23" s="9" t="s">
        <v>117</v>
      </c>
      <c r="D23" s="83" t="e">
        <f ca="1">VLOOKUP(CONCATENATE(LEFT(D$7, 7), "age/sex", $B$8, " ", $C23), [0]!data_range, 5, FALSE)</f>
        <v>#REF!</v>
      </c>
      <c r="E23" s="83" t="e">
        <f ca="1">VLOOKUP(CONCATENATE(LEFT(E$7, 7), "age/sex", $B$8, " ", $C23), [0]!data_range, 5, FALSE)</f>
        <v>#REF!</v>
      </c>
      <c r="F23" s="83" t="e">
        <f ca="1">VLOOKUP(CONCATENATE(LEFT(F$7, 7), "age/sex", $B$8, " ", $C23), [0]!data_range, 5, FALSE)</f>
        <v>#REF!</v>
      </c>
      <c r="G23" s="83" t="e">
        <f ca="1">VLOOKUP(CONCATENATE(LEFT(G$7, 7), "age/sex", $B$8, " ", $C23), [0]!data_range, 5, FALSE)</f>
        <v>#REF!</v>
      </c>
      <c r="H23" s="83" t="e">
        <f ca="1">VLOOKUP(CONCATENATE(LEFT(H$7, 7), "age/sex", $B$8, " ", $C23), [0]!data_range, 5, FALSE)</f>
        <v>#REF!</v>
      </c>
      <c r="I23" s="83" t="e">
        <f ca="1">VLOOKUP(CONCATENATE(LEFT(I$7, 7), "age/sex", $B$8, " ", $C23), [0]!data_range, 5, FALSE)</f>
        <v>#REF!</v>
      </c>
      <c r="J23" s="83" t="e">
        <f ca="1">VLOOKUP(CONCATENATE(LEFT(J$7, 7), "age/sex", $B$8, " ", $C23), [0]!data_range, 5, FALSE)</f>
        <v>#REF!</v>
      </c>
      <c r="K23" s="83" t="e">
        <f ca="1">VLOOKUP(CONCATENATE(LEFT(K$7, 7), "age/sex", $B$8, " ", $C23), [0]!data_range, 5, FALSE)</f>
        <v>#REF!</v>
      </c>
      <c r="L23" s="83" t="e">
        <f ca="1">VLOOKUP(CONCATENATE(LEFT(L$7, 7), "age/sex", $B$8, " ", $C23), [0]!data_range, 5, FALSE)</f>
        <v>#REF!</v>
      </c>
    </row>
    <row r="24" spans="2:12" ht="15" customHeight="1" x14ac:dyDescent="0.2">
      <c r="C24" s="26" t="s">
        <v>191</v>
      </c>
      <c r="D24" s="83" t="e">
        <f ca="1">VLOOKUP(CONCATENATE(LEFT(D$7, 7), "age/sex", $B$8, " ", $C24), [0]!data_range, 5, FALSE)</f>
        <v>#REF!</v>
      </c>
      <c r="E24" s="83" t="e">
        <f ca="1">VLOOKUP(CONCATENATE(LEFT(E$7, 7), "age/sex", $B$8, " ", $C24), [0]!data_range, 5, FALSE)</f>
        <v>#REF!</v>
      </c>
      <c r="F24" s="83" t="e">
        <f ca="1">VLOOKUP(CONCATENATE(LEFT(F$7, 7), "age/sex", $B$8, " ", $C24), [0]!data_range, 5, FALSE)</f>
        <v>#REF!</v>
      </c>
      <c r="G24" s="83" t="e">
        <f ca="1">VLOOKUP(CONCATENATE(LEFT(G$7, 7), "age/sex", $B$8, " ", $C24), [0]!data_range, 5, FALSE)</f>
        <v>#REF!</v>
      </c>
      <c r="H24" s="83" t="e">
        <f ca="1">VLOOKUP(CONCATENATE(LEFT(H$7, 7), "age/sex", $B$8, " ", $C24), [0]!data_range, 5, FALSE)</f>
        <v>#REF!</v>
      </c>
      <c r="I24" s="83" t="e">
        <f ca="1">VLOOKUP(CONCATENATE(LEFT(I$7, 7), "age/sex", $B$8, " ", $C24), [0]!data_range, 5, FALSE)</f>
        <v>#REF!</v>
      </c>
      <c r="J24" s="83" t="e">
        <f ca="1">VLOOKUP(CONCATENATE(LEFT(J$7, 7), "age/sex", $B$8, " ", $C24), [0]!data_range, 5, FALSE)</f>
        <v>#REF!</v>
      </c>
      <c r="K24" s="83" t="e">
        <f ca="1">VLOOKUP(CONCATENATE(LEFT(K$7, 7), "age/sex", $B$8, " ", $C24), [0]!data_range, 5, FALSE)</f>
        <v>#REF!</v>
      </c>
      <c r="L24" s="83" t="e">
        <f ca="1">VLOOKUP(CONCATENATE(LEFT(L$7, 7), "age/sex", $B$8, " ", $C24), [0]!data_range, 5, FALSE)</f>
        <v>#REF!</v>
      </c>
    </row>
    <row r="25" spans="2:12" ht="15" customHeight="1" x14ac:dyDescent="0.2">
      <c r="B25" s="64"/>
      <c r="C25" s="64" t="s">
        <v>125</v>
      </c>
      <c r="D25" s="84" t="e">
        <f ca="1">VLOOKUP(CONCATENATE(LEFT(D$7, 7), "age/sex", $B$8, " ", $C25), [0]!data_range, 5, FALSE)</f>
        <v>#REF!</v>
      </c>
      <c r="E25" s="84" t="e">
        <f ca="1">VLOOKUP(CONCATENATE(LEFT(E$7, 7), "age/sex", $B$8, " ", $C25), [0]!data_range, 5, FALSE)</f>
        <v>#REF!</v>
      </c>
      <c r="F25" s="84" t="e">
        <f ca="1">VLOOKUP(CONCATENATE(LEFT(F$7, 7), "age/sex", $B$8, " ", $C25), [0]!data_range, 5, FALSE)</f>
        <v>#REF!</v>
      </c>
      <c r="G25" s="84" t="e">
        <f ca="1">VLOOKUP(CONCATENATE(LEFT(G$7, 7), "age/sex", $B$8, " ", $C25), [0]!data_range, 5, FALSE)</f>
        <v>#REF!</v>
      </c>
      <c r="H25" s="84" t="e">
        <f ca="1">VLOOKUP(CONCATENATE(LEFT(H$7, 7), "age/sex", $B$8, " ", $C25), [0]!data_range, 5, FALSE)</f>
        <v>#REF!</v>
      </c>
      <c r="I25" s="84" t="e">
        <f ca="1">VLOOKUP(CONCATENATE(LEFT(I$7, 7), "age/sex", $B$8, " ", $C25), [0]!data_range, 5, FALSE)</f>
        <v>#REF!</v>
      </c>
      <c r="J25" s="84" t="e">
        <f ca="1">VLOOKUP(CONCATENATE(LEFT(J$7, 7), "age/sex", $B$8, " ", $C25), [0]!data_range, 5, FALSE)</f>
        <v>#REF!</v>
      </c>
      <c r="K25" s="84" t="e">
        <f ca="1">VLOOKUP(CONCATENATE(LEFT(K$7, 7), "age/sex", $B$8, " ", $C25), [0]!data_range, 5, FALSE)</f>
        <v>#REF!</v>
      </c>
      <c r="L25" s="84"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I28" s="9"/>
      <c r="J28" s="23"/>
      <c r="K28" s="23"/>
      <c r="L28" s="23"/>
    </row>
    <row r="29" spans="2:12" ht="15" customHeight="1" x14ac:dyDescent="0.2">
      <c r="B29" s="19" t="s">
        <v>15</v>
      </c>
      <c r="I29" s="9"/>
      <c r="J29" s="23"/>
      <c r="K29" s="23"/>
      <c r="L29" s="23"/>
    </row>
    <row r="30" spans="2:12" ht="15" customHeight="1" x14ac:dyDescent="0.2">
      <c r="B30" s="19"/>
      <c r="I30" s="9"/>
      <c r="J30" s="23"/>
      <c r="K30" s="23"/>
      <c r="L30" s="23"/>
    </row>
    <row r="31" spans="2:12" ht="21.75" customHeight="1" x14ac:dyDescent="0.2">
      <c r="B31" s="101" t="s">
        <v>132</v>
      </c>
      <c r="C31" s="101"/>
      <c r="D31" s="101"/>
      <c r="E31" s="101"/>
      <c r="F31" s="101"/>
      <c r="G31" s="101"/>
      <c r="H31" s="101"/>
      <c r="J31" s="23"/>
      <c r="K31" s="23"/>
      <c r="L31" s="23"/>
    </row>
    <row r="32" spans="2:12" ht="15" customHeight="1" x14ac:dyDescent="0.2">
      <c r="B32" s="65"/>
      <c r="C32" s="65"/>
      <c r="D32" s="65"/>
      <c r="E32" s="65"/>
      <c r="F32" s="65"/>
      <c r="G32" s="65"/>
      <c r="H32" s="65"/>
      <c r="J32" s="23"/>
      <c r="K32" s="23"/>
      <c r="L32" s="23"/>
    </row>
    <row r="33" spans="2:8" ht="15" customHeight="1" x14ac:dyDescent="0.2">
      <c r="B33" s="21" t="s">
        <v>149</v>
      </c>
    </row>
    <row r="34" spans="2:8" ht="15" customHeight="1" x14ac:dyDescent="0.2">
      <c r="B34" s="21" t="s">
        <v>142</v>
      </c>
    </row>
    <row r="35" spans="2:8" ht="15" customHeight="1" x14ac:dyDescent="0.2">
      <c r="B35" s="21" t="e">
        <f ca="1">"    1. Data for " &amp; [0]!fy_max &amp;" are incomplete and will be revised in October 20" &amp; RIGHT([0]!fy_max, 2) &amp; " publication"</f>
        <v>#REF!</v>
      </c>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row r="44" spans="2:8" ht="15" customHeight="1" x14ac:dyDescent="0.2">
      <c r="D44" s="23"/>
      <c r="E44" s="23"/>
      <c r="F44" s="6"/>
      <c r="G44" s="6"/>
      <c r="H44" s="6"/>
    </row>
  </sheetData>
  <mergeCells count="2">
    <mergeCell ref="B31:H31"/>
    <mergeCell ref="B1:J1"/>
  </mergeCells>
  <phoneticPr fontId="5" type="noConversion"/>
  <hyperlinks>
    <hyperlink ref="B29"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41"/>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100" t="str">
        <f>Notes!B1:O1</f>
        <v/>
      </c>
      <c r="C1" s="100"/>
      <c r="D1" s="100"/>
      <c r="E1" s="100"/>
      <c r="F1" s="100"/>
      <c r="G1" s="100"/>
      <c r="H1" s="100"/>
      <c r="I1" s="100"/>
    </row>
    <row r="2" spans="2:18" ht="15" customHeight="1" x14ac:dyDescent="0.25">
      <c r="B2" s="4" t="s">
        <v>192</v>
      </c>
      <c r="J2" s="39"/>
      <c r="L2" s="6"/>
    </row>
    <row r="3" spans="2:18" ht="15" customHeight="1" x14ac:dyDescent="0.25">
      <c r="B3" s="4" t="s">
        <v>154</v>
      </c>
      <c r="I3" s="23"/>
      <c r="J3" s="23"/>
      <c r="K3" s="23"/>
      <c r="L3" s="6"/>
    </row>
    <row r="4" spans="2:18" ht="15" customHeight="1" x14ac:dyDescent="0.25">
      <c r="B4" s="4"/>
      <c r="I4" s="23"/>
      <c r="J4" s="23"/>
      <c r="K4" s="23"/>
      <c r="L4" s="6"/>
    </row>
    <row r="5" spans="2:18" ht="15" customHeight="1" x14ac:dyDescent="0.2">
      <c r="D5" s="10" t="s">
        <v>12</v>
      </c>
      <c r="H5" s="66"/>
      <c r="I5" s="23"/>
      <c r="J5" s="23"/>
      <c r="K5" s="23"/>
      <c r="L5" s="6"/>
    </row>
    <row r="6" spans="2:18" ht="15" customHeight="1" x14ac:dyDescent="0.2">
      <c r="I6" s="23"/>
      <c r="J6" s="23"/>
      <c r="K6" s="23"/>
      <c r="L6" s="8"/>
      <c r="M6" s="9"/>
      <c r="N6" s="9"/>
      <c r="O6" s="9"/>
      <c r="P6" s="9"/>
      <c r="Q6" s="9"/>
      <c r="R6" s="9"/>
    </row>
    <row r="7" spans="2:18" ht="15" customHeight="1" x14ac:dyDescent="0.2">
      <c r="B7" s="9"/>
      <c r="C7" s="67" t="e">
        <f t="array" aca="1" ref="C7" ca="1">INDEX(fy_range, MATCH(0, COUNTIF($B$7:B7, fy_range), 0))</f>
        <v>#REF!</v>
      </c>
      <c r="D7" s="67" t="e">
        <f t="array" aca="1" ref="D7" ca="1">INDEX(fy_range, MATCH(0, COUNTIF($B$7:C7, fy_range), 0))</f>
        <v>#REF!</v>
      </c>
      <c r="E7" s="67" t="e">
        <f t="array" aca="1" ref="E7" ca="1">INDEX(fy_range, MATCH(0, COUNTIF($B$7:D7, fy_range), 0))</f>
        <v>#REF!</v>
      </c>
      <c r="F7" s="67" t="e">
        <f t="array" aca="1" ref="F7" ca="1">INDEX(fy_range, MATCH(0, COUNTIF($B$7:E7, fy_range), 0))</f>
        <v>#REF!</v>
      </c>
      <c r="G7" s="67" t="e">
        <f t="array" aca="1" ref="G7" ca="1">INDEX(fy_range, MATCH(0, COUNTIF($B$7:F7, fy_range), 0))</f>
        <v>#REF!</v>
      </c>
      <c r="H7" s="67" t="e">
        <f t="array" aca="1" ref="H7" ca="1">INDEX(fy_range, MATCH(0, COUNTIF($B$7:G7, fy_range), 0))</f>
        <v>#REF!</v>
      </c>
      <c r="I7" s="67" t="e">
        <f t="array" aca="1" ref="I7" ca="1">INDEX(fy_range, MATCH(0, COUNTIF($B$7:H7, fy_range), 0))</f>
        <v>#REF!</v>
      </c>
      <c r="J7" s="67" t="e">
        <f t="array" aca="1" ref="J7" ca="1">INDEX(fy_range, MATCH(0, COUNTIF($B$7:I7, fy_range), 0))</f>
        <v>#REF!</v>
      </c>
      <c r="K7" s="67" t="e">
        <f t="array" aca="1" ref="K7" ca="1">INDEX(fy_range, MATCH(0, COUNTIF($B$7:J7, fy_range), 0))</f>
        <v>#REF!</v>
      </c>
      <c r="L7" s="9"/>
      <c r="M7" s="9"/>
      <c r="N7" s="9"/>
      <c r="O7" s="9"/>
      <c r="P7" s="9"/>
      <c r="Q7" s="9"/>
      <c r="R7" s="9"/>
    </row>
    <row r="8" spans="2:18" ht="15" customHeight="1" x14ac:dyDescent="0.2">
      <c r="B8" s="57" t="s">
        <v>156</v>
      </c>
      <c r="C8" s="18" t="e">
        <f ca="1">IF(C$7 = [0]!fy_max, C$7 &amp; calculation!$B$4, C$7)</f>
        <v>#REF!</v>
      </c>
      <c r="D8" s="18" t="e">
        <f ca="1">IF(D$7 = [0]!fy_max, D$7 &amp; calculation!$B$4, D$7)</f>
        <v>#REF!</v>
      </c>
      <c r="E8" s="18" t="e">
        <f ca="1">IF(E$7 = [0]!fy_max, E$7 &amp; calculation!$B$4, E$7)</f>
        <v>#REF!</v>
      </c>
      <c r="F8" s="18" t="e">
        <f ca="1">IF(F$7 = [0]!fy_max, F$7 &amp; calculation!$B$4, F$7)</f>
        <v>#REF!</v>
      </c>
      <c r="G8" s="18" t="e">
        <f ca="1">IF(G$7 = [0]!fy_max, G$7 &amp; calculation!$B$4, G$7)</f>
        <v>#REF!</v>
      </c>
      <c r="H8" s="18" t="e">
        <f ca="1">IF(H$7 = [0]!fy_max, H$7 &amp; calculation!$B$4, H$7)</f>
        <v>#REF!</v>
      </c>
      <c r="I8" s="18" t="e">
        <f ca="1">IF(I$7 = [0]!fy_max, I$7 &amp; calculation!$B$4, I$7)</f>
        <v>#REF!</v>
      </c>
      <c r="J8" s="18" t="e">
        <f ca="1">IF(J$7 = [0]!fy_max, J$7 &amp; calculation!$B$4, J$7)</f>
        <v>#REF!</v>
      </c>
      <c r="K8" s="18" t="e">
        <f ca="1">IF(K$7 = [0]!fy_max, K$7 &amp; calculation!$B$4, K$7)</f>
        <v>#REF!</v>
      </c>
      <c r="L8" s="12"/>
      <c r="M8" s="12"/>
      <c r="N8" s="12"/>
      <c r="O8" s="12"/>
      <c r="P8" s="12"/>
      <c r="Q8" s="12"/>
      <c r="R8" s="12"/>
    </row>
    <row r="9" spans="2:18" ht="15" customHeight="1" x14ac:dyDescent="0.25">
      <c r="B9" s="68" t="s">
        <v>178</v>
      </c>
      <c r="C9" s="83" t="e">
        <f ca="1">VLOOKUP(CONCATENATE(LEFT(C$8, 7), "simd quintile", $B9), [0]!data_range, 5, FALSE)</f>
        <v>#REF!</v>
      </c>
      <c r="D9" s="83" t="e">
        <f ca="1">VLOOKUP(CONCATENATE(LEFT(D$8, 7), "simd quintile", $B9), [0]!data_range, 5, FALSE)</f>
        <v>#REF!</v>
      </c>
      <c r="E9" s="83" t="e">
        <f ca="1">VLOOKUP(CONCATENATE(LEFT(E$8, 7), "simd quintile", $B9), [0]!data_range, 5, FALSE)</f>
        <v>#REF!</v>
      </c>
      <c r="F9" s="83" t="e">
        <f ca="1">VLOOKUP(CONCATENATE(LEFT(F$8, 7), "simd quintile", $B9), [0]!data_range, 5, FALSE)</f>
        <v>#REF!</v>
      </c>
      <c r="G9" s="83" t="e">
        <f ca="1">VLOOKUP(CONCATENATE(LEFT(G$8, 7), "simd quintile", $B9), [0]!data_range, 5, FALSE)</f>
        <v>#REF!</v>
      </c>
      <c r="H9" s="83" t="e">
        <f ca="1">VLOOKUP(CONCATENATE(LEFT(H$8, 7), "simd quintile", $B9), [0]!data_range, 5, FALSE)</f>
        <v>#REF!</v>
      </c>
      <c r="I9" s="83" t="e">
        <f ca="1">VLOOKUP(CONCATENATE(LEFT(I$8, 7), "simd quintile", $B9), [0]!data_range, 5, FALSE)</f>
        <v>#REF!</v>
      </c>
      <c r="J9" s="83" t="e">
        <f ca="1">VLOOKUP(CONCATENATE(LEFT(J$8, 7), "simd quintile", $B9), [0]!data_range, 5, FALSE)</f>
        <v>#REF!</v>
      </c>
      <c r="K9" s="83" t="e">
        <f ca="1">VLOOKUP(CONCATENATE(LEFT(K$8, 7), "simd quintile", $B9), [0]!data_range, 5, FALSE)</f>
        <v>#REF!</v>
      </c>
      <c r="L9" s="14"/>
      <c r="M9" s="14"/>
      <c r="N9" s="14"/>
      <c r="O9" s="14"/>
      <c r="P9" s="14"/>
      <c r="Q9" s="1"/>
      <c r="R9" s="1"/>
    </row>
    <row r="10" spans="2:18" ht="15" customHeight="1" x14ac:dyDescent="0.25">
      <c r="B10" s="69">
        <v>2</v>
      </c>
      <c r="C10" s="83" t="e">
        <f ca="1">VLOOKUP(CONCATENATE(LEFT(C$8, 7), "simd quintile", $B10), [0]!data_range, 5, FALSE)</f>
        <v>#REF!</v>
      </c>
      <c r="D10" s="83" t="e">
        <f ca="1">VLOOKUP(CONCATENATE(LEFT(D$8, 7), "simd quintile", $B10), [0]!data_range, 5, FALSE)</f>
        <v>#REF!</v>
      </c>
      <c r="E10" s="83" t="e">
        <f ca="1">VLOOKUP(CONCATENATE(LEFT(E$8, 7), "simd quintile", $B10), [0]!data_range, 5, FALSE)</f>
        <v>#REF!</v>
      </c>
      <c r="F10" s="83" t="e">
        <f ca="1">VLOOKUP(CONCATENATE(LEFT(F$8, 7), "simd quintile", $B10), [0]!data_range, 5, FALSE)</f>
        <v>#REF!</v>
      </c>
      <c r="G10" s="83" t="e">
        <f ca="1">VLOOKUP(CONCATENATE(LEFT(G$8, 7), "simd quintile", $B10), [0]!data_range, 5, FALSE)</f>
        <v>#REF!</v>
      </c>
      <c r="H10" s="83" t="e">
        <f ca="1">VLOOKUP(CONCATENATE(LEFT(H$8, 7), "simd quintile", $B10), [0]!data_range, 5, FALSE)</f>
        <v>#REF!</v>
      </c>
      <c r="I10" s="83" t="e">
        <f ca="1">VLOOKUP(CONCATENATE(LEFT(I$8, 7), "simd quintile", $B10), [0]!data_range, 5, FALSE)</f>
        <v>#REF!</v>
      </c>
      <c r="J10" s="83" t="e">
        <f ca="1">VLOOKUP(CONCATENATE(LEFT(J$8, 7), "simd quintile", $B10), [0]!data_range, 5, FALSE)</f>
        <v>#REF!</v>
      </c>
      <c r="K10" s="83" t="e">
        <f ca="1">VLOOKUP(CONCATENATE(LEFT(K$8, 7), "simd quintile", $B10), [0]!data_range, 5, FALSE)</f>
        <v>#REF!</v>
      </c>
      <c r="L10" s="14"/>
      <c r="M10" s="14"/>
      <c r="N10" s="14"/>
      <c r="O10" s="14"/>
      <c r="P10" s="14"/>
      <c r="Q10" s="1"/>
      <c r="R10" s="1"/>
    </row>
    <row r="11" spans="2:18" ht="15" customHeight="1" x14ac:dyDescent="0.25">
      <c r="B11" s="69">
        <v>3</v>
      </c>
      <c r="C11" s="83" t="e">
        <f ca="1">VLOOKUP(CONCATENATE(LEFT(C$8, 7), "simd quintile", $B11), [0]!data_range, 5, FALSE)</f>
        <v>#REF!</v>
      </c>
      <c r="D11" s="83" t="e">
        <f ca="1">VLOOKUP(CONCATENATE(LEFT(D$8, 7), "simd quintile", $B11), [0]!data_range, 5, FALSE)</f>
        <v>#REF!</v>
      </c>
      <c r="E11" s="83" t="e">
        <f ca="1">VLOOKUP(CONCATENATE(LEFT(E$8, 7), "simd quintile", $B11), [0]!data_range, 5, FALSE)</f>
        <v>#REF!</v>
      </c>
      <c r="F11" s="83" t="e">
        <f ca="1">VLOOKUP(CONCATENATE(LEFT(F$8, 7), "simd quintile", $B11), [0]!data_range, 5, FALSE)</f>
        <v>#REF!</v>
      </c>
      <c r="G11" s="83" t="e">
        <f ca="1">VLOOKUP(CONCATENATE(LEFT(G$8, 7), "simd quintile", $B11), [0]!data_range, 5, FALSE)</f>
        <v>#REF!</v>
      </c>
      <c r="H11" s="83" t="e">
        <f ca="1">VLOOKUP(CONCATENATE(LEFT(H$8, 7), "simd quintile", $B11), [0]!data_range, 5, FALSE)</f>
        <v>#REF!</v>
      </c>
      <c r="I11" s="83" t="e">
        <f ca="1">VLOOKUP(CONCATENATE(LEFT(I$8, 7), "simd quintile", $B11), [0]!data_range, 5, FALSE)</f>
        <v>#REF!</v>
      </c>
      <c r="J11" s="83" t="e">
        <f ca="1">VLOOKUP(CONCATENATE(LEFT(J$8, 7), "simd quintile", $B11), [0]!data_range, 5, FALSE)</f>
        <v>#REF!</v>
      </c>
      <c r="K11" s="83" t="e">
        <f ca="1">VLOOKUP(CONCATENATE(LEFT(K$8, 7), "simd quintile", $B11), [0]!data_range, 5, FALSE)</f>
        <v>#REF!</v>
      </c>
      <c r="L11" s="14"/>
      <c r="M11" s="14"/>
      <c r="N11" s="14"/>
      <c r="O11" s="14"/>
      <c r="P11" s="14"/>
      <c r="Q11" s="1"/>
      <c r="R11" s="1"/>
    </row>
    <row r="12" spans="2:18" ht="15" customHeight="1" x14ac:dyDescent="0.25">
      <c r="B12" s="69">
        <v>4</v>
      </c>
      <c r="C12" s="83" t="e">
        <f ca="1">VLOOKUP(CONCATENATE(LEFT(C$8, 7), "simd quintile", $B12), [0]!data_range, 5, FALSE)</f>
        <v>#REF!</v>
      </c>
      <c r="D12" s="83" t="e">
        <f ca="1">VLOOKUP(CONCATENATE(LEFT(D$8, 7), "simd quintile", $B12), [0]!data_range, 5, FALSE)</f>
        <v>#REF!</v>
      </c>
      <c r="E12" s="83" t="e">
        <f ca="1">VLOOKUP(CONCATENATE(LEFT(E$8, 7), "simd quintile", $B12), [0]!data_range, 5, FALSE)</f>
        <v>#REF!</v>
      </c>
      <c r="F12" s="83" t="e">
        <f ca="1">VLOOKUP(CONCATENATE(LEFT(F$8, 7), "simd quintile", $B12), [0]!data_range, 5, FALSE)</f>
        <v>#REF!</v>
      </c>
      <c r="G12" s="83" t="e">
        <f ca="1">VLOOKUP(CONCATENATE(LEFT(G$8, 7), "simd quintile", $B12), [0]!data_range, 5, FALSE)</f>
        <v>#REF!</v>
      </c>
      <c r="H12" s="83" t="e">
        <f ca="1">VLOOKUP(CONCATENATE(LEFT(H$8, 7), "simd quintile", $B12), [0]!data_range, 5, FALSE)</f>
        <v>#REF!</v>
      </c>
      <c r="I12" s="83" t="e">
        <f ca="1">VLOOKUP(CONCATENATE(LEFT(I$8, 7), "simd quintile", $B12), [0]!data_range, 5, FALSE)</f>
        <v>#REF!</v>
      </c>
      <c r="J12" s="83" t="e">
        <f ca="1">VLOOKUP(CONCATENATE(LEFT(J$8, 7), "simd quintile", $B12), [0]!data_range, 5, FALSE)</f>
        <v>#REF!</v>
      </c>
      <c r="K12" s="83" t="e">
        <f ca="1">VLOOKUP(CONCATENATE(LEFT(K$8, 7), "simd quintile", $B12), [0]!data_range, 5, FALSE)</f>
        <v>#REF!</v>
      </c>
      <c r="L12" s="14"/>
      <c r="M12" s="14"/>
      <c r="N12" s="14"/>
      <c r="O12" s="14"/>
      <c r="P12" s="14"/>
      <c r="Q12" s="1"/>
      <c r="R12" s="1"/>
    </row>
    <row r="13" spans="2:18" ht="15" customHeight="1" x14ac:dyDescent="0.25">
      <c r="B13" s="70" t="s">
        <v>179</v>
      </c>
      <c r="C13" s="84" t="e">
        <f ca="1">VLOOKUP(CONCATENATE(LEFT(C$8, 7), "simd quintile", $B13), [0]!data_range, 5, FALSE)</f>
        <v>#REF!</v>
      </c>
      <c r="D13" s="84" t="e">
        <f ca="1">VLOOKUP(CONCATENATE(LEFT(D$8, 7), "simd quintile", $B13), [0]!data_range, 5, FALSE)</f>
        <v>#REF!</v>
      </c>
      <c r="E13" s="84" t="e">
        <f ca="1">VLOOKUP(CONCATENATE(LEFT(E$8, 7), "simd quintile", $B13), [0]!data_range, 5, FALSE)</f>
        <v>#REF!</v>
      </c>
      <c r="F13" s="84" t="e">
        <f ca="1">VLOOKUP(CONCATENATE(LEFT(F$8, 7), "simd quintile", $B13), [0]!data_range, 5, FALSE)</f>
        <v>#REF!</v>
      </c>
      <c r="G13" s="84" t="e">
        <f ca="1">VLOOKUP(CONCATENATE(LEFT(G$8, 7), "simd quintile", $B13), [0]!data_range, 5, FALSE)</f>
        <v>#REF!</v>
      </c>
      <c r="H13" s="84" t="e">
        <f ca="1">VLOOKUP(CONCATENATE(LEFT(H$8, 7), "simd quintile", $B13), [0]!data_range, 5, FALSE)</f>
        <v>#REF!</v>
      </c>
      <c r="I13" s="84" t="e">
        <f ca="1">VLOOKUP(CONCATENATE(LEFT(I$8, 7), "simd quintile", $B13), [0]!data_range, 5, FALSE)</f>
        <v>#REF!</v>
      </c>
      <c r="J13" s="84" t="e">
        <f ca="1">VLOOKUP(CONCATENATE(LEFT(J$8, 7), "simd quintile", $B13), [0]!data_range, 5, FALSE)</f>
        <v>#REF!</v>
      </c>
      <c r="K13" s="84" t="e">
        <f ca="1">VLOOKUP(CONCATENATE(LEFT(K$8, 7), "simd quintile", $B13), [0]!data_range, 5, FALSE)</f>
        <v>#REF!</v>
      </c>
      <c r="L13" s="14"/>
      <c r="M13" s="14"/>
      <c r="N13" s="14"/>
      <c r="O13" s="14"/>
      <c r="P13" s="14"/>
      <c r="Q13" s="1"/>
      <c r="R13" s="1"/>
    </row>
    <row r="14" spans="2:18" ht="15" customHeight="1" x14ac:dyDescent="0.25">
      <c r="B14" s="9"/>
      <c r="C14" s="83"/>
      <c r="D14" s="81"/>
      <c r="E14" s="81"/>
      <c r="F14" s="81"/>
      <c r="G14" s="81"/>
      <c r="H14" s="81"/>
      <c r="I14" s="81"/>
      <c r="J14" s="81"/>
      <c r="K14" s="81"/>
      <c r="L14" s="1"/>
      <c r="M14" s="1"/>
      <c r="N14" s="1"/>
      <c r="O14" s="1"/>
      <c r="P14" s="1"/>
      <c r="Q14" s="17"/>
      <c r="R14" s="17"/>
    </row>
    <row r="15" spans="2:18" ht="15" customHeight="1" x14ac:dyDescent="0.25">
      <c r="B15" s="9"/>
      <c r="C15" s="83"/>
      <c r="D15" s="81"/>
      <c r="E15" s="81"/>
      <c r="F15" s="81"/>
      <c r="G15" s="81"/>
      <c r="H15" s="81"/>
      <c r="I15" s="81"/>
      <c r="J15" s="81"/>
      <c r="K15" s="81"/>
      <c r="L15" s="1"/>
      <c r="M15" s="1"/>
      <c r="N15" s="1"/>
      <c r="O15" s="1"/>
      <c r="P15" s="1"/>
      <c r="Q15" s="17"/>
      <c r="R15" s="17"/>
    </row>
    <row r="16" spans="2:18" ht="15" customHeight="1" x14ac:dyDescent="0.2">
      <c r="B16" s="57" t="s">
        <v>155</v>
      </c>
      <c r="C16" s="18" t="e">
        <f ca="1">IF(C$7 = [0]!fy_max, C$7 &amp; calculation!$B$4, C$7)</f>
        <v>#REF!</v>
      </c>
      <c r="D16" s="18" t="e">
        <f ca="1">IF(D$7 = [0]!fy_max, D$7 &amp; calculation!$B$4, D$7)</f>
        <v>#REF!</v>
      </c>
      <c r="E16" s="18" t="e">
        <f ca="1">IF(E$7 = [0]!fy_max, E$7 &amp; calculation!$B$4, E$7)</f>
        <v>#REF!</v>
      </c>
      <c r="F16" s="18" t="e">
        <f ca="1">IF(F$7 = [0]!fy_max, F$7 &amp; calculation!$B$4, F$7)</f>
        <v>#REF!</v>
      </c>
      <c r="G16" s="18" t="e">
        <f ca="1">IF(G$7 = [0]!fy_max, G$7 &amp; calculation!$B$4, G$7)</f>
        <v>#REF!</v>
      </c>
      <c r="H16" s="18" t="e">
        <f ca="1">IF(H$7 = [0]!fy_max, H$7 &amp; calculation!$B$4, H$7)</f>
        <v>#REF!</v>
      </c>
      <c r="I16" s="18" t="e">
        <f ca="1">IF(I$7 = [0]!fy_max, I$7 &amp; calculation!$B$4, I$7)</f>
        <v>#REF!</v>
      </c>
      <c r="J16" s="18" t="e">
        <f ca="1">IF(J$7 = [0]!fy_max, J$7 &amp; calculation!$B$4, J$7)</f>
        <v>#REF!</v>
      </c>
      <c r="K16" s="18" t="e">
        <f ca="1">IF(K$7 = [0]!fy_max, K$7 &amp; calculation!$B$4, K$7)</f>
        <v>#REF!</v>
      </c>
      <c r="L16" s="12"/>
      <c r="M16" s="12"/>
      <c r="N16" s="12"/>
      <c r="O16" s="12"/>
      <c r="P16" s="12"/>
      <c r="Q16" s="12"/>
      <c r="R16" s="12"/>
    </row>
    <row r="17" spans="2:18" ht="15" customHeight="1" x14ac:dyDescent="0.25">
      <c r="B17" s="9" t="s">
        <v>118</v>
      </c>
      <c r="C17" s="83" t="e">
        <f ca="1">VLOOKUP(CONCATENATE(LEFT(C$16, 7), "simd 15", $B17), [0]!data_range, 5, FALSE)</f>
        <v>#REF!</v>
      </c>
      <c r="D17" s="83" t="e">
        <f ca="1">VLOOKUP(CONCATENATE(LEFT(D$16, 7), "simd 15", $B17), [0]!data_range, 5, FALSE)</f>
        <v>#REF!</v>
      </c>
      <c r="E17" s="83" t="e">
        <f ca="1">VLOOKUP(CONCATENATE(LEFT(E$16, 7), "simd 15", $B17), [0]!data_range, 5, FALSE)</f>
        <v>#REF!</v>
      </c>
      <c r="F17" s="83" t="e">
        <f ca="1">VLOOKUP(CONCATENATE(LEFT(F$16, 7), "simd 15", $B17), [0]!data_range, 5, FALSE)</f>
        <v>#REF!</v>
      </c>
      <c r="G17" s="83" t="e">
        <f ca="1">VLOOKUP(CONCATENATE(LEFT(G$16, 7), "simd 15", $B17), [0]!data_range, 5, FALSE)</f>
        <v>#REF!</v>
      </c>
      <c r="H17" s="83" t="e">
        <f ca="1">VLOOKUP(CONCATENATE(LEFT(H$16, 7), "simd 15", $B17), [0]!data_range, 5, FALSE)</f>
        <v>#REF!</v>
      </c>
      <c r="I17" s="83" t="e">
        <f ca="1">VLOOKUP(CONCATENATE(LEFT(I$16, 7), "simd 15", $B17), [0]!data_range, 5, FALSE)</f>
        <v>#REF!</v>
      </c>
      <c r="J17" s="83" t="e">
        <f ca="1">VLOOKUP(CONCATENATE(LEFT(J$16, 7), "simd 15", $B17), [0]!data_range, 5, FALSE)</f>
        <v>#REF!</v>
      </c>
      <c r="K17" s="83" t="e">
        <f ca="1">VLOOKUP(CONCATENATE(LEFT(K$16, 7), "simd 15", $B17), [0]!data_range, 5, FALSE)</f>
        <v>#REF!</v>
      </c>
      <c r="L17" s="14"/>
      <c r="M17" s="14"/>
      <c r="N17" s="14"/>
      <c r="O17" s="14"/>
      <c r="P17" s="14"/>
      <c r="Q17" s="1"/>
      <c r="R17" s="1"/>
    </row>
    <row r="18" spans="2:18" ht="15" customHeight="1" x14ac:dyDescent="0.25">
      <c r="B18" s="64" t="s">
        <v>119</v>
      </c>
      <c r="C18" s="84" t="e">
        <f ca="1">VLOOKUP(CONCATENATE(LEFT(C$16, 7), "simd 15", $B18), [0]!data_range, 5, FALSE)</f>
        <v>#REF!</v>
      </c>
      <c r="D18" s="84" t="e">
        <f ca="1">VLOOKUP(CONCATENATE(LEFT(D$16, 7), "simd 15", $B18), [0]!data_range, 5, FALSE)</f>
        <v>#REF!</v>
      </c>
      <c r="E18" s="84" t="e">
        <f ca="1">VLOOKUP(CONCATENATE(LEFT(E$16, 7), "simd 15", $B18), [0]!data_range, 5, FALSE)</f>
        <v>#REF!</v>
      </c>
      <c r="F18" s="84" t="e">
        <f ca="1">VLOOKUP(CONCATENATE(LEFT(F$16, 7), "simd 15", $B18), [0]!data_range, 5, FALSE)</f>
        <v>#REF!</v>
      </c>
      <c r="G18" s="84" t="e">
        <f ca="1">VLOOKUP(CONCATENATE(LEFT(G$16, 7), "simd 15", $B18), [0]!data_range, 5, FALSE)</f>
        <v>#REF!</v>
      </c>
      <c r="H18" s="84" t="e">
        <f ca="1">VLOOKUP(CONCATENATE(LEFT(H$16, 7), "simd 15", $B18), [0]!data_range, 5, FALSE)</f>
        <v>#REF!</v>
      </c>
      <c r="I18" s="84" t="e">
        <f ca="1">VLOOKUP(CONCATENATE(LEFT(I$16, 7), "simd 15", $B18), [0]!data_range, 5, FALSE)</f>
        <v>#REF!</v>
      </c>
      <c r="J18" s="84" t="e">
        <f ca="1">VLOOKUP(CONCATENATE(LEFT(J$16, 7), "simd 15", $B18), [0]!data_range, 5, FALSE)</f>
        <v>#REF!</v>
      </c>
      <c r="K18" s="84" t="e">
        <f ca="1">VLOOKUP(CONCATENATE(LEFT(K$16, 7), "simd 15", $B18), [0]!data_range, 5, FALSE)</f>
        <v>#REF!</v>
      </c>
      <c r="L18" s="14"/>
      <c r="M18" s="14"/>
      <c r="N18" s="14"/>
      <c r="O18" s="14"/>
      <c r="P18" s="14"/>
      <c r="Q18" s="1"/>
      <c r="R18" s="1"/>
    </row>
    <row r="19" spans="2:18" ht="15" customHeight="1" x14ac:dyDescent="0.2">
      <c r="B19" s="9"/>
      <c r="C19" s="55"/>
      <c r="D19" s="55"/>
      <c r="E19" s="55"/>
      <c r="F19" s="55"/>
      <c r="G19" s="55"/>
      <c r="H19" s="9"/>
      <c r="I19" s="23"/>
      <c r="J19" s="23"/>
      <c r="K19" s="23"/>
      <c r="L19" s="8"/>
      <c r="M19" s="9"/>
      <c r="N19" s="9"/>
      <c r="O19" s="9"/>
      <c r="P19" s="9"/>
      <c r="Q19" s="9"/>
      <c r="R19" s="9"/>
    </row>
    <row r="20" spans="2:18" ht="15" customHeight="1" x14ac:dyDescent="0.2">
      <c r="B20" s="9"/>
      <c r="C20" s="15"/>
      <c r="D20" s="55"/>
      <c r="E20" s="55"/>
      <c r="F20" s="55"/>
      <c r="G20" s="55"/>
      <c r="H20" s="9"/>
      <c r="I20" s="23"/>
      <c r="J20" s="23"/>
      <c r="K20" s="23"/>
      <c r="L20" s="8"/>
      <c r="M20" s="9"/>
    </row>
    <row r="21" spans="2:18" ht="15" customHeight="1" x14ac:dyDescent="0.2">
      <c r="C21" s="55"/>
      <c r="D21" s="55"/>
      <c r="E21" s="55"/>
      <c r="F21" s="55"/>
      <c r="G21" s="55"/>
      <c r="H21" s="9"/>
      <c r="I21" s="23"/>
      <c r="J21" s="23"/>
      <c r="K21" s="23"/>
      <c r="L21" s="8"/>
      <c r="M21" s="9"/>
    </row>
    <row r="22" spans="2:18" ht="15" customHeight="1" x14ac:dyDescent="0.2">
      <c r="I22" s="23"/>
      <c r="J22" s="23"/>
      <c r="K22" s="23"/>
      <c r="L22" s="6"/>
    </row>
    <row r="23" spans="2:18" ht="15" customHeight="1" x14ac:dyDescent="0.2">
      <c r="B23" s="19" t="s">
        <v>15</v>
      </c>
      <c r="I23" s="23"/>
      <c r="J23" s="23"/>
      <c r="K23" s="23"/>
      <c r="L23" s="6"/>
    </row>
    <row r="25" spans="2:18" ht="15" customHeight="1" x14ac:dyDescent="0.2">
      <c r="B25" s="21" t="s">
        <v>149</v>
      </c>
    </row>
    <row r="26" spans="2:18" ht="15" customHeight="1" x14ac:dyDescent="0.2">
      <c r="B26" s="21" t="s">
        <v>142</v>
      </c>
    </row>
    <row r="27" spans="2:18" ht="15" customHeight="1" x14ac:dyDescent="0.2">
      <c r="B27" s="21"/>
    </row>
    <row r="28" spans="2:18" ht="12.75" x14ac:dyDescent="0.2">
      <c r="B28" s="21" t="e">
        <f ca="1">"1. Data for " &amp; [0]!fy_max &amp;" are incomplete and will be revised in October 20" &amp; RIGHT([0]!fy_max, 2) &amp; " publication"</f>
        <v>#REF!</v>
      </c>
    </row>
    <row r="29" spans="2:18" ht="24.75" customHeight="1" x14ac:dyDescent="0.2">
      <c r="B29" s="102" t="s">
        <v>157</v>
      </c>
      <c r="C29" s="102"/>
      <c r="D29" s="102"/>
      <c r="E29" s="102"/>
      <c r="F29" s="102"/>
      <c r="G29" s="102"/>
      <c r="H29" s="102"/>
      <c r="I29" s="102"/>
      <c r="J29" s="102"/>
      <c r="K29" s="102"/>
      <c r="L29" s="71"/>
      <c r="M29" s="71"/>
    </row>
    <row r="30" spans="2:18" ht="15" customHeight="1" x14ac:dyDescent="0.2">
      <c r="B30" s="72" t="s">
        <v>131</v>
      </c>
      <c r="D30" s="73" t="s">
        <v>130</v>
      </c>
    </row>
    <row r="31" spans="2:18" ht="15" customHeight="1" x14ac:dyDescent="0.2">
      <c r="B31" s="21" t="s">
        <v>158</v>
      </c>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row r="39" spans="2:6" ht="15" customHeight="1" x14ac:dyDescent="0.2">
      <c r="B39" s="23"/>
      <c r="C39" s="20"/>
      <c r="D39" s="6"/>
      <c r="E39" s="6"/>
      <c r="F39" s="6"/>
    </row>
    <row r="40" spans="2:6" ht="15" customHeight="1" x14ac:dyDescent="0.2">
      <c r="B40" s="23"/>
      <c r="C40" s="20"/>
      <c r="D40" s="6"/>
      <c r="E40" s="6"/>
      <c r="F40" s="6"/>
    </row>
    <row r="41" spans="2:6" ht="15" customHeight="1" x14ac:dyDescent="0.2">
      <c r="B41" s="23"/>
      <c r="C41" s="20"/>
      <c r="D41" s="6"/>
      <c r="E41" s="6"/>
      <c r="F41" s="6"/>
    </row>
  </sheetData>
  <mergeCells count="2">
    <mergeCell ref="B1:I1"/>
    <mergeCell ref="B29:K29"/>
  </mergeCells>
  <phoneticPr fontId="5" type="noConversion"/>
  <hyperlinks>
    <hyperlink ref="B23" location="'External Causes of Deaths'!A1" display="External causes of death excluded from analysis"/>
    <hyperlink ref="D30"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6"/>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100" t="str">
        <f>Notes!B1:O1</f>
        <v/>
      </c>
      <c r="C1" s="100"/>
      <c r="D1" s="100"/>
      <c r="E1" s="100"/>
      <c r="F1" s="100"/>
      <c r="G1" s="100"/>
      <c r="H1" s="100"/>
      <c r="I1" s="100"/>
      <c r="J1" s="100"/>
    </row>
    <row r="2" spans="2:29" ht="15" customHeight="1" x14ac:dyDescent="0.25">
      <c r="B2" s="4" t="s">
        <v>170</v>
      </c>
      <c r="L2" s="5"/>
      <c r="M2" s="6"/>
      <c r="N2" s="6"/>
    </row>
    <row r="3" spans="2:29" ht="15" customHeight="1" x14ac:dyDescent="0.25">
      <c r="B3" s="4" t="s">
        <v>141</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c r="L6" s="7"/>
      <c r="M6" s="8"/>
      <c r="N6" s="8"/>
      <c r="O6" s="9"/>
      <c r="P6" s="9"/>
      <c r="Q6" s="9"/>
      <c r="R6" s="9"/>
      <c r="S6" s="9"/>
      <c r="T6" s="9"/>
      <c r="U6" s="9"/>
      <c r="V6" s="9"/>
      <c r="W6" s="9"/>
      <c r="X6" s="9"/>
      <c r="Y6" s="9"/>
      <c r="Z6" s="9"/>
      <c r="AA6" s="9"/>
      <c r="AB6" s="9"/>
      <c r="AC6" s="9"/>
    </row>
    <row r="7" spans="2:29" ht="15" customHeight="1" x14ac:dyDescent="0.2">
      <c r="B7" s="36" t="s">
        <v>120</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11"/>
      <c r="M7" s="12"/>
      <c r="N7" s="12"/>
      <c r="O7" s="12"/>
      <c r="P7" s="12"/>
      <c r="Q7" s="12"/>
      <c r="R7" s="12"/>
      <c r="S7" s="12"/>
      <c r="T7" s="9"/>
      <c r="U7" s="9"/>
      <c r="V7" s="9"/>
      <c r="W7" s="9"/>
      <c r="X7" s="9"/>
      <c r="Y7" s="9"/>
      <c r="Z7" s="9"/>
      <c r="AA7" s="9"/>
      <c r="AB7" s="9"/>
      <c r="AC7" s="9"/>
    </row>
    <row r="8" spans="2:29" ht="15" customHeight="1" x14ac:dyDescent="0.25">
      <c r="B8" s="25" t="s">
        <v>180</v>
      </c>
      <c r="C8" s="83" t="e">
        <f ca="1">VLOOKUP(CONCATENATE(LEFT(C$7, 7), "urban rural 6", $B8), [0]!data_range, 5, FALSE)</f>
        <v>#REF!</v>
      </c>
      <c r="D8" s="83" t="e">
        <f ca="1">VLOOKUP(CONCATENATE(LEFT(D$7, 7), "urban rural 6", $B8), [0]!data_range, 5, FALSE)</f>
        <v>#REF!</v>
      </c>
      <c r="E8" s="83" t="e">
        <f ca="1">VLOOKUP(CONCATENATE(LEFT(E$7, 7), "urban rural 6", $B8), [0]!data_range, 5, FALSE)</f>
        <v>#REF!</v>
      </c>
      <c r="F8" s="83" t="e">
        <f ca="1">VLOOKUP(CONCATENATE(LEFT(F$7, 7), "urban rural 6", $B8), [0]!data_range, 5, FALSE)</f>
        <v>#REF!</v>
      </c>
      <c r="G8" s="83" t="e">
        <f ca="1">VLOOKUP(CONCATENATE(LEFT(G$7, 7), "urban rural 6", $B8), [0]!data_range, 5, FALSE)</f>
        <v>#REF!</v>
      </c>
      <c r="H8" s="83" t="e">
        <f ca="1">VLOOKUP(CONCATENATE(LEFT(H$7, 7), "urban rural 6", $B8), [0]!data_range, 5, FALSE)</f>
        <v>#REF!</v>
      </c>
      <c r="I8" s="83" t="e">
        <f ca="1">VLOOKUP(CONCATENATE(LEFT(I$7, 7), "urban rural 6", $B8), [0]!data_range, 5, FALSE)</f>
        <v>#REF!</v>
      </c>
      <c r="J8" s="83" t="e">
        <f ca="1">VLOOKUP(CONCATENATE(LEFT(J$7, 7), "urban rural 6", $B8), [0]!data_range, 5, FALSE)</f>
        <v>#REF!</v>
      </c>
      <c r="K8" s="83"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181</v>
      </c>
      <c r="C9" s="83" t="e">
        <f ca="1">VLOOKUP(CONCATENATE(LEFT(C$7, 7), "urban rural 6", $B9), [0]!data_range, 5, FALSE)</f>
        <v>#REF!</v>
      </c>
      <c r="D9" s="83" t="e">
        <f ca="1">VLOOKUP(CONCATENATE(LEFT(D$7, 7), "urban rural 6", $B9), [0]!data_range, 5, FALSE)</f>
        <v>#REF!</v>
      </c>
      <c r="E9" s="83" t="e">
        <f ca="1">VLOOKUP(CONCATENATE(LEFT(E$7, 7), "urban rural 6", $B9), [0]!data_range, 5, FALSE)</f>
        <v>#REF!</v>
      </c>
      <c r="F9" s="83" t="e">
        <f ca="1">VLOOKUP(CONCATENATE(LEFT(F$7, 7), "urban rural 6", $B9), [0]!data_range, 5, FALSE)</f>
        <v>#REF!</v>
      </c>
      <c r="G9" s="83" t="e">
        <f ca="1">VLOOKUP(CONCATENATE(LEFT(G$7, 7), "urban rural 6", $B9), [0]!data_range, 5, FALSE)</f>
        <v>#REF!</v>
      </c>
      <c r="H9" s="83" t="e">
        <f ca="1">VLOOKUP(CONCATENATE(LEFT(H$7, 7), "urban rural 6", $B9), [0]!data_range, 5, FALSE)</f>
        <v>#REF!</v>
      </c>
      <c r="I9" s="83" t="e">
        <f ca="1">VLOOKUP(CONCATENATE(LEFT(I$7, 7), "urban rural 6", $B9), [0]!data_range, 5, FALSE)</f>
        <v>#REF!</v>
      </c>
      <c r="J9" s="83" t="e">
        <f ca="1">VLOOKUP(CONCATENATE(LEFT(J$7, 7), "urban rural 6", $B9), [0]!data_range, 5, FALSE)</f>
        <v>#REF!</v>
      </c>
      <c r="K9" s="83"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182</v>
      </c>
      <c r="C10" s="83" t="e">
        <f ca="1">VLOOKUP(CONCATENATE(LEFT(C$7, 7), "urban rural 6", $B10), [0]!data_range, 5, FALSE)</f>
        <v>#REF!</v>
      </c>
      <c r="D10" s="83" t="e">
        <f ca="1">VLOOKUP(CONCATENATE(LEFT(D$7, 7), "urban rural 6", $B10), [0]!data_range, 5, FALSE)</f>
        <v>#REF!</v>
      </c>
      <c r="E10" s="83" t="e">
        <f ca="1">VLOOKUP(CONCATENATE(LEFT(E$7, 7), "urban rural 6", $B10), [0]!data_range, 5, FALSE)</f>
        <v>#REF!</v>
      </c>
      <c r="F10" s="83" t="e">
        <f ca="1">VLOOKUP(CONCATENATE(LEFT(F$7, 7), "urban rural 6", $B10), [0]!data_range, 5, FALSE)</f>
        <v>#REF!</v>
      </c>
      <c r="G10" s="83" t="e">
        <f ca="1">VLOOKUP(CONCATENATE(LEFT(G$7, 7), "urban rural 6", $B10), [0]!data_range, 5, FALSE)</f>
        <v>#REF!</v>
      </c>
      <c r="H10" s="83" t="e">
        <f ca="1">VLOOKUP(CONCATENATE(LEFT(H$7, 7), "urban rural 6", $B10), [0]!data_range, 5, FALSE)</f>
        <v>#REF!</v>
      </c>
      <c r="I10" s="83" t="e">
        <f ca="1">VLOOKUP(CONCATENATE(LEFT(I$7, 7), "urban rural 6", $B10), [0]!data_range, 5, FALSE)</f>
        <v>#REF!</v>
      </c>
      <c r="J10" s="83" t="e">
        <f ca="1">VLOOKUP(CONCATENATE(LEFT(J$7, 7), "urban rural 6", $B10), [0]!data_range, 5, FALSE)</f>
        <v>#REF!</v>
      </c>
      <c r="K10" s="83"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183</v>
      </c>
      <c r="C11" s="83" t="e">
        <f ca="1">VLOOKUP(CONCATENATE(LEFT(C$7, 7), "urban rural 6", $B11), [0]!data_range, 5, FALSE)</f>
        <v>#REF!</v>
      </c>
      <c r="D11" s="83" t="e">
        <f ca="1">VLOOKUP(CONCATENATE(LEFT(D$7, 7), "urban rural 6", $B11), [0]!data_range, 5, FALSE)</f>
        <v>#REF!</v>
      </c>
      <c r="E11" s="83" t="e">
        <f ca="1">VLOOKUP(CONCATENATE(LEFT(E$7, 7), "urban rural 6", $B11), [0]!data_range, 5, FALSE)</f>
        <v>#REF!</v>
      </c>
      <c r="F11" s="83" t="e">
        <f ca="1">VLOOKUP(CONCATENATE(LEFT(F$7, 7), "urban rural 6", $B11), [0]!data_range, 5, FALSE)</f>
        <v>#REF!</v>
      </c>
      <c r="G11" s="83" t="e">
        <f ca="1">VLOOKUP(CONCATENATE(LEFT(G$7, 7), "urban rural 6", $B11), [0]!data_range, 5, FALSE)</f>
        <v>#REF!</v>
      </c>
      <c r="H11" s="83" t="e">
        <f ca="1">VLOOKUP(CONCATENATE(LEFT(H$7, 7), "urban rural 6", $B11), [0]!data_range, 5, FALSE)</f>
        <v>#REF!</v>
      </c>
      <c r="I11" s="83" t="e">
        <f ca="1">VLOOKUP(CONCATENATE(LEFT(I$7, 7), "urban rural 6", $B11), [0]!data_range, 5, FALSE)</f>
        <v>#REF!</v>
      </c>
      <c r="J11" s="83" t="e">
        <f ca="1">VLOOKUP(CONCATENATE(LEFT(J$7, 7), "urban rural 6", $B11), [0]!data_range, 5, FALSE)</f>
        <v>#REF!</v>
      </c>
      <c r="K11" s="83"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184</v>
      </c>
      <c r="C12" s="83" t="e">
        <f ca="1">VLOOKUP(CONCATENATE(LEFT(C$7, 7), "urban rural 6", $B12), [0]!data_range, 5, FALSE)</f>
        <v>#REF!</v>
      </c>
      <c r="D12" s="83" t="e">
        <f ca="1">VLOOKUP(CONCATENATE(LEFT(D$7, 7), "urban rural 6", $B12), [0]!data_range, 5, FALSE)</f>
        <v>#REF!</v>
      </c>
      <c r="E12" s="83" t="e">
        <f ca="1">VLOOKUP(CONCATENATE(LEFT(E$7, 7), "urban rural 6", $B12), [0]!data_range, 5, FALSE)</f>
        <v>#REF!</v>
      </c>
      <c r="F12" s="83" t="e">
        <f ca="1">VLOOKUP(CONCATENATE(LEFT(F$7, 7), "urban rural 6", $B12), [0]!data_range, 5, FALSE)</f>
        <v>#REF!</v>
      </c>
      <c r="G12" s="83" t="e">
        <f ca="1">VLOOKUP(CONCATENATE(LEFT(G$7, 7), "urban rural 6", $B12), [0]!data_range, 5, FALSE)</f>
        <v>#REF!</v>
      </c>
      <c r="H12" s="83" t="e">
        <f ca="1">VLOOKUP(CONCATENATE(LEFT(H$7, 7), "urban rural 6", $B12), [0]!data_range, 5, FALSE)</f>
        <v>#REF!</v>
      </c>
      <c r="I12" s="83" t="e">
        <f ca="1">VLOOKUP(CONCATENATE(LEFT(I$7, 7), "urban rural 6", $B12), [0]!data_range, 5, FALSE)</f>
        <v>#REF!</v>
      </c>
      <c r="J12" s="83" t="e">
        <f ca="1">VLOOKUP(CONCATENATE(LEFT(J$7, 7), "urban rural 6", $B12), [0]!data_range, 5, FALSE)</f>
        <v>#REF!</v>
      </c>
      <c r="K12" s="83"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185</v>
      </c>
      <c r="C13" s="84" t="e">
        <f ca="1">VLOOKUP(CONCATENATE(LEFT(C$7, 7), "urban rural 6", $B13), [0]!data_range, 5, FALSE)</f>
        <v>#REF!</v>
      </c>
      <c r="D13" s="84" t="e">
        <f ca="1">VLOOKUP(CONCATENATE(LEFT(D$7, 7), "urban rural 6", $B13), [0]!data_range, 5, FALSE)</f>
        <v>#REF!</v>
      </c>
      <c r="E13" s="84" t="e">
        <f ca="1">VLOOKUP(CONCATENATE(LEFT(E$7, 7), "urban rural 6", $B13), [0]!data_range, 5, FALSE)</f>
        <v>#REF!</v>
      </c>
      <c r="F13" s="84" t="e">
        <f ca="1">VLOOKUP(CONCATENATE(LEFT(F$7, 7), "urban rural 6", $B13), [0]!data_range, 5, FALSE)</f>
        <v>#REF!</v>
      </c>
      <c r="G13" s="84" t="e">
        <f ca="1">VLOOKUP(CONCATENATE(LEFT(G$7, 7), "urban rural 6", $B13), [0]!data_range, 5, FALSE)</f>
        <v>#REF!</v>
      </c>
      <c r="H13" s="84" t="e">
        <f ca="1">VLOOKUP(CONCATENATE(LEFT(H$7, 7), "urban rural 6", $B13), [0]!data_range, 5, FALSE)</f>
        <v>#REF!</v>
      </c>
      <c r="I13" s="84" t="e">
        <f ca="1">VLOOKUP(CONCATENATE(LEFT(I$7, 7), "urban rural 6", $B13), [0]!data_range, 5, FALSE)</f>
        <v>#REF!</v>
      </c>
      <c r="J13" s="84" t="e">
        <f ca="1">VLOOKUP(CONCATENATE(LEFT(J$7, 7), "urban rural 6", $B13), [0]!data_range, 5, FALSE)</f>
        <v>#REF!</v>
      </c>
      <c r="K13" s="84"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C14" s="85"/>
      <c r="D14" s="85"/>
      <c r="E14" s="85"/>
      <c r="F14" s="85"/>
      <c r="G14" s="85"/>
      <c r="H14" s="85"/>
      <c r="I14" s="85"/>
      <c r="J14" s="85"/>
      <c r="K14" s="85"/>
      <c r="L14" s="17"/>
      <c r="M14" s="17"/>
      <c r="N14" s="17"/>
      <c r="O14" s="17"/>
      <c r="P14" s="17"/>
      <c r="Q14" s="17"/>
      <c r="R14" s="17"/>
      <c r="S14" s="17"/>
      <c r="T14" s="9"/>
      <c r="U14" s="9"/>
      <c r="V14" s="9"/>
      <c r="W14" s="9"/>
      <c r="X14" s="9"/>
      <c r="Y14" s="9"/>
      <c r="Z14" s="9"/>
      <c r="AA14" s="9"/>
      <c r="AB14" s="9"/>
      <c r="AC14" s="9"/>
    </row>
    <row r="15" spans="2:29" ht="15" customHeight="1" x14ac:dyDescent="0.25">
      <c r="C15" s="85"/>
      <c r="D15" s="85"/>
      <c r="E15" s="85"/>
      <c r="F15" s="85"/>
      <c r="G15" s="85"/>
      <c r="H15" s="85"/>
      <c r="I15" s="85"/>
      <c r="J15" s="85"/>
      <c r="K15" s="8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IF(C$6 = [0]!fy_max, C$6 &amp; calculation!$B$4, C$6)</f>
        <v>#REF!</v>
      </c>
      <c r="D16" s="18" t="e">
        <f ca="1">IF(D$6 = [0]!fy_max, D$6 &amp; calculation!$B$4, D$6)</f>
        <v>#REF!</v>
      </c>
      <c r="E16" s="18" t="e">
        <f ca="1">IF(E$6 = [0]!fy_max, E$6 &amp; calculation!$B$4, E$6)</f>
        <v>#REF!</v>
      </c>
      <c r="F16" s="18" t="e">
        <f ca="1">IF(F$6 = [0]!fy_max, F$6 &amp; calculation!$B$4, F$6)</f>
        <v>#REF!</v>
      </c>
      <c r="G16" s="18" t="e">
        <f ca="1">IF(G$6 = [0]!fy_max, G$6 &amp; calculation!$B$4, G$6)</f>
        <v>#REF!</v>
      </c>
      <c r="H16" s="18" t="e">
        <f ca="1">IF(H$6 = [0]!fy_max, H$6 &amp; calculation!$B$4, H$6)</f>
        <v>#REF!</v>
      </c>
      <c r="I16" s="18" t="e">
        <f ca="1">IF(I$6 = [0]!fy_max, I$6 &amp; calculation!$B$4, I$6)</f>
        <v>#REF!</v>
      </c>
      <c r="J16" s="18" t="e">
        <f ca="1">IF(J$6 = [0]!fy_max, J$6 &amp; calculation!$B$4, J$6)</f>
        <v>#REF!</v>
      </c>
      <c r="K16" s="18" t="e">
        <f ca="1">IF(K$6 = [0]!fy_max, K$6 &amp; calculation!$B$4, K$6)</f>
        <v>#REF!</v>
      </c>
      <c r="L16" s="11"/>
      <c r="M16" s="12"/>
      <c r="N16" s="12"/>
      <c r="O16" s="12"/>
      <c r="P16" s="12"/>
      <c r="Q16" s="12"/>
      <c r="R16" s="12"/>
      <c r="S16" s="12"/>
      <c r="T16" s="9"/>
      <c r="U16" s="9"/>
      <c r="V16" s="9"/>
      <c r="W16" s="9"/>
      <c r="X16" s="9"/>
      <c r="Y16" s="9"/>
      <c r="Z16" s="9"/>
      <c r="AA16" s="9"/>
      <c r="AB16" s="9"/>
      <c r="AC16" s="9"/>
    </row>
    <row r="17" spans="2:29" ht="15" customHeight="1" x14ac:dyDescent="0.25">
      <c r="B17" s="26" t="s">
        <v>186</v>
      </c>
      <c r="C17" s="83" t="e">
        <f ca="1">VLOOKUP(CONCATENATE(LEFT(C$16, 7), "urban rural 2", $B17), [0]!data_range, 5, FALSE)</f>
        <v>#REF!</v>
      </c>
      <c r="D17" s="83" t="e">
        <f ca="1">VLOOKUP(CONCATENATE(LEFT(D$16, 7), "urban rural 2", $B17), [0]!data_range, 5, FALSE)</f>
        <v>#REF!</v>
      </c>
      <c r="E17" s="83" t="e">
        <f ca="1">VLOOKUP(CONCATENATE(LEFT(E$16, 7), "urban rural 2", $B17), [0]!data_range, 5, FALSE)</f>
        <v>#REF!</v>
      </c>
      <c r="F17" s="83" t="e">
        <f ca="1">VLOOKUP(CONCATENATE(LEFT(F$16, 7), "urban rural 2", $B17), [0]!data_range, 5, FALSE)</f>
        <v>#REF!</v>
      </c>
      <c r="G17" s="83" t="e">
        <f ca="1">VLOOKUP(CONCATENATE(LEFT(G$16, 7), "urban rural 2", $B17), [0]!data_range, 5, FALSE)</f>
        <v>#REF!</v>
      </c>
      <c r="H17" s="83" t="e">
        <f ca="1">VLOOKUP(CONCATENATE(LEFT(H$16, 7), "urban rural 2", $B17), [0]!data_range, 5, FALSE)</f>
        <v>#REF!</v>
      </c>
      <c r="I17" s="83" t="e">
        <f ca="1">VLOOKUP(CONCATENATE(LEFT(I$16, 7), "urban rural 2", $B17), [0]!data_range, 5, FALSE)</f>
        <v>#REF!</v>
      </c>
      <c r="J17" s="83" t="e">
        <f ca="1">VLOOKUP(CONCATENATE(LEFT(J$16, 7), "urban rural 2", $B17), [0]!data_range, 5, FALSE)</f>
        <v>#REF!</v>
      </c>
      <c r="K17" s="83"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187</v>
      </c>
      <c r="C18" s="84" t="e">
        <f ca="1">VLOOKUP(CONCATENATE(LEFT(C$16, 7), "urban rural 2", $B18), [0]!data_range, 5, FALSE)</f>
        <v>#REF!</v>
      </c>
      <c r="D18" s="84" t="e">
        <f ca="1">VLOOKUP(CONCATENATE(LEFT(D$16, 7), "urban rural 2", $B18), [0]!data_range, 5, FALSE)</f>
        <v>#REF!</v>
      </c>
      <c r="E18" s="84" t="e">
        <f ca="1">VLOOKUP(CONCATENATE(LEFT(E$16, 7), "urban rural 2", $B18), [0]!data_range, 5, FALSE)</f>
        <v>#REF!</v>
      </c>
      <c r="F18" s="84" t="e">
        <f ca="1">VLOOKUP(CONCATENATE(LEFT(F$16, 7), "urban rural 2", $B18), [0]!data_range, 5, FALSE)</f>
        <v>#REF!</v>
      </c>
      <c r="G18" s="84" t="e">
        <f ca="1">VLOOKUP(CONCATENATE(LEFT(G$16, 7), "urban rural 2", $B18), [0]!data_range, 5, FALSE)</f>
        <v>#REF!</v>
      </c>
      <c r="H18" s="84" t="e">
        <f ca="1">VLOOKUP(CONCATENATE(LEFT(H$16, 7), "urban rural 2", $B18), [0]!data_range, 5, FALSE)</f>
        <v>#REF!</v>
      </c>
      <c r="I18" s="84" t="e">
        <f ca="1">VLOOKUP(CONCATENATE(LEFT(I$16, 7), "urban rural 2", $B18), [0]!data_range, 5, FALSE)</f>
        <v>#REF!</v>
      </c>
      <c r="J18" s="84" t="e">
        <f ca="1">VLOOKUP(CONCATENATE(LEFT(J$16, 7), "urban rural 2", $B18), [0]!data_range, 5, FALSE)</f>
        <v>#REF!</v>
      </c>
      <c r="K18" s="84"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H21" s="9"/>
      <c r="I21" s="9"/>
      <c r="J21" s="9"/>
      <c r="K21" s="9"/>
      <c r="L21" s="5"/>
      <c r="M21" s="6"/>
      <c r="N21" s="6"/>
    </row>
    <row r="22" spans="2:29" ht="15" customHeight="1" x14ac:dyDescent="0.2">
      <c r="B22" s="19" t="s">
        <v>15</v>
      </c>
      <c r="L22" s="5"/>
      <c r="M22" s="6"/>
      <c r="N22" s="6"/>
    </row>
    <row r="23" spans="2:29" ht="15" customHeight="1" x14ac:dyDescent="0.2">
      <c r="B23" s="19"/>
      <c r="L23" s="5"/>
      <c r="M23" s="6"/>
      <c r="N23" s="6"/>
    </row>
    <row r="24" spans="2:29" ht="27" customHeight="1" x14ac:dyDescent="0.2">
      <c r="B24" s="103" t="s">
        <v>139</v>
      </c>
      <c r="C24" s="104"/>
      <c r="D24" s="104"/>
      <c r="E24" s="104"/>
      <c r="F24" s="104"/>
      <c r="G24" s="104"/>
      <c r="H24" s="104"/>
      <c r="I24" s="104"/>
      <c r="J24" s="104"/>
      <c r="K24" s="20"/>
      <c r="L24" s="5"/>
      <c r="M24" s="6"/>
      <c r="N24" s="6"/>
    </row>
    <row r="25" spans="2:29" ht="15" customHeight="1" x14ac:dyDescent="0.2">
      <c r="B25" s="3" t="s">
        <v>204</v>
      </c>
      <c r="D25" s="19" t="s">
        <v>138</v>
      </c>
      <c r="E25" s="19"/>
      <c r="F25" s="19"/>
      <c r="G25" s="19"/>
      <c r="H25" s="19"/>
      <c r="I25" s="19"/>
      <c r="J25" s="19"/>
      <c r="K25" s="19"/>
      <c r="L25" s="5"/>
      <c r="M25" s="6"/>
      <c r="N25" s="6"/>
    </row>
    <row r="26" spans="2:29" ht="15" customHeight="1" x14ac:dyDescent="0.2">
      <c r="L26" s="5"/>
      <c r="M26" s="6"/>
      <c r="N26" s="6"/>
    </row>
    <row r="27" spans="2:29" ht="15" customHeight="1" x14ac:dyDescent="0.2">
      <c r="B27" s="21" t="s">
        <v>149</v>
      </c>
      <c r="L27" s="5"/>
      <c r="M27" s="6"/>
      <c r="N27" s="6"/>
    </row>
    <row r="28" spans="2:29" ht="15" customHeight="1" x14ac:dyDescent="0.2">
      <c r="B28" s="21" t="s">
        <v>142</v>
      </c>
      <c r="L28" s="5"/>
      <c r="M28" s="6"/>
      <c r="N28" s="6"/>
    </row>
    <row r="29" spans="2:29" ht="15" customHeight="1" x14ac:dyDescent="0.2">
      <c r="B29" s="21" t="e">
        <f ca="1">"    1. Data for " &amp; [0]!fy_max &amp;" are incomplete and will be revised in October 20" &amp; RIGHT([0]!fy_max, 2) &amp; " publication"</f>
        <v>#REF!</v>
      </c>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2"/>
    </row>
    <row r="35" spans="2:7" ht="15" customHeight="1" x14ac:dyDescent="0.2">
      <c r="B35" s="23"/>
      <c r="C35" s="6"/>
      <c r="D35" s="6"/>
      <c r="E35" s="6"/>
      <c r="F35" s="6"/>
      <c r="G35" s="24"/>
    </row>
    <row r="36" spans="2:7" ht="15" customHeight="1" x14ac:dyDescent="0.2">
      <c r="B36" s="23"/>
      <c r="C36" s="6"/>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row r="56" spans="2:6" ht="15" customHeight="1" x14ac:dyDescent="0.2">
      <c r="B56" s="23"/>
      <c r="C56" s="20"/>
      <c r="D56" s="6"/>
      <c r="E56" s="6"/>
      <c r="F56" s="6"/>
    </row>
  </sheetData>
  <mergeCells count="2">
    <mergeCell ref="B24:J24"/>
    <mergeCell ref="B1:J1"/>
  </mergeCells>
  <phoneticPr fontId="5" type="noConversion"/>
  <hyperlinks>
    <hyperlink ref="B22" location="'External Causes of Deaths'!A1" display="External causes of death excluded from analysis"/>
    <hyperlink ref="D25" r:id="rId1"/>
    <hyperlink ref="D25:J25" location="'Table 5 - Urban Rural'!A1" display="http://www.gov.scot/Topics/Statistics/About/Methodology/UrbanRuralClassification"/>
    <hyperlink ref="D25:K25" r:id="rId2" display="http://www.gov.scot/Topics/Statistics/About/Methodology/UrbanRuralClassification"/>
    <hyperlink ref="J25" r:id="rId3" display="http://www.gov.scot/Topics/Statistics/About/Methodology/UrbanRuralClassification"/>
    <hyperlink ref="K25"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P62"/>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16" ht="15.75" x14ac:dyDescent="0.25">
      <c r="B2" s="4" t="s">
        <v>15</v>
      </c>
    </row>
    <row r="3" spans="2:16" ht="15.75" x14ac:dyDescent="0.25">
      <c r="B3" s="4"/>
    </row>
    <row r="4" spans="2:16" x14ac:dyDescent="0.2">
      <c r="B4" s="19" t="s">
        <v>137</v>
      </c>
      <c r="D4" s="3"/>
      <c r="P4" s="74"/>
    </row>
    <row r="5" spans="2:16" x14ac:dyDescent="0.2">
      <c r="B5" s="19" t="s">
        <v>147</v>
      </c>
      <c r="D5" s="3"/>
      <c r="P5" s="74"/>
    </row>
    <row r="6" spans="2:16" s="41" customFormat="1" ht="15" x14ac:dyDescent="0.2">
      <c r="B6" s="42" t="s">
        <v>165</v>
      </c>
      <c r="C6" s="19"/>
      <c r="D6" s="19"/>
      <c r="E6" s="19"/>
      <c r="F6" s="19"/>
      <c r="G6" s="19"/>
      <c r="H6" s="19"/>
      <c r="I6" s="40"/>
      <c r="J6" s="40"/>
      <c r="K6" s="40"/>
      <c r="L6" s="40"/>
      <c r="M6" s="40"/>
      <c r="N6" s="74"/>
      <c r="O6" s="74"/>
      <c r="P6" s="74"/>
    </row>
    <row r="7" spans="2:16" x14ac:dyDescent="0.2">
      <c r="B7" s="19" t="s">
        <v>166</v>
      </c>
      <c r="D7" s="3"/>
      <c r="I7" s="40"/>
      <c r="J7" s="40"/>
      <c r="K7" s="40"/>
      <c r="L7" s="40"/>
      <c r="M7" s="40"/>
      <c r="N7" s="74"/>
      <c r="O7" s="74"/>
      <c r="P7" s="74"/>
    </row>
    <row r="8" spans="2:16" x14ac:dyDescent="0.2">
      <c r="B8" s="19" t="s">
        <v>167</v>
      </c>
      <c r="C8" s="19"/>
      <c r="D8" s="19"/>
      <c r="E8" s="19"/>
      <c r="F8" s="19"/>
      <c r="G8" s="19"/>
      <c r="H8" s="19"/>
      <c r="I8" s="40"/>
      <c r="J8" s="40"/>
      <c r="K8" s="40"/>
      <c r="L8" s="40"/>
      <c r="M8" s="40"/>
      <c r="N8" s="74"/>
      <c r="O8" s="74"/>
      <c r="P8" s="74"/>
    </row>
    <row r="9" spans="2:16" ht="12.75" customHeight="1" x14ac:dyDescent="0.2">
      <c r="B9" s="19" t="s">
        <v>168</v>
      </c>
      <c r="C9" s="19"/>
    </row>
    <row r="10" spans="2:16" ht="12.75" customHeight="1" x14ac:dyDescent="0.2">
      <c r="B10" s="19"/>
      <c r="C10" s="19"/>
    </row>
    <row r="11" spans="2:16" ht="11.25" customHeight="1" x14ac:dyDescent="0.2"/>
    <row r="13" spans="2:16" ht="15" x14ac:dyDescent="0.25">
      <c r="B13" s="75" t="s">
        <v>16</v>
      </c>
      <c r="C13" s="75" t="s">
        <v>17</v>
      </c>
    </row>
    <row r="14" spans="2:16" x14ac:dyDescent="0.2">
      <c r="B14" s="76"/>
      <c r="C14" s="77"/>
      <c r="D14" s="77"/>
      <c r="E14" s="77"/>
      <c r="F14" s="77"/>
      <c r="G14" s="77"/>
    </row>
    <row r="15" spans="2:16" ht="12.75" customHeight="1" x14ac:dyDescent="0.2">
      <c r="B15" s="78" t="s">
        <v>18</v>
      </c>
      <c r="C15" s="77"/>
      <c r="D15" s="77"/>
      <c r="E15" s="77"/>
      <c r="F15" s="77"/>
      <c r="G15" s="77"/>
    </row>
    <row r="16" spans="2:16" ht="12.75" customHeight="1" x14ac:dyDescent="0.2">
      <c r="B16" s="78"/>
      <c r="C16" s="77"/>
      <c r="D16" s="77"/>
      <c r="E16" s="77"/>
      <c r="F16" s="77"/>
      <c r="G16" s="77"/>
    </row>
    <row r="17" spans="2:7" ht="12.75" customHeight="1" x14ac:dyDescent="0.2">
      <c r="B17" s="79" t="s">
        <v>19</v>
      </c>
      <c r="C17" s="80" t="s">
        <v>20</v>
      </c>
      <c r="D17" s="77"/>
      <c r="E17" s="77"/>
      <c r="F17" s="77"/>
      <c r="G17" s="77"/>
    </row>
    <row r="18" spans="2:7" ht="12.75" customHeight="1" x14ac:dyDescent="0.2">
      <c r="B18" s="79" t="s">
        <v>21</v>
      </c>
      <c r="C18" s="80" t="s">
        <v>22</v>
      </c>
      <c r="D18" s="77"/>
      <c r="E18" s="77"/>
      <c r="F18" s="77"/>
      <c r="G18" s="77"/>
    </row>
    <row r="19" spans="2:7" ht="12.75" customHeight="1" x14ac:dyDescent="0.2">
      <c r="B19" s="79" t="s">
        <v>23</v>
      </c>
      <c r="C19" s="80" t="s">
        <v>24</v>
      </c>
      <c r="D19" s="77"/>
      <c r="E19" s="77"/>
      <c r="F19" s="77"/>
      <c r="G19" s="77"/>
    </row>
    <row r="20" spans="2:7" ht="12.75" customHeight="1" x14ac:dyDescent="0.2">
      <c r="B20" s="79" t="s">
        <v>25</v>
      </c>
      <c r="C20" s="80" t="s">
        <v>26</v>
      </c>
      <c r="D20" s="77"/>
      <c r="E20" s="77"/>
      <c r="F20" s="77"/>
      <c r="G20" s="77"/>
    </row>
    <row r="21" spans="2:7" ht="12.75" customHeight="1" x14ac:dyDescent="0.2">
      <c r="B21" s="79" t="s">
        <v>27</v>
      </c>
      <c r="C21" s="80" t="s">
        <v>28</v>
      </c>
      <c r="D21" s="77"/>
      <c r="E21" s="77"/>
      <c r="F21" s="77"/>
      <c r="G21" s="77"/>
    </row>
    <row r="22" spans="2:7" ht="12.75" customHeight="1" x14ac:dyDescent="0.2">
      <c r="B22" s="79" t="s">
        <v>29</v>
      </c>
      <c r="C22" s="80" t="s">
        <v>30</v>
      </c>
    </row>
    <row r="23" spans="2:7" ht="12.75" customHeight="1" x14ac:dyDescent="0.2">
      <c r="B23" s="79" t="s">
        <v>31</v>
      </c>
      <c r="C23" s="80" t="s">
        <v>32</v>
      </c>
    </row>
    <row r="24" spans="2:7" ht="12.75" customHeight="1" x14ac:dyDescent="0.2">
      <c r="B24" s="79" t="s">
        <v>33</v>
      </c>
      <c r="C24" s="80" t="s">
        <v>34</v>
      </c>
    </row>
    <row r="25" spans="2:7" ht="12.75" customHeight="1" x14ac:dyDescent="0.2">
      <c r="B25" s="79" t="s">
        <v>35</v>
      </c>
      <c r="C25" s="80" t="s">
        <v>36</v>
      </c>
    </row>
    <row r="26" spans="2:7" ht="12.75" customHeight="1" x14ac:dyDescent="0.2">
      <c r="B26" s="79" t="s">
        <v>37</v>
      </c>
      <c r="C26" s="80" t="s">
        <v>38</v>
      </c>
    </row>
    <row r="27" spans="2:7" ht="12.75" customHeight="1" x14ac:dyDescent="0.2">
      <c r="B27" s="79" t="s">
        <v>39</v>
      </c>
      <c r="C27" s="80" t="s">
        <v>40</v>
      </c>
    </row>
    <row r="28" spans="2:7" ht="12.75" customHeight="1" x14ac:dyDescent="0.2">
      <c r="B28" s="79" t="s">
        <v>41</v>
      </c>
      <c r="C28" s="80" t="s">
        <v>42</v>
      </c>
    </row>
    <row r="29" spans="2:7" ht="12.75" customHeight="1" x14ac:dyDescent="0.2">
      <c r="B29" s="79"/>
      <c r="C29" s="80"/>
    </row>
    <row r="30" spans="2:7" x14ac:dyDescent="0.2">
      <c r="B30" s="9"/>
      <c r="C30" s="9"/>
    </row>
    <row r="31" spans="2:7" ht="12.75" customHeight="1" x14ac:dyDescent="0.2">
      <c r="B31" s="106" t="s">
        <v>43</v>
      </c>
      <c r="C31" s="106"/>
    </row>
    <row r="32" spans="2:7" ht="12.75" customHeight="1" x14ac:dyDescent="0.2">
      <c r="B32" s="78"/>
      <c r="C32" s="78"/>
    </row>
    <row r="33" spans="2:3" x14ac:dyDescent="0.2">
      <c r="B33" s="79" t="s">
        <v>44</v>
      </c>
      <c r="C33" s="80" t="s">
        <v>45</v>
      </c>
    </row>
    <row r="34" spans="2:3" x14ac:dyDescent="0.2">
      <c r="B34" s="79" t="s">
        <v>46</v>
      </c>
      <c r="C34" s="80" t="s">
        <v>47</v>
      </c>
    </row>
    <row r="35" spans="2:3" x14ac:dyDescent="0.2">
      <c r="B35" s="79" t="s">
        <v>48</v>
      </c>
      <c r="C35" s="80" t="s">
        <v>49</v>
      </c>
    </row>
    <row r="36" spans="2:3" x14ac:dyDescent="0.2">
      <c r="B36" s="79" t="s">
        <v>50</v>
      </c>
      <c r="C36" s="80" t="s">
        <v>51</v>
      </c>
    </row>
    <row r="37" spans="2:3" ht="12.75" customHeight="1" x14ac:dyDescent="0.2">
      <c r="B37" s="79" t="s">
        <v>52</v>
      </c>
      <c r="C37" s="80" t="s">
        <v>53</v>
      </c>
    </row>
    <row r="38" spans="2:3" x14ac:dyDescent="0.2">
      <c r="B38" s="79" t="s">
        <v>54</v>
      </c>
      <c r="C38" s="80" t="s">
        <v>55</v>
      </c>
    </row>
    <row r="39" spans="2:3" x14ac:dyDescent="0.2">
      <c r="B39" s="79" t="s">
        <v>56</v>
      </c>
      <c r="C39" s="80" t="s">
        <v>57</v>
      </c>
    </row>
    <row r="40" spans="2:3" x14ac:dyDescent="0.2">
      <c r="B40" s="79" t="s">
        <v>58</v>
      </c>
      <c r="C40" s="80" t="s">
        <v>59</v>
      </c>
    </row>
    <row r="41" spans="2:3" x14ac:dyDescent="0.2">
      <c r="B41" s="79" t="s">
        <v>60</v>
      </c>
      <c r="C41" s="80" t="s">
        <v>61</v>
      </c>
    </row>
    <row r="42" spans="2:3" ht="12.75" customHeight="1" x14ac:dyDescent="0.2">
      <c r="B42" s="79" t="s">
        <v>62</v>
      </c>
      <c r="C42" s="80" t="s">
        <v>63</v>
      </c>
    </row>
    <row r="43" spans="2:3" x14ac:dyDescent="0.2">
      <c r="B43" s="79" t="s">
        <v>64</v>
      </c>
      <c r="C43" s="80" t="s">
        <v>65</v>
      </c>
    </row>
    <row r="44" spans="2:3" x14ac:dyDescent="0.2">
      <c r="B44" s="79" t="s">
        <v>66</v>
      </c>
      <c r="C44" s="80" t="s">
        <v>67</v>
      </c>
    </row>
    <row r="45" spans="2:3" x14ac:dyDescent="0.2">
      <c r="B45" s="79" t="s">
        <v>68</v>
      </c>
      <c r="C45" s="80" t="s">
        <v>69</v>
      </c>
    </row>
    <row r="46" spans="2:3" x14ac:dyDescent="0.2">
      <c r="B46" s="79" t="s">
        <v>70</v>
      </c>
      <c r="C46" s="80" t="s">
        <v>71</v>
      </c>
    </row>
    <row r="47" spans="2:3" x14ac:dyDescent="0.2">
      <c r="B47" s="79" t="s">
        <v>72</v>
      </c>
      <c r="C47" s="80" t="s">
        <v>73</v>
      </c>
    </row>
    <row r="48" spans="2:3" x14ac:dyDescent="0.2">
      <c r="B48" s="79" t="s">
        <v>74</v>
      </c>
      <c r="C48" s="80" t="s">
        <v>75</v>
      </c>
    </row>
    <row r="49" spans="2:3" x14ac:dyDescent="0.2">
      <c r="B49" s="79"/>
      <c r="C49" s="80"/>
    </row>
    <row r="50" spans="2:3" x14ac:dyDescent="0.2">
      <c r="B50" s="105"/>
      <c r="C50" s="105"/>
    </row>
    <row r="51" spans="2:3" ht="12.75" customHeight="1" x14ac:dyDescent="0.2">
      <c r="B51" s="106" t="s">
        <v>76</v>
      </c>
      <c r="C51" s="106"/>
    </row>
    <row r="52" spans="2:3" ht="12.75" customHeight="1" x14ac:dyDescent="0.2">
      <c r="B52" s="78"/>
      <c r="C52" s="78"/>
    </row>
    <row r="53" spans="2:3" ht="12.75" customHeight="1" x14ac:dyDescent="0.2">
      <c r="B53" s="79" t="s">
        <v>77</v>
      </c>
      <c r="C53" s="80" t="s">
        <v>78</v>
      </c>
    </row>
    <row r="54" spans="2:3" ht="12.75" customHeight="1" x14ac:dyDescent="0.2">
      <c r="B54" s="79" t="s">
        <v>79</v>
      </c>
      <c r="C54" s="80" t="s">
        <v>80</v>
      </c>
    </row>
    <row r="55" spans="2:3" ht="12.75" customHeight="1" x14ac:dyDescent="0.2">
      <c r="B55" s="79" t="s">
        <v>81</v>
      </c>
      <c r="C55" s="80" t="s">
        <v>82</v>
      </c>
    </row>
    <row r="56" spans="2:3" ht="25.5" customHeight="1" x14ac:dyDescent="0.2">
      <c r="B56" s="79" t="s">
        <v>83</v>
      </c>
      <c r="C56" s="80" t="s">
        <v>84</v>
      </c>
    </row>
    <row r="59" spans="2:3" x14ac:dyDescent="0.2">
      <c r="B59" s="48" t="s">
        <v>133</v>
      </c>
    </row>
    <row r="61" spans="2:3" x14ac:dyDescent="0.2">
      <c r="B61" s="21" t="s">
        <v>85</v>
      </c>
    </row>
    <row r="62" spans="2:3" x14ac:dyDescent="0.2">
      <c r="B62" s="19" t="s">
        <v>86</v>
      </c>
      <c r="C62" s="19"/>
    </row>
  </sheetData>
  <mergeCells count="3">
    <mergeCell ref="B50:C50"/>
    <mergeCell ref="B51:C51"/>
    <mergeCell ref="B31:C31"/>
  </mergeCells>
  <phoneticPr fontId="5" type="noConversion"/>
  <hyperlinks>
    <hyperlink ref="B62" r:id="rId1" display="http://www.who.int/classifications/icd/en/"/>
    <hyperlink ref="B6:H6" location="'Table 3 - Age Gender'!A1" display="Table 3: Percentage of time in the last six months of life spent at home or in a community setting (by Age and Gender)"/>
    <hyperlink ref="B8:H8" location="'Table 5 - Urban Rural'!A1" display="Table 5: Percentage of time in the last six months of life spent at home or in a community setting (by Urban/Rural Classification)"/>
    <hyperlink ref="B62:C62" r:id="rId2" display=" http://www.who.int/classifications/icd/en/"/>
    <hyperlink ref="B7" location="'Table 4 - Age Gender'!A1" display="Table 4: Percentage of time in the last six months of life spent at home or in a community setting (by Age and Gender)"/>
    <hyperlink ref="B9" location="'Table 6 - Urban Rural'!A1" display="Table 6: Percentage of time in the last six months of life spent at home or in a community setting (by Urban/Rural Classification)"/>
    <hyperlink ref="B4" location="'Table 1 - HB'!A1" display="Table 1: Percentage of time in the last six months of life spent at home or in a community setting (by Health Board of Residence)"/>
    <hyperlink ref="B5" location="'Table 2 - HSCP'!A1" display="Table 2: Percentage of time in the last six months of life spent at home or in a community setting (by Health and Social Care Partnership)"/>
    <hyperlink ref="B8" location="'Table 5 - Deprivation'!A1" display="Table 5: Percentage of time in the last six months of life spent at home or in a community setting (by Deprivation Category)"/>
    <hyperlink ref="B6"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189</v>
      </c>
      <c r="B1" s="9" t="s">
        <v>171</v>
      </c>
      <c r="C1" s="9" t="s">
        <v>172</v>
      </c>
      <c r="D1" s="9" t="s">
        <v>173</v>
      </c>
      <c r="E1" s="9" t="s">
        <v>174</v>
      </c>
      <c r="F1" s="9" t="s">
        <v>175</v>
      </c>
      <c r="G1" s="9" t="s">
        <v>176</v>
      </c>
      <c r="H1" s="9" t="s">
        <v>177</v>
      </c>
    </row>
    <row r="2" spans="1:11" x14ac:dyDescent="0.2">
      <c r="A2" s="9" t="str">
        <f>CONCATENATE(B2, C2, D2)</f>
        <v/>
      </c>
      <c r="B2" s="33"/>
      <c r="E2" s="25"/>
      <c r="F2" s="15"/>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7"/>
  <sheetViews>
    <sheetView workbookViewId="0"/>
  </sheetViews>
  <sheetFormatPr defaultRowHeight="12.75" x14ac:dyDescent="0.2"/>
  <cols>
    <col min="1" max="1" width="29.42578125" bestFit="1" customWidth="1"/>
  </cols>
  <sheetData>
    <row r="1" spans="1:2" x14ac:dyDescent="0.2">
      <c r="A1" s="2" t="s">
        <v>188</v>
      </c>
      <c r="B1">
        <f>COUNTA(data!B:B)-1</f>
        <v>0</v>
      </c>
    </row>
    <row r="2" spans="1:2" x14ac:dyDescent="0.2">
      <c r="A2" s="2" t="s">
        <v>190</v>
      </c>
      <c r="B2">
        <f>COUNTA(data!1:1)</f>
        <v>8</v>
      </c>
    </row>
    <row r="4" spans="1:2" x14ac:dyDescent="0.2">
      <c r="A4" s="37" t="s">
        <v>193</v>
      </c>
      <c r="B4" t="s">
        <v>194</v>
      </c>
    </row>
    <row r="6" spans="1:2" x14ac:dyDescent="0.2">
      <c r="A6" t="s">
        <v>195</v>
      </c>
      <c r="B6" t="e">
        <f ca="1">SUMPRODUCT(1/COUNTIF(OFFSET(data!$B$2, 0, 0, calculation!$B$1, 1), OFFSET(data!$B$2, 0, 0, calculation!$B$1, 1)))</f>
        <v>#REF!</v>
      </c>
    </row>
    <row r="7" spans="1:2" x14ac:dyDescent="0.2">
      <c r="A7" t="s">
        <v>196</v>
      </c>
      <c r="B7">
        <f ca="1">COUNTA('Table 1 - HB'!6:6)</f>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Notes</vt:lpstr>
      <vt:lpstr>Table 1 - HB</vt:lpstr>
      <vt:lpstr>Table 2 - HSCP</vt:lpstr>
      <vt:lpstr>Table 3 - CA</vt:lpstr>
      <vt:lpstr>Table 4 - Age Gender</vt:lpstr>
      <vt:lpstr>Table 5 - Deprivation</vt:lpstr>
      <vt:lpstr>Table 6 -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2019-11-13T08:59:40Z</dcterms:modified>
</cp:coreProperties>
</file>