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firstSheet="7" activeTab="12"/>
  </bookViews>
  <sheets>
    <sheet name="Notes" sheetId="1" r:id="rId1"/>
    <sheet name="Table 1 - HB" sheetId="2" r:id="rId2"/>
    <sheet name="Figure A1-1 - HB" sheetId="15" r:id="rId3"/>
    <sheet name="Table 2 - HSCP" sheetId="5" r:id="rId4"/>
    <sheet name="Figure A1-2 - HSCP" sheetId="16" r:id="rId5"/>
    <sheet name="Table 3 - CA" sheetId="12" r:id="rId6"/>
    <sheet name="Table 4 - Age Gender" sheetId="11" r:id="rId7"/>
    <sheet name="Table 5 - Deprivation" sheetId="8" r:id="rId8"/>
    <sheet name="Figure A1-3 - Deprivation" sheetId="17" r:id="rId9"/>
    <sheet name="Table 6 - Urban Rural" sheetId="9" r:id="rId10"/>
    <sheet name="Figure A1-4 - Urban Rural" sheetId="19" r:id="rId11"/>
    <sheet name="External Causes of Deaths" sheetId="3" r:id="rId12"/>
    <sheet name="data" sheetId="13" r:id="rId13"/>
    <sheet name="calculation" sheetId="14" r:id="rId14"/>
  </sheets>
  <definedNames>
    <definedName name="data_range">OFFSET(data!$A$2, 0, 0, calculation!$B$1, calculation!$B$2)</definedName>
    <definedName name="figurea11percent">OFFSET('Figure A1-1 - HB'!$N$8, 0,0, 1, COUNTA('Figure A1-1 - HB'!$8:$8)-1)</definedName>
    <definedName name="figurea11year">OFFSET('Figure A1-1 - HB'!$N$7, 0, 0, 1, COUNTA('Figure A1-1 - HB'!$7:$7))</definedName>
    <definedName name="figurea12percent">OFFSET('Figure A1-2 - HSCP'!$N$8, 0,0, 1, COUNTA('Figure A1-2 - HSCP'!$8:$8)-1)</definedName>
    <definedName name="figurea12year">OFFSET('Figure A1-2 - HSCP'!$N$7, 0, 0, 1, COUNTA('Figure A1-2 - HSCP'!$7:$7))</definedName>
    <definedName name="figurea13percent">OFFSET('Figure A1-3 - Deprivation'!$N$8, 0,0, 1, COUNTA('Figure A1-3 - Deprivation'!$8:$8)-1)</definedName>
    <definedName name="figurea13year">OFFSET('Figure A1-3 - Deprivation'!$N$7, 0, 0, 1, COUNTA('Figure A1-3 - Deprivation'!$7:$7))</definedName>
    <definedName name="figurea14percent">OFFSET('Figure A1-4 - Urban Rural'!$N$8, 0,0, 1, COUNTA('Figure A1-4 - Urban Rural'!$8:$8)-1)</definedName>
    <definedName name="figurea14year">OFFSET('Figure A1-4 - Urban Rural'!$N$7, 0, 0, 1, COUNTA('Figure A1-4 - Urban Rural'!$7:$7))</definedName>
    <definedName name="fy_max">OFFSET(calculation!$A$9, 0, calculation!$B$6, 1, 1)</definedName>
    <definedName name="fy_range">OFFSET(data!$B$2, 0, 0, calculation!$B$1, 1)</definedName>
    <definedName name="_xlnm.Print_Area" localSheetId="11">'External Causes of Deaths'!$A$2:$E$56</definedName>
    <definedName name="_xlnm.Print_Area" localSheetId="0">Notes!$A$2:$P$47</definedName>
    <definedName name="_xlnm.Print_Area" localSheetId="1">OFFSET('Table 1 - HB'!$A$2, 0, 0, 29, calculation!$B$6+2)</definedName>
    <definedName name="_xlnm.Print_Area" localSheetId="3">OFFSET('Table 2 - HSCP'!$A$2, 0, 0, 46, calculation!$B$6+2)</definedName>
    <definedName name="_xlnm.Print_Area" localSheetId="5">OFFSET('Table 3 - CA'!$A$2, 0, 0, 47, calculation!$B$6+2)</definedName>
    <definedName name="_xlnm.Print_Area" localSheetId="6">OFFSET('Table 4 - Age Gender'!$A$2, 0, 0, 34, calculation!$B$6+3)</definedName>
    <definedName name="_xlnm.Print_Area" localSheetId="7">OFFSET('Table 5 - Deprivation'!$A$2, 0, 0, 30, calculation!$B$6+2)</definedName>
    <definedName name="_xlnm.Print_Area" localSheetId="9">OFFSET('Table 6 - Urban Rural'!$A$2, 0, 0, 28, calculation!$B$6+2)</definedName>
  </definedNames>
  <calcPr calcId="162913"/>
</workbook>
</file>

<file path=xl/calcChain.xml><?xml version="1.0" encoding="utf-8"?>
<calcChain xmlns="http://schemas.openxmlformats.org/spreadsheetml/2006/main">
  <c r="M8" i="19" l="1"/>
  <c r="M8" i="17" l="1"/>
  <c r="M8" i="16" l="1"/>
  <c r="M8" i="15" l="1"/>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5"/>
  <c r="B1" i="2" l="1"/>
  <c r="B1" i="12"/>
  <c r="B1" i="11"/>
  <c r="B9" i="14" a="1"/>
  <c r="B9" i="14" s="1"/>
  <c r="B6" i="14"/>
  <c r="C9" i="14" l="1" a="1"/>
  <c r="C9" i="14" s="1"/>
  <c r="D9" i="14" l="1" a="1"/>
  <c r="D9" i="14" s="1"/>
  <c r="E9" i="14" l="1" a="1"/>
  <c r="E9" i="14" s="1"/>
  <c r="F9" i="14" l="1" a="1"/>
  <c r="F9" i="14" s="1"/>
  <c r="G9" i="14" l="1" a="1"/>
  <c r="G9" i="14" s="1"/>
  <c r="H9" i="14" l="1" a="1"/>
  <c r="H9" i="14" s="1"/>
  <c r="I9" i="14" l="1" a="1"/>
  <c r="I9" i="14" s="1"/>
  <c r="J9" i="14" l="1" a="1"/>
  <c r="J9" i="14" s="1"/>
  <c r="B37" i="19" s="1"/>
  <c r="B37" i="17" l="1"/>
  <c r="B37" i="16"/>
  <c r="B10" i="14"/>
  <c r="D7" i="11" s="1"/>
  <c r="D9" i="11" s="1"/>
  <c r="J10" i="14"/>
  <c r="L7" i="11" s="1"/>
  <c r="L19" i="11" s="1"/>
  <c r="C10" i="14"/>
  <c r="E7" i="11" s="1"/>
  <c r="E10" i="11" s="1"/>
  <c r="D10" i="14"/>
  <c r="F7" i="11" s="1"/>
  <c r="F20" i="11" s="1"/>
  <c r="E10" i="14"/>
  <c r="G7" i="11" s="1"/>
  <c r="G12" i="11" s="1"/>
  <c r="F10" i="14"/>
  <c r="H7" i="11" s="1"/>
  <c r="H24" i="11" s="1"/>
  <c r="G10" i="14"/>
  <c r="I7" i="11" s="1"/>
  <c r="I8" i="11" s="1"/>
  <c r="H10" i="14"/>
  <c r="J7" i="11" s="1"/>
  <c r="J9" i="11" s="1"/>
  <c r="B47" i="12"/>
  <c r="B25" i="8"/>
  <c r="I10" i="14"/>
  <c r="K7" i="11" s="1"/>
  <c r="K20" i="11" s="1"/>
  <c r="B34" i="11"/>
  <c r="B37" i="15"/>
  <c r="B46" i="5"/>
  <c r="B7" i="14"/>
  <c r="B28" i="9"/>
  <c r="C15" i="1"/>
  <c r="B30" i="2"/>
  <c r="F16" i="9" l="1"/>
  <c r="F17" i="9" s="1"/>
  <c r="F7" i="12"/>
  <c r="F17" i="12" s="1"/>
  <c r="H16" i="9"/>
  <c r="H18" i="9" s="1"/>
  <c r="H7" i="12"/>
  <c r="H19" i="12" s="1"/>
  <c r="D16" i="9"/>
  <c r="D17" i="9" s="1"/>
  <c r="D7" i="12"/>
  <c r="D39" i="12" s="1"/>
  <c r="I16" i="9"/>
  <c r="I18" i="9" s="1"/>
  <c r="I7" i="12"/>
  <c r="I13" i="12" s="1"/>
  <c r="E16" i="9"/>
  <c r="E18" i="9" s="1"/>
  <c r="E7" i="12"/>
  <c r="E31" i="12" s="1"/>
  <c r="J16" i="9"/>
  <c r="J17" i="9" s="1"/>
  <c r="J7" i="12"/>
  <c r="J16" i="12" s="1"/>
  <c r="G16" i="9"/>
  <c r="G17" i="9" s="1"/>
  <c r="G7" i="12"/>
  <c r="G12" i="12" s="1"/>
  <c r="K16" i="9"/>
  <c r="K17" i="9" s="1"/>
  <c r="K7" i="12"/>
  <c r="K38" i="12" s="1"/>
  <c r="C16" i="9"/>
  <c r="C17" i="9" s="1"/>
  <c r="C7" i="12"/>
  <c r="C27" i="12" s="1"/>
  <c r="U7" i="19"/>
  <c r="U8" i="19" s="1"/>
  <c r="J7" i="9"/>
  <c r="J8" i="9" s="1"/>
  <c r="S7" i="19"/>
  <c r="S8" i="19" s="1"/>
  <c r="H7" i="9"/>
  <c r="H10" i="9" s="1"/>
  <c r="O7" i="19"/>
  <c r="O8" i="19" s="1"/>
  <c r="D7" i="9"/>
  <c r="D9" i="9" s="1"/>
  <c r="T7" i="19"/>
  <c r="T8" i="19" s="1"/>
  <c r="I7" i="9"/>
  <c r="I9" i="9" s="1"/>
  <c r="P7" i="19"/>
  <c r="P8" i="19" s="1"/>
  <c r="E7" i="9"/>
  <c r="E10" i="9" s="1"/>
  <c r="Q7" i="19"/>
  <c r="Q8" i="19" s="1"/>
  <c r="F7" i="9"/>
  <c r="F9" i="9" s="1"/>
  <c r="R7" i="19"/>
  <c r="R8" i="19" s="1"/>
  <c r="G7" i="9"/>
  <c r="G12" i="9" s="1"/>
  <c r="V7" i="19"/>
  <c r="V8" i="19" s="1"/>
  <c r="K7" i="9"/>
  <c r="K11" i="9" s="1"/>
  <c r="N7" i="19"/>
  <c r="N8" i="19" s="1"/>
  <c r="C7" i="9"/>
  <c r="C13" i="9" s="1"/>
  <c r="I16" i="8"/>
  <c r="I18" i="8" s="1"/>
  <c r="E8" i="8"/>
  <c r="E13" i="8" s="1"/>
  <c r="E16" i="8"/>
  <c r="E17" i="8" s="1"/>
  <c r="F8" i="8"/>
  <c r="F13" i="8" s="1"/>
  <c r="F16" i="8"/>
  <c r="F17" i="8" s="1"/>
  <c r="J8" i="8"/>
  <c r="J12" i="8" s="1"/>
  <c r="J16" i="8"/>
  <c r="J18" i="8" s="1"/>
  <c r="G8" i="8"/>
  <c r="G12" i="8" s="1"/>
  <c r="G16" i="8"/>
  <c r="G18" i="8" s="1"/>
  <c r="K8" i="8"/>
  <c r="K13" i="8" s="1"/>
  <c r="K16" i="8"/>
  <c r="K18" i="8" s="1"/>
  <c r="H8" i="8"/>
  <c r="H12" i="8" s="1"/>
  <c r="H16" i="8"/>
  <c r="H17" i="8" s="1"/>
  <c r="D8" i="8"/>
  <c r="D11" i="8" s="1"/>
  <c r="D16" i="8"/>
  <c r="D18" i="8" s="1"/>
  <c r="C8" i="8"/>
  <c r="C11" i="8" s="1"/>
  <c r="C16" i="8"/>
  <c r="C17" i="8" s="1"/>
  <c r="T7" i="15"/>
  <c r="T8" i="15" s="1"/>
  <c r="I8" i="8"/>
  <c r="I11" i="8" s="1"/>
  <c r="I17" i="11"/>
  <c r="H7" i="5"/>
  <c r="H20" i="5" s="1"/>
  <c r="AA20" i="5" s="1"/>
  <c r="S7" i="17"/>
  <c r="S8" i="17" s="1"/>
  <c r="D7" i="5"/>
  <c r="D13" i="5" s="1"/>
  <c r="O7" i="17"/>
  <c r="O8" i="17" s="1"/>
  <c r="J7" i="5"/>
  <c r="J39" i="5" s="1"/>
  <c r="AB39" i="5" s="1"/>
  <c r="U7" i="17"/>
  <c r="U8" i="17" s="1"/>
  <c r="F7" i="5"/>
  <c r="F32" i="5" s="1"/>
  <c r="Q7" i="17"/>
  <c r="Q8" i="17" s="1"/>
  <c r="C7" i="5"/>
  <c r="C9" i="5" s="1"/>
  <c r="N7" i="17"/>
  <c r="N8" i="17" s="1"/>
  <c r="I7" i="5"/>
  <c r="I9" i="5" s="1"/>
  <c r="T7" i="17"/>
  <c r="T8" i="17" s="1"/>
  <c r="E7" i="5"/>
  <c r="E38" i="5" s="1"/>
  <c r="P7" i="17"/>
  <c r="P8" i="17" s="1"/>
  <c r="G7" i="5"/>
  <c r="G13" i="5" s="1"/>
  <c r="R7" i="17"/>
  <c r="R8" i="17" s="1"/>
  <c r="K7" i="5"/>
  <c r="K13" i="5" s="1"/>
  <c r="AC13" i="5" s="1"/>
  <c r="V7" i="17"/>
  <c r="V8" i="17" s="1"/>
  <c r="H7" i="2"/>
  <c r="H11" i="2" s="1"/>
  <c r="H33" i="12"/>
  <c r="K7" i="2"/>
  <c r="K18" i="2" s="1"/>
  <c r="J24" i="11"/>
  <c r="G17" i="11"/>
  <c r="J7" i="2"/>
  <c r="J18" i="2" s="1"/>
  <c r="U7" i="16"/>
  <c r="U8" i="16" s="1"/>
  <c r="G7" i="2"/>
  <c r="G20" i="2" s="1"/>
  <c r="R7" i="16"/>
  <c r="R8" i="16" s="1"/>
  <c r="V7" i="15"/>
  <c r="V8" i="15" s="1"/>
  <c r="V7" i="16"/>
  <c r="V8" i="16" s="1"/>
  <c r="Q7" i="15"/>
  <c r="Q8" i="15" s="1"/>
  <c r="Q7" i="16"/>
  <c r="Q8" i="16" s="1"/>
  <c r="N7" i="15"/>
  <c r="N8" i="15" s="1"/>
  <c r="N7" i="16"/>
  <c r="N8" i="16" s="1"/>
  <c r="S7" i="15"/>
  <c r="S8" i="15" s="1"/>
  <c r="S7" i="16"/>
  <c r="S8" i="16" s="1"/>
  <c r="D7" i="2"/>
  <c r="D19" i="2" s="1"/>
  <c r="O7" i="16"/>
  <c r="O8" i="16" s="1"/>
  <c r="I7" i="2"/>
  <c r="I16" i="2" s="1"/>
  <c r="T7" i="16"/>
  <c r="T8" i="16" s="1"/>
  <c r="P7" i="15"/>
  <c r="P8" i="15" s="1"/>
  <c r="P7" i="16"/>
  <c r="P8" i="16" s="1"/>
  <c r="H17" i="11"/>
  <c r="J23" i="11"/>
  <c r="G18" i="11"/>
  <c r="I18" i="11"/>
  <c r="J14" i="11"/>
  <c r="J12" i="11"/>
  <c r="H20" i="11"/>
  <c r="H25" i="11"/>
  <c r="J22" i="11"/>
  <c r="G16" i="11"/>
  <c r="G8" i="11"/>
  <c r="I16" i="11"/>
  <c r="I23" i="11"/>
  <c r="J20" i="11"/>
  <c r="H18" i="11"/>
  <c r="H8" i="11"/>
  <c r="J19" i="11"/>
  <c r="J25" i="11"/>
  <c r="J18" i="11"/>
  <c r="G19" i="11"/>
  <c r="I21" i="11"/>
  <c r="I15" i="11"/>
  <c r="G13" i="11"/>
  <c r="J13" i="11"/>
  <c r="J15" i="11"/>
  <c r="J21" i="11"/>
  <c r="H14" i="11"/>
  <c r="G14" i="11"/>
  <c r="G11" i="11"/>
  <c r="I24" i="11"/>
  <c r="G10" i="11"/>
  <c r="E7" i="2"/>
  <c r="E22" i="2" s="1"/>
  <c r="K8" i="9"/>
  <c r="H9" i="11"/>
  <c r="D25" i="11"/>
  <c r="K23" i="11"/>
  <c r="F18" i="11"/>
  <c r="K8" i="11"/>
  <c r="K17" i="12"/>
  <c r="L11" i="11"/>
  <c r="D21" i="11"/>
  <c r="K10" i="11"/>
  <c r="I37" i="12"/>
  <c r="K19" i="11"/>
  <c r="J11" i="11"/>
  <c r="K22" i="11"/>
  <c r="K17" i="11"/>
  <c r="K25" i="11"/>
  <c r="J17" i="11"/>
  <c r="H15" i="11"/>
  <c r="H22" i="11"/>
  <c r="K13" i="11"/>
  <c r="H21" i="11"/>
  <c r="H23" i="11"/>
  <c r="H16" i="11"/>
  <c r="G15" i="11"/>
  <c r="H10" i="11"/>
  <c r="G20" i="11"/>
  <c r="G9" i="11"/>
  <c r="G23" i="11"/>
  <c r="I25" i="11"/>
  <c r="I12" i="11"/>
  <c r="I20" i="11"/>
  <c r="I9" i="11"/>
  <c r="I10" i="11"/>
  <c r="I11" i="11"/>
  <c r="O7" i="15"/>
  <c r="O8" i="15" s="1"/>
  <c r="R7" i="15"/>
  <c r="R8" i="15" s="1"/>
  <c r="U7" i="15"/>
  <c r="U8" i="15" s="1"/>
  <c r="K15" i="11"/>
  <c r="K11" i="11"/>
  <c r="K21" i="11"/>
  <c r="K20" i="12"/>
  <c r="K12" i="11"/>
  <c r="K14" i="11"/>
  <c r="K18" i="11"/>
  <c r="K9" i="11"/>
  <c r="K19" i="12"/>
  <c r="K16" i="11"/>
  <c r="K24" i="11"/>
  <c r="H13" i="11"/>
  <c r="J16" i="11"/>
  <c r="J8" i="11"/>
  <c r="H19" i="11"/>
  <c r="H37" i="12"/>
  <c r="H11" i="11"/>
  <c r="H12" i="11"/>
  <c r="G21" i="11"/>
  <c r="J10" i="11"/>
  <c r="E8" i="12"/>
  <c r="G22" i="11"/>
  <c r="G25" i="11"/>
  <c r="I19" i="11"/>
  <c r="I14" i="11"/>
  <c r="I13" i="11"/>
  <c r="G24" i="11"/>
  <c r="D13" i="11"/>
  <c r="I22" i="11"/>
  <c r="F15" i="11"/>
  <c r="D23" i="11"/>
  <c r="F22" i="11"/>
  <c r="F24" i="11"/>
  <c r="F23" i="11"/>
  <c r="D15" i="11"/>
  <c r="D16" i="11"/>
  <c r="L21" i="11"/>
  <c r="L23" i="11"/>
  <c r="F14" i="11"/>
  <c r="F8" i="11"/>
  <c r="F21" i="11"/>
  <c r="F11" i="11"/>
  <c r="L17" i="11"/>
  <c r="E20" i="11"/>
  <c r="F12" i="11"/>
  <c r="D12" i="11"/>
  <c r="L18" i="11"/>
  <c r="L24" i="11"/>
  <c r="E25" i="11"/>
  <c r="I9" i="12"/>
  <c r="F16" i="11"/>
  <c r="F9" i="11"/>
  <c r="J37" i="12"/>
  <c r="F25" i="11"/>
  <c r="F10" i="11"/>
  <c r="F17" i="11"/>
  <c r="F19" i="11"/>
  <c r="F13" i="11"/>
  <c r="D11" i="11"/>
  <c r="J13" i="12"/>
  <c r="D19" i="11"/>
  <c r="D17" i="11"/>
  <c r="D14" i="11"/>
  <c r="L9" i="11"/>
  <c r="L20" i="11"/>
  <c r="E13" i="11"/>
  <c r="E11" i="11"/>
  <c r="E8" i="11"/>
  <c r="E21" i="11"/>
  <c r="E23" i="11"/>
  <c r="D24" i="11"/>
  <c r="F7" i="2"/>
  <c r="F8" i="2" s="1"/>
  <c r="D10" i="11"/>
  <c r="L15" i="11"/>
  <c r="L14" i="11"/>
  <c r="L13" i="11"/>
  <c r="L10" i="11"/>
  <c r="E24" i="11"/>
  <c r="L16" i="11"/>
  <c r="E22" i="11"/>
  <c r="E19" i="11"/>
  <c r="D8" i="11"/>
  <c r="E9" i="11"/>
  <c r="E15" i="11"/>
  <c r="D18" i="11"/>
  <c r="J8" i="12"/>
  <c r="D20" i="11"/>
  <c r="L8" i="11"/>
  <c r="L12" i="11"/>
  <c r="L25" i="11"/>
  <c r="L22" i="11"/>
  <c r="E18" i="11"/>
  <c r="E14" i="11"/>
  <c r="E17" i="11"/>
  <c r="E12" i="11"/>
  <c r="E16" i="11"/>
  <c r="D22" i="11"/>
  <c r="C7" i="2"/>
  <c r="C14" i="2" s="1"/>
  <c r="J28" i="12" l="1"/>
  <c r="J17" i="12"/>
  <c r="I36" i="12"/>
  <c r="I12" i="12"/>
  <c r="H16" i="12"/>
  <c r="K15" i="12"/>
  <c r="H17" i="12"/>
  <c r="K33" i="12"/>
  <c r="H29" i="12"/>
  <c r="J21" i="12"/>
  <c r="J32" i="12"/>
  <c r="J19" i="12"/>
  <c r="K31" i="12"/>
  <c r="H40" i="12"/>
  <c r="K21" i="12"/>
  <c r="J29" i="12"/>
  <c r="J10" i="12"/>
  <c r="J35" i="12"/>
  <c r="I31" i="12"/>
  <c r="K23" i="12"/>
  <c r="H28" i="12"/>
  <c r="K24" i="12"/>
  <c r="I27" i="12"/>
  <c r="J25" i="12"/>
  <c r="J14" i="12"/>
  <c r="J15" i="12"/>
  <c r="J39" i="12"/>
  <c r="I14" i="12"/>
  <c r="I19" i="12"/>
  <c r="J26" i="12"/>
  <c r="J36" i="12"/>
  <c r="I20" i="12"/>
  <c r="I40" i="12"/>
  <c r="H32" i="12"/>
  <c r="H30" i="12"/>
  <c r="K18" i="12"/>
  <c r="K9" i="12"/>
  <c r="H31" i="12"/>
  <c r="I33" i="12"/>
  <c r="K34" i="12"/>
  <c r="K25" i="12"/>
  <c r="I11" i="12"/>
  <c r="I23" i="12"/>
  <c r="H8" i="12"/>
  <c r="K40" i="12"/>
  <c r="K11" i="12"/>
  <c r="K27" i="12"/>
  <c r="H34" i="12"/>
  <c r="I30" i="12"/>
  <c r="J9" i="12"/>
  <c r="K8" i="12"/>
  <c r="I26" i="12"/>
  <c r="K16" i="12"/>
  <c r="I38" i="12"/>
  <c r="H10" i="12"/>
  <c r="H11" i="12"/>
  <c r="H25" i="12"/>
  <c r="K26" i="12"/>
  <c r="J20" i="12"/>
  <c r="J38" i="12"/>
  <c r="I21" i="12"/>
  <c r="J24" i="12"/>
  <c r="J34" i="12"/>
  <c r="I28" i="12"/>
  <c r="H39" i="12"/>
  <c r="H26" i="12"/>
  <c r="K14" i="12"/>
  <c r="K30" i="12"/>
  <c r="H14" i="12"/>
  <c r="H15" i="12"/>
  <c r="I39" i="12"/>
  <c r="K32" i="12"/>
  <c r="K37" i="12"/>
  <c r="I18" i="12"/>
  <c r="K10" i="12"/>
  <c r="K29" i="12"/>
  <c r="I15" i="12"/>
  <c r="H18" i="12"/>
  <c r="K13" i="12"/>
  <c r="I32" i="12"/>
  <c r="K12" i="12"/>
  <c r="I29" i="12"/>
  <c r="K22" i="12"/>
  <c r="H24" i="12"/>
  <c r="H20" i="12"/>
  <c r="H36" i="12"/>
  <c r="H9" i="12"/>
  <c r="H21" i="12"/>
  <c r="J18" i="12"/>
  <c r="J27" i="12"/>
  <c r="J30" i="12"/>
  <c r="J11" i="12"/>
  <c r="J22" i="12"/>
  <c r="I35" i="12"/>
  <c r="I22" i="12"/>
  <c r="J31" i="12"/>
  <c r="J12" i="12"/>
  <c r="J33" i="12"/>
  <c r="I34" i="12"/>
  <c r="H13" i="12"/>
  <c r="K36" i="12"/>
  <c r="I24" i="12"/>
  <c r="H12" i="12"/>
  <c r="K28" i="12"/>
  <c r="I16" i="12"/>
  <c r="H23" i="12"/>
  <c r="K39" i="12"/>
  <c r="K35" i="12"/>
  <c r="H22" i="12"/>
  <c r="I8" i="12"/>
  <c r="I10" i="12"/>
  <c r="I25" i="12"/>
  <c r="J23" i="12"/>
  <c r="J40" i="12"/>
  <c r="I17" i="12"/>
  <c r="H38" i="12"/>
  <c r="H27" i="12"/>
  <c r="H35" i="12"/>
  <c r="F12" i="12"/>
  <c r="C38" i="12"/>
  <c r="H8" i="9"/>
  <c r="G21" i="12"/>
  <c r="D36" i="12"/>
  <c r="D38" i="12"/>
  <c r="D12" i="12"/>
  <c r="K18" i="9"/>
  <c r="F19" i="12"/>
  <c r="F38" i="12"/>
  <c r="C20" i="12"/>
  <c r="D10" i="12"/>
  <c r="H11" i="9"/>
  <c r="E29" i="12"/>
  <c r="C15" i="12"/>
  <c r="F10" i="12"/>
  <c r="C36" i="12"/>
  <c r="D17" i="12"/>
  <c r="C33" i="12"/>
  <c r="D40" i="12"/>
  <c r="D24" i="12"/>
  <c r="H17" i="9"/>
  <c r="J18" i="9"/>
  <c r="I17" i="9"/>
  <c r="D18" i="9"/>
  <c r="F9" i="12"/>
  <c r="F29" i="12"/>
  <c r="F32" i="12"/>
  <c r="E15" i="12"/>
  <c r="E38" i="12"/>
  <c r="D21" i="12"/>
  <c r="D11" i="12"/>
  <c r="C14" i="12"/>
  <c r="G15" i="12"/>
  <c r="E22" i="12"/>
  <c r="E27" i="12"/>
  <c r="F30" i="12"/>
  <c r="E30" i="12"/>
  <c r="E23" i="12"/>
  <c r="E28" i="12"/>
  <c r="E37" i="12"/>
  <c r="E10" i="12"/>
  <c r="G40" i="12"/>
  <c r="D32" i="12"/>
  <c r="G32" i="12"/>
  <c r="F18" i="8"/>
  <c r="F8" i="12"/>
  <c r="F31" i="12"/>
  <c r="F25" i="12"/>
  <c r="F14" i="12"/>
  <c r="D26" i="12"/>
  <c r="G37" i="12"/>
  <c r="I13" i="9"/>
  <c r="C10" i="12"/>
  <c r="E12" i="12"/>
  <c r="C23" i="12"/>
  <c r="D22" i="12"/>
  <c r="G35" i="12"/>
  <c r="E16" i="12"/>
  <c r="G39" i="12"/>
  <c r="G38" i="12"/>
  <c r="F12" i="9"/>
  <c r="C18" i="12"/>
  <c r="F10" i="9"/>
  <c r="C25" i="12"/>
  <c r="D14" i="12"/>
  <c r="D15" i="12"/>
  <c r="K12" i="9"/>
  <c r="K13" i="9"/>
  <c r="F33" i="12"/>
  <c r="F28" i="12"/>
  <c r="F11" i="9"/>
  <c r="F22" i="12"/>
  <c r="F13" i="9"/>
  <c r="F8" i="9"/>
  <c r="C39" i="12"/>
  <c r="C35" i="12"/>
  <c r="G17" i="12"/>
  <c r="G24" i="12"/>
  <c r="C29" i="12"/>
  <c r="G11" i="12"/>
  <c r="I11" i="9"/>
  <c r="H12" i="9"/>
  <c r="G10" i="12"/>
  <c r="C22" i="12"/>
  <c r="H13" i="9"/>
  <c r="E39" i="12"/>
  <c r="D28" i="12"/>
  <c r="E20" i="12"/>
  <c r="D20" i="12"/>
  <c r="E33" i="12"/>
  <c r="G29" i="12"/>
  <c r="E13" i="12"/>
  <c r="C21" i="12"/>
  <c r="C26" i="12"/>
  <c r="D18" i="12"/>
  <c r="G25" i="12"/>
  <c r="E17" i="9"/>
  <c r="F16" i="12"/>
  <c r="F13" i="12"/>
  <c r="F11" i="12"/>
  <c r="F23" i="12"/>
  <c r="F24" i="12"/>
  <c r="C30" i="12"/>
  <c r="C40" i="12"/>
  <c r="C31" i="12"/>
  <c r="G33" i="12"/>
  <c r="D25" i="12"/>
  <c r="D19" i="12"/>
  <c r="G30" i="12"/>
  <c r="E24" i="12"/>
  <c r="G18" i="9"/>
  <c r="D30" i="12"/>
  <c r="C11" i="12"/>
  <c r="G19" i="12"/>
  <c r="G34" i="12"/>
  <c r="D16" i="12"/>
  <c r="C24" i="12"/>
  <c r="C32" i="12"/>
  <c r="D34" i="12"/>
  <c r="G36" i="12"/>
  <c r="D35" i="12"/>
  <c r="G14" i="12"/>
  <c r="E25" i="12"/>
  <c r="C28" i="12"/>
  <c r="G18" i="12"/>
  <c r="E14" i="12"/>
  <c r="C17" i="12"/>
  <c r="G27" i="12"/>
  <c r="G20" i="12"/>
  <c r="C13" i="12"/>
  <c r="H9" i="9"/>
  <c r="D37" i="12"/>
  <c r="E32" i="12"/>
  <c r="C8" i="12"/>
  <c r="E11" i="12"/>
  <c r="I8" i="9"/>
  <c r="F18" i="9"/>
  <c r="I12" i="9"/>
  <c r="I10" i="9"/>
  <c r="F27" i="12"/>
  <c r="F26" i="12"/>
  <c r="F40" i="12"/>
  <c r="F39" i="12"/>
  <c r="F35" i="12"/>
  <c r="F37" i="12"/>
  <c r="F20" i="12"/>
  <c r="F36" i="12"/>
  <c r="F18" i="12"/>
  <c r="F21" i="12"/>
  <c r="F34" i="12"/>
  <c r="C16" i="12"/>
  <c r="D9" i="12"/>
  <c r="G16" i="12"/>
  <c r="D13" i="12"/>
  <c r="G26" i="12"/>
  <c r="E34" i="12"/>
  <c r="E40" i="12"/>
  <c r="G8" i="12"/>
  <c r="G23" i="12"/>
  <c r="C37" i="12"/>
  <c r="E36" i="12"/>
  <c r="D31" i="12"/>
  <c r="C34" i="12"/>
  <c r="G22" i="12"/>
  <c r="D23" i="12"/>
  <c r="G31" i="12"/>
  <c r="G9" i="12"/>
  <c r="E17" i="12"/>
  <c r="E19" i="12"/>
  <c r="E21" i="12"/>
  <c r="D27" i="12"/>
  <c r="C9" i="12"/>
  <c r="C12" i="12"/>
  <c r="D8" i="12"/>
  <c r="E18" i="12"/>
  <c r="C19" i="12"/>
  <c r="G13" i="12"/>
  <c r="G28" i="12"/>
  <c r="E9" i="12"/>
  <c r="D33" i="12"/>
  <c r="E35" i="12"/>
  <c r="D29" i="12"/>
  <c r="K9" i="9"/>
  <c r="F15" i="12"/>
  <c r="K10" i="9"/>
  <c r="E26" i="12"/>
  <c r="C18" i="9"/>
  <c r="E9" i="9"/>
  <c r="D11" i="9"/>
  <c r="G8" i="9"/>
  <c r="C9" i="9"/>
  <c r="G11" i="9"/>
  <c r="D8" i="9"/>
  <c r="J11" i="9"/>
  <c r="C10" i="9"/>
  <c r="E8" i="9"/>
  <c r="E13" i="9"/>
  <c r="D12" i="9"/>
  <c r="E12" i="9"/>
  <c r="J12" i="9"/>
  <c r="J10" i="9"/>
  <c r="E11" i="9"/>
  <c r="D13" i="9"/>
  <c r="G10" i="9"/>
  <c r="C12" i="9"/>
  <c r="J13" i="9"/>
  <c r="J9" i="9"/>
  <c r="G13" i="9"/>
  <c r="G9" i="9"/>
  <c r="C8" i="9"/>
  <c r="C11" i="9"/>
  <c r="D10" i="9"/>
  <c r="D31" i="5"/>
  <c r="I11" i="5"/>
  <c r="D10" i="5"/>
  <c r="F11" i="5"/>
  <c r="I13" i="5"/>
  <c r="D27" i="5"/>
  <c r="G17" i="8"/>
  <c r="D38" i="5"/>
  <c r="H18" i="8"/>
  <c r="F30" i="5"/>
  <c r="C18" i="8"/>
  <c r="C12" i="8"/>
  <c r="I17" i="8"/>
  <c r="K15" i="5"/>
  <c r="AC15" i="5" s="1"/>
  <c r="C17" i="5"/>
  <c r="G34" i="5"/>
  <c r="F22" i="5"/>
  <c r="G20" i="5"/>
  <c r="G11" i="8"/>
  <c r="F12" i="8"/>
  <c r="F9" i="8"/>
  <c r="C9" i="8"/>
  <c r="H13" i="8"/>
  <c r="F11" i="8"/>
  <c r="I14" i="5"/>
  <c r="I8" i="5"/>
  <c r="G27" i="5"/>
  <c r="I24" i="5"/>
  <c r="I26" i="5"/>
  <c r="I38" i="5"/>
  <c r="I20" i="5"/>
  <c r="D24" i="5"/>
  <c r="D36" i="5"/>
  <c r="G26" i="5"/>
  <c r="G30" i="5"/>
  <c r="I17" i="5"/>
  <c r="I12" i="5"/>
  <c r="I25" i="5"/>
  <c r="I28" i="5"/>
  <c r="I35" i="5"/>
  <c r="I15" i="5"/>
  <c r="D30" i="5"/>
  <c r="D39" i="5"/>
  <c r="D22" i="5"/>
  <c r="I9" i="8"/>
  <c r="K9" i="8"/>
  <c r="D12" i="8"/>
  <c r="D32" i="5"/>
  <c r="D20" i="5"/>
  <c r="F10" i="5"/>
  <c r="G14" i="5"/>
  <c r="G24" i="5"/>
  <c r="F39" i="5"/>
  <c r="I32" i="5"/>
  <c r="I30" i="5"/>
  <c r="D16" i="5"/>
  <c r="D35" i="5"/>
  <c r="D17" i="8"/>
  <c r="D37" i="5"/>
  <c r="F38" i="5"/>
  <c r="F34" i="5"/>
  <c r="G23" i="5"/>
  <c r="F26" i="5"/>
  <c r="F8" i="5"/>
  <c r="D34" i="5"/>
  <c r="D28" i="5"/>
  <c r="G17" i="5"/>
  <c r="G22" i="5"/>
  <c r="G36" i="5"/>
  <c r="G8" i="5"/>
  <c r="E18" i="8"/>
  <c r="G39" i="5"/>
  <c r="F15" i="5"/>
  <c r="D8" i="5"/>
  <c r="F25" i="5"/>
  <c r="F29" i="5"/>
  <c r="G28" i="5"/>
  <c r="F13" i="5"/>
  <c r="G12" i="5"/>
  <c r="F20" i="5"/>
  <c r="G32" i="5"/>
  <c r="F17" i="5"/>
  <c r="K10" i="8"/>
  <c r="I39" i="5"/>
  <c r="I16" i="5"/>
  <c r="K17" i="8"/>
  <c r="I31" i="5"/>
  <c r="I22" i="5"/>
  <c r="I36" i="5"/>
  <c r="I23" i="5"/>
  <c r="D29" i="5"/>
  <c r="D23" i="5"/>
  <c r="D25" i="5"/>
  <c r="D21" i="5"/>
  <c r="I10" i="8"/>
  <c r="D17" i="5"/>
  <c r="F27" i="5"/>
  <c r="F31" i="5"/>
  <c r="G16" i="5"/>
  <c r="G10" i="5"/>
  <c r="G19" i="5"/>
  <c r="G38" i="5"/>
  <c r="G33" i="5"/>
  <c r="F9" i="5"/>
  <c r="G9" i="5"/>
  <c r="G18" i="5"/>
  <c r="F23" i="5"/>
  <c r="F12" i="5"/>
  <c r="G25" i="5"/>
  <c r="G35" i="5"/>
  <c r="G31" i="5"/>
  <c r="F24" i="5"/>
  <c r="G29" i="5"/>
  <c r="E10" i="8"/>
  <c r="I10" i="5"/>
  <c r="I33" i="5"/>
  <c r="I21" i="5"/>
  <c r="I19" i="5"/>
  <c r="I29" i="5"/>
  <c r="I18" i="5"/>
  <c r="I27" i="5"/>
  <c r="I34" i="5"/>
  <c r="D18" i="5"/>
  <c r="I13" i="8"/>
  <c r="D12" i="5"/>
  <c r="D33" i="5"/>
  <c r="D19" i="5"/>
  <c r="K11" i="8"/>
  <c r="K12" i="8"/>
  <c r="D26" i="5"/>
  <c r="I12" i="8"/>
  <c r="D9" i="5"/>
  <c r="J17" i="8"/>
  <c r="I37" i="5"/>
  <c r="D14" i="5"/>
  <c r="D11" i="5"/>
  <c r="D15" i="5"/>
  <c r="F21" i="5"/>
  <c r="F14" i="5"/>
  <c r="F36" i="5"/>
  <c r="G37" i="5"/>
  <c r="F18" i="5"/>
  <c r="F33" i="5"/>
  <c r="F35" i="5"/>
  <c r="F28" i="5"/>
  <c r="F37" i="5"/>
  <c r="G15" i="5"/>
  <c r="G21" i="5"/>
  <c r="F16" i="5"/>
  <c r="G11" i="5"/>
  <c r="F19" i="5"/>
  <c r="F10" i="8"/>
  <c r="H11" i="8"/>
  <c r="G10" i="8"/>
  <c r="G9" i="8"/>
  <c r="G13" i="8"/>
  <c r="H9" i="8"/>
  <c r="H10" i="8"/>
  <c r="D9" i="8"/>
  <c r="J9" i="8"/>
  <c r="J13" i="8"/>
  <c r="J11" i="8"/>
  <c r="E11" i="8"/>
  <c r="D10" i="8"/>
  <c r="E9" i="8"/>
  <c r="E12" i="8"/>
  <c r="D13" i="8"/>
  <c r="J10" i="8"/>
  <c r="C10" i="8"/>
  <c r="C13" i="8"/>
  <c r="H36" i="5"/>
  <c r="AA36" i="5" s="1"/>
  <c r="H11" i="5"/>
  <c r="AA11" i="5" s="1"/>
  <c r="C19" i="5"/>
  <c r="H27" i="5"/>
  <c r="AA27" i="5" s="1"/>
  <c r="C29" i="5"/>
  <c r="J11" i="5"/>
  <c r="AB11" i="5" s="1"/>
  <c r="I17" i="2"/>
  <c r="H21" i="2"/>
  <c r="E12" i="5"/>
  <c r="H32" i="5"/>
  <c r="AA32" i="5" s="1"/>
  <c r="J32" i="5"/>
  <c r="AB32" i="5" s="1"/>
  <c r="H29" i="5"/>
  <c r="AA29" i="5" s="1"/>
  <c r="C15" i="5"/>
  <c r="K33" i="5"/>
  <c r="AC33" i="5" s="1"/>
  <c r="C26" i="5"/>
  <c r="E30" i="5"/>
  <c r="E16" i="5"/>
  <c r="E36" i="5"/>
  <c r="K37" i="5"/>
  <c r="AC37" i="5" s="1"/>
  <c r="G22" i="2"/>
  <c r="J12" i="5"/>
  <c r="AB12" i="5" s="1"/>
  <c r="K16" i="5"/>
  <c r="AC16" i="5" s="1"/>
  <c r="I22" i="2"/>
  <c r="E27" i="5"/>
  <c r="E32" i="5"/>
  <c r="H37" i="5"/>
  <c r="AA37" i="5" s="1"/>
  <c r="K25" i="5"/>
  <c r="AC25" i="5" s="1"/>
  <c r="H12" i="5"/>
  <c r="AA12" i="5" s="1"/>
  <c r="C34" i="5"/>
  <c r="J36" i="5"/>
  <c r="AB36" i="5" s="1"/>
  <c r="J16" i="5"/>
  <c r="AB16" i="5" s="1"/>
  <c r="K22" i="5"/>
  <c r="AC22" i="5" s="1"/>
  <c r="H33" i="5"/>
  <c r="AA33" i="5" s="1"/>
  <c r="K24" i="5"/>
  <c r="AC24" i="5" s="1"/>
  <c r="C8" i="5"/>
  <c r="E20" i="5"/>
  <c r="H19" i="5"/>
  <c r="AA19" i="5" s="1"/>
  <c r="K26" i="5"/>
  <c r="AC26" i="5" s="1"/>
  <c r="E31" i="5"/>
  <c r="H38" i="5"/>
  <c r="AA38" i="5" s="1"/>
  <c r="H16" i="5"/>
  <c r="AA16" i="5" s="1"/>
  <c r="H34" i="5"/>
  <c r="AA34" i="5" s="1"/>
  <c r="C23" i="5"/>
  <c r="J13" i="5"/>
  <c r="AB13" i="5" s="1"/>
  <c r="H9" i="5"/>
  <c r="AA9" i="5" s="1"/>
  <c r="K23" i="5"/>
  <c r="AC23" i="5" s="1"/>
  <c r="J31" i="5"/>
  <c r="AB31" i="5" s="1"/>
  <c r="C10" i="5"/>
  <c r="J22" i="5"/>
  <c r="AB22" i="5" s="1"/>
  <c r="H26" i="5"/>
  <c r="AA26" i="5" s="1"/>
  <c r="C21" i="5"/>
  <c r="E33" i="5"/>
  <c r="K10" i="5"/>
  <c r="AC10" i="5" s="1"/>
  <c r="H17" i="5"/>
  <c r="AA17" i="5" s="1"/>
  <c r="E22" i="5"/>
  <c r="H24" i="5"/>
  <c r="AA24" i="5" s="1"/>
  <c r="H10" i="5"/>
  <c r="AA10" i="5" s="1"/>
  <c r="K19" i="5"/>
  <c r="AC19" i="5" s="1"/>
  <c r="J25" i="5"/>
  <c r="AB25" i="5" s="1"/>
  <c r="H28" i="5"/>
  <c r="AA28" i="5" s="1"/>
  <c r="J19" i="5"/>
  <c r="AB19" i="5" s="1"/>
  <c r="C22" i="5"/>
  <c r="J9" i="5"/>
  <c r="AB9" i="5" s="1"/>
  <c r="H18" i="5"/>
  <c r="AA18" i="5" s="1"/>
  <c r="C38" i="5"/>
  <c r="K29" i="5"/>
  <c r="AC29" i="5" s="1"/>
  <c r="K18" i="5"/>
  <c r="AC18" i="5" s="1"/>
  <c r="J17" i="5"/>
  <c r="AB17" i="5" s="1"/>
  <c r="J34" i="5"/>
  <c r="AB34" i="5" s="1"/>
  <c r="J30" i="5"/>
  <c r="AB30" i="5" s="1"/>
  <c r="E10" i="5"/>
  <c r="E34" i="5"/>
  <c r="K32" i="5"/>
  <c r="AC32" i="5" s="1"/>
  <c r="K14" i="5"/>
  <c r="AC14" i="5" s="1"/>
  <c r="K12" i="5"/>
  <c r="AC12" i="5" s="1"/>
  <c r="J29" i="5"/>
  <c r="AB29" i="5" s="1"/>
  <c r="J27" i="5"/>
  <c r="AB27" i="5" s="1"/>
  <c r="C36" i="5"/>
  <c r="C35" i="5"/>
  <c r="C20" i="5"/>
  <c r="K27" i="5"/>
  <c r="AC27" i="5" s="1"/>
  <c r="C25" i="5"/>
  <c r="H25" i="5"/>
  <c r="AA25" i="5" s="1"/>
  <c r="C28" i="5"/>
  <c r="E26" i="5"/>
  <c r="K21" i="5"/>
  <c r="AC21" i="5" s="1"/>
  <c r="K31" i="5"/>
  <c r="AC31" i="5" s="1"/>
  <c r="H13" i="5"/>
  <c r="AA13" i="5" s="1"/>
  <c r="E28" i="5"/>
  <c r="K8" i="5"/>
  <c r="AC8" i="5" s="1"/>
  <c r="H8" i="5"/>
  <c r="AA8" i="5" s="1"/>
  <c r="C13" i="5"/>
  <c r="H39" i="5"/>
  <c r="AA39" i="5" s="1"/>
  <c r="K36" i="5"/>
  <c r="AC36" i="5" s="1"/>
  <c r="E13" i="5"/>
  <c r="E37" i="5"/>
  <c r="K34" i="5"/>
  <c r="AC34" i="5" s="1"/>
  <c r="J10" i="5"/>
  <c r="AB10" i="5" s="1"/>
  <c r="J37" i="5"/>
  <c r="AB37" i="5" s="1"/>
  <c r="J24" i="5"/>
  <c r="AB24" i="5" s="1"/>
  <c r="H15" i="5"/>
  <c r="AA15" i="5" s="1"/>
  <c r="E23" i="5"/>
  <c r="E21" i="5"/>
  <c r="K17" i="5"/>
  <c r="AC17" i="5" s="1"/>
  <c r="J23" i="5"/>
  <c r="AB23" i="5" s="1"/>
  <c r="C37" i="5"/>
  <c r="C27" i="5"/>
  <c r="C12" i="5"/>
  <c r="K38" i="5"/>
  <c r="AC38" i="5" s="1"/>
  <c r="K35" i="5"/>
  <c r="AC35" i="5" s="1"/>
  <c r="C18" i="5"/>
  <c r="E29" i="5"/>
  <c r="E14" i="5"/>
  <c r="H14" i="5"/>
  <c r="AA14" i="5" s="1"/>
  <c r="H22" i="5"/>
  <c r="AA22" i="5" s="1"/>
  <c r="C24" i="5"/>
  <c r="J26" i="5"/>
  <c r="AB26" i="5" s="1"/>
  <c r="H31" i="5"/>
  <c r="AA31" i="5" s="1"/>
  <c r="C33" i="5"/>
  <c r="C11" i="5"/>
  <c r="E15" i="5"/>
  <c r="K9" i="5"/>
  <c r="AC9" i="5" s="1"/>
  <c r="K28" i="5"/>
  <c r="AC28" i="5" s="1"/>
  <c r="E39" i="5"/>
  <c r="K11" i="5"/>
  <c r="AC11" i="5" s="1"/>
  <c r="J38" i="5"/>
  <c r="AB38" i="5" s="1"/>
  <c r="H23" i="5"/>
  <c r="AA23" i="5" s="1"/>
  <c r="J21" i="5"/>
  <c r="AB21" i="5" s="1"/>
  <c r="C16" i="5"/>
  <c r="J15" i="5"/>
  <c r="AB15" i="5" s="1"/>
  <c r="J18" i="5"/>
  <c r="AB18" i="5" s="1"/>
  <c r="E18" i="5"/>
  <c r="E17" i="5"/>
  <c r="E25" i="5"/>
  <c r="C14" i="5"/>
  <c r="E11" i="5"/>
  <c r="J14" i="5"/>
  <c r="AB14" i="5" s="1"/>
  <c r="J8" i="5"/>
  <c r="AB8" i="5" s="1"/>
  <c r="J28" i="5"/>
  <c r="AB28" i="5" s="1"/>
  <c r="C32" i="5"/>
  <c r="J20" i="5"/>
  <c r="AB20" i="5" s="1"/>
  <c r="J33" i="5"/>
  <c r="AB33" i="5" s="1"/>
  <c r="J35" i="5"/>
  <c r="AB35" i="5" s="1"/>
  <c r="C30" i="5"/>
  <c r="K20" i="5"/>
  <c r="AC20" i="5" s="1"/>
  <c r="C39" i="5"/>
  <c r="H30" i="5"/>
  <c r="AA30" i="5" s="1"/>
  <c r="E8" i="5"/>
  <c r="E9" i="5"/>
  <c r="K39" i="5"/>
  <c r="AC39" i="5" s="1"/>
  <c r="H35" i="5"/>
  <c r="AA35" i="5" s="1"/>
  <c r="C31" i="5"/>
  <c r="K30" i="5"/>
  <c r="AC30" i="5" s="1"/>
  <c r="H21" i="5"/>
  <c r="AA21" i="5" s="1"/>
  <c r="E35" i="5"/>
  <c r="E19" i="5"/>
  <c r="E24" i="5"/>
  <c r="H17" i="2"/>
  <c r="H8" i="2"/>
  <c r="H20" i="2"/>
  <c r="H10" i="2"/>
  <c r="H12" i="2"/>
  <c r="H18" i="2"/>
  <c r="H22" i="2"/>
  <c r="H13" i="2"/>
  <c r="H19" i="2"/>
  <c r="H16" i="2"/>
  <c r="H15" i="2"/>
  <c r="H9" i="2"/>
  <c r="H14" i="2"/>
  <c r="K20" i="2"/>
  <c r="K21" i="2"/>
  <c r="K22" i="2"/>
  <c r="K13" i="2"/>
  <c r="I9" i="2"/>
  <c r="G17" i="2"/>
  <c r="G8" i="2"/>
  <c r="G13" i="2"/>
  <c r="K10" i="2"/>
  <c r="K16" i="2"/>
  <c r="K12" i="2"/>
  <c r="K11" i="2"/>
  <c r="K19" i="2"/>
  <c r="I21" i="2"/>
  <c r="K17" i="2"/>
  <c r="K15" i="2"/>
  <c r="K9" i="2"/>
  <c r="K8" i="2"/>
  <c r="G21" i="2"/>
  <c r="I20" i="2"/>
  <c r="K14" i="2"/>
  <c r="J14" i="2"/>
  <c r="I15" i="2"/>
  <c r="I14" i="2"/>
  <c r="G10" i="2"/>
  <c r="G9" i="2"/>
  <c r="G19" i="2"/>
  <c r="I11" i="2"/>
  <c r="I13" i="2"/>
  <c r="I8" i="2"/>
  <c r="G15" i="2"/>
  <c r="G12" i="2"/>
  <c r="G11" i="2"/>
  <c r="G14" i="2"/>
  <c r="I19" i="2"/>
  <c r="I18" i="2"/>
  <c r="I10" i="2"/>
  <c r="G18" i="2"/>
  <c r="G16" i="2"/>
  <c r="I12" i="2"/>
  <c r="D18" i="2"/>
  <c r="D11" i="2"/>
  <c r="J22" i="2"/>
  <c r="D9" i="2"/>
  <c r="J8" i="2"/>
  <c r="J9" i="2"/>
  <c r="D13" i="2"/>
  <c r="D16" i="2"/>
  <c r="D12" i="2"/>
  <c r="D10" i="2"/>
  <c r="D20" i="2"/>
  <c r="J12" i="2"/>
  <c r="J11" i="2"/>
  <c r="J15" i="2"/>
  <c r="J19" i="2"/>
  <c r="J16" i="2"/>
  <c r="D14" i="2"/>
  <c r="D22" i="2"/>
  <c r="D17" i="2"/>
  <c r="J17" i="2"/>
  <c r="J20" i="2"/>
  <c r="J10" i="2"/>
  <c r="J13" i="2"/>
  <c r="D8" i="2"/>
  <c r="D21" i="2"/>
  <c r="D15" i="2"/>
  <c r="J21" i="2"/>
  <c r="E20" i="2"/>
  <c r="E11" i="2"/>
  <c r="E21" i="2"/>
  <c r="E9" i="2"/>
  <c r="E8" i="2"/>
  <c r="E13" i="2"/>
  <c r="E16" i="2"/>
  <c r="E12" i="2"/>
  <c r="E18" i="2"/>
  <c r="E19" i="2"/>
  <c r="E17" i="2"/>
  <c r="E14" i="2"/>
  <c r="E10" i="2"/>
  <c r="E15" i="2"/>
  <c r="C10" i="2"/>
  <c r="F21" i="2"/>
  <c r="F11" i="2"/>
  <c r="C16" i="2"/>
  <c r="F16" i="2"/>
  <c r="F20" i="2"/>
  <c r="F19" i="2"/>
  <c r="C9" i="2"/>
  <c r="F14" i="2"/>
  <c r="F12" i="2"/>
  <c r="C12" i="2"/>
  <c r="C11" i="2"/>
  <c r="F9" i="2"/>
  <c r="F13" i="2"/>
  <c r="F10" i="2"/>
  <c r="C21" i="2"/>
  <c r="C20" i="2"/>
  <c r="F17" i="2"/>
  <c r="F22" i="2"/>
  <c r="C19" i="2"/>
  <c r="F15" i="2"/>
  <c r="F18" i="2"/>
  <c r="C22" i="2"/>
  <c r="C17" i="2"/>
  <c r="C15" i="2"/>
  <c r="C18" i="2"/>
  <c r="C13" i="2"/>
  <c r="C8" i="2"/>
</calcChain>
</file>

<file path=xl/sharedStrings.xml><?xml version="1.0" encoding="utf-8"?>
<sst xmlns="http://schemas.openxmlformats.org/spreadsheetml/2006/main" count="362" uniqueCount="220">
  <si>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</si>
  <si>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</si>
  <si>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</si>
  <si>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</si>
  <si>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</si>
  <si>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</si>
  <si>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</si>
  <si>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</si>
  <si>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</si>
  <si>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</si>
  <si>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</si>
  <si>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</si>
  <si>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</si>
  <si>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</si>
  <si>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</si>
  <si>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</si>
  <si>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</si>
  <si>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</si>
  <si>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</si>
  <si>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</si>
  <si>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</si>
  <si>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</si>
  <si>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</si>
  <si>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</si>
  <si>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</si>
  <si>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</si>
  <si>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</si>
  <si>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</si>
  <si>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</si>
  <si>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</si>
  <si>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</si>
  <si>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</si>
  <si>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</si>
  <si>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</si>
  <si>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</si>
  <si>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</si>
  <si>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</si>
  <si>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</si>
  <si>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</si>
  <si>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</si>
  <si>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</si>
  <si>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</si>
  <si>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</si>
  <si>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</si>
  <si>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</si>
  <si>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</si>
  <si>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</si>
  <si>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</si>
  <si>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</si>
  <si>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</si>
  <si>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</si>
  <si>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</si>
  <si>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</si>
  <si>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</si>
  <si>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</si>
  <si>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</si>
  <si>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</si>
  <si>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</si>
  <si>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</si>
  <si>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</si>
  <si>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</si>
  <si>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</si>
  <si>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</si>
  <si>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</si>
  <si>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</si>
  <si>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</si>
  <si>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</si>
  <si>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</si>
  <si>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</si>
  <si>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</si>
  <si>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</si>
  <si>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</si>
  <si>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</si>
  <si>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</si>
  <si>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</si>
  <si>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</si>
  <si>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</si>
  <si>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</si>
  <si>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</si>
  <si>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</si>
  <si>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</si>
  <si>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</si>
  <si>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</si>
  <si>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</si>
  <si>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</si>
  <si>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</si>
  <si>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</si>
  <si>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</si>
  <si>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</si>
  <si>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</si>
  <si>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</si>
  <si>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</si>
  <si>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</si>
  <si>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</si>
  <si>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</si>
  <si>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</si>
  <si>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</si>
  <si>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</si>
  <si>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</si>
  <si>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</si>
  <si>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</si>
  <si>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</si>
  <si>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</si>
  <si>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</si>
  <si>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</si>
  <si>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</si>
  <si>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</si>
  <si>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</si>
  <si>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</si>
  <si>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</si>
  <si>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</si>
  <si>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</si>
  <si>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</si>
  <si>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</si>
  <si>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</si>
  <si>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</si>
  <si>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</si>
  <si>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</si>
  <si>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</si>
  <si>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</si>
  <si>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</si>
  <si>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</si>
  <si>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</si>
  <si>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</si>
  <si>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</si>
  <si>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</si>
  <si>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</si>
  <si>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</si>
  <si>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</si>
  <si>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</si>
  <si>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</si>
  <si>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</si>
  <si>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</si>
  <si>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</si>
  <si>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</si>
  <si>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</si>
  <si>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</si>
  <si>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</si>
  <si>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</si>
  <si>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</si>
  <si>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</si>
  <si>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</si>
  <si>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</si>
  <si>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</si>
  <si>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</si>
  <si>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</si>
  <si>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</si>
  <si>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</si>
  <si>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</si>
  <si>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</si>
  <si>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</si>
  <si>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</si>
  <si>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</si>
  <si>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</si>
  <si>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</si>
  <si>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</si>
  <si>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</si>
  <si>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</si>
  <si>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</si>
  <si>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</si>
  <si>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</si>
  <si>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</si>
  <si>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</si>
  <si>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</si>
  <si>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</si>
  <si>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</si>
  <si>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</si>
  <si>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</si>
  <si>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</si>
  <si>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</si>
  <si>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</si>
  <si>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</si>
  <si>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</si>
  <si>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</si>
  <si>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</si>
  <si>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</si>
  <si>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</si>
  <si>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</si>
  <si>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2</t>
  </si>
  <si>
    <t>3</t>
  </si>
  <si>
    <t>4</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</si>
  <si>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</si>
  <si>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</si>
  <si>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</si>
  <si>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</si>
  <si>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</si>
  <si>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</si>
  <si>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</si>
  <si>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</si>
  <si>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</si>
  <si>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</si>
  <si>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</si>
  <si>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</si>
  <si>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</si>
  <si>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</si>
  <si>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</si>
  <si>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</si>
  <si>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</si>
  <si>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</si>
  <si>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</si>
  <si>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</si>
  <si>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</si>
  <si>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</si>
  <si>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</si>
  <si>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</si>
  <si>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Table 3: Percentage of time in the last six months of life spent at home or in a community setting (by Council Area)</t>
  </si>
  <si>
    <r>
      <t>(Council Area)</t>
    </r>
    <r>
      <rPr>
        <b/>
        <vertAlign val="superscript"/>
        <sz val="12"/>
        <color indexed="12"/>
        <rFont val="Arial"/>
        <family val="2"/>
      </rPr>
      <t>1</t>
    </r>
  </si>
  <si>
    <t>Council Area</t>
  </si>
  <si>
    <t>Figure A1.1: Percentage of last six months of life spent at home or in a community setting</t>
  </si>
  <si>
    <t>(by Health Board of Residence), Scotland</t>
  </si>
  <si>
    <t>Argyll &amp; Bute</t>
  </si>
  <si>
    <t>Dumfries &amp; Galloway</t>
  </si>
  <si>
    <t>Perth &amp; Kinross</t>
  </si>
  <si>
    <t>Figure A1.2: Percentage of last six months of life spent at home or in a community setting</t>
  </si>
  <si>
    <t>(by Health and Social Care Partnership), Scotland</t>
  </si>
  <si>
    <t>Figure A1.3: Percentage of last six months of life spent at home or in a community setting</t>
  </si>
  <si>
    <r>
      <t>by Deprivation Category</t>
    </r>
    <r>
      <rPr>
        <b/>
        <vertAlign val="superscript"/>
        <sz val="12"/>
        <color indexed="12"/>
        <rFont val="Arial"/>
        <family val="2"/>
      </rPr>
      <t>2</t>
    </r>
  </si>
  <si>
    <t>Figure A1.4: Percentage of last six months of life spent at home or in a community setting</t>
  </si>
  <si>
    <t>(by Urban Rural Classification)</t>
  </si>
  <si>
    <t>Please note that the y-axis does not start at zero.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</si>
</sst>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b/>
      <sz val="12"/>
      <color rgb="FFFF0000"/>
      <name val="Arial"/>
      <family val="2"/>
    </font>
    <font>
      <sz val="10"/>
      <name val="Arial"/>
      <family val="2"/>
    </font>
    <font>
      <sz val="10"/>
      <color theme="0"/>
      <name val="Arial"/>
      <family val="2"/>
    </font>
    <font>
      <i/>
      <sz val="9"/>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0" fillId="0" borderId="0"/>
  </cellStyleXfs>
  <cellXfs count="119">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1" fillId="0" borderId="0" xfId="0" applyFont="1" applyFill="1"/>
    <xf numFmtId="0" fontId="6" fillId="0" borderId="0" xfId="0" applyFont="1" applyFill="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1"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7" fillId="2" borderId="0" xfId="0" applyFont="1" applyFill="1"/>
    <xf numFmtId="0" fontId="5" fillId="2" borderId="0" xfId="0" applyFont="1" applyFill="1"/>
    <xf numFmtId="0" fontId="5" fillId="0" borderId="0" xfId="0" applyFont="1"/>
    <xf numFmtId="0" fontId="6" fillId="2" borderId="0" xfId="0" applyFont="1" applyFill="1"/>
    <xf numFmtId="0" fontId="6" fillId="0" borderId="0" xfId="0" quotePrefix="1" applyFont="1"/>
    <xf numFmtId="0" fontId="22" fillId="0" borderId="0" xfId="0" applyFont="1" applyAlignment="1">
      <alignment horizontal="left" indent="5"/>
    </xf>
    <xf numFmtId="0" fontId="21" fillId="0" borderId="0" xfId="0" applyFont="1"/>
    <xf numFmtId="164" fontId="21" fillId="0" borderId="0" xfId="0" applyNumberFormat="1" applyFont="1"/>
    <xf numFmtId="0" fontId="5" fillId="2" borderId="0" xfId="0" applyFont="1" applyFill="1" applyAlignment="1"/>
    <xf numFmtId="0" fontId="19" fillId="0" borderId="0" xfId="0" applyFont="1" applyFill="1" applyAlignment="1">
      <alignment horizontal="left" wrapText="1"/>
    </xf>
    <xf numFmtId="0" fontId="5" fillId="0" borderId="0" xfId="0" applyFont="1" applyFill="1" applyAlignment="1">
      <alignment wrapTex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xf numFmtId="0" fontId="19" fillId="0" borderId="0" xfId="0" applyFont="1" applyFill="1" applyAlignment="1">
      <alignment horizontal="left" vertical="top" wrapText="1"/>
    </xf>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4" fillId="0" borderId="0" xfId="1" applyFill="1" applyBorder="1" applyAlignment="1" applyProtection="1">
      <alignment vertical="top"/>
    </xf>
    <xf numFmtId="0" fontId="12" fillId="0" borderId="0" xfId="0" applyFont="1" applyFill="1" applyAlignment="1">
      <alignment vertical="top"/>
    </xf>
    <xf numFmtId="0" fontId="1" fillId="0" borderId="0" xfId="0" applyFont="1" applyFill="1" applyAlignment="1">
      <alignment vertical="top"/>
    </xf>
    <xf numFmtId="0" fontId="6" fillId="0" borderId="0" xfId="0" applyFont="1" applyFill="1" applyAlignment="1">
      <alignment horizontal="left" vertical="top" wrapText="1"/>
    </xf>
    <xf numFmtId="0" fontId="0" fillId="0" borderId="0" xfId="0" applyFill="1" applyAlignment="1">
      <alignment horizontal="left" vertical="top" wrapText="1"/>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5" fillId="0" borderId="0" xfId="0" applyFont="1" applyFill="1" applyAlignment="1">
      <alignment horizontal="left" indent="1"/>
    </xf>
    <xf numFmtId="0" fontId="0" fillId="0" borderId="0" xfId="0" applyFill="1" applyAlignment="1">
      <alignment horizontal="left" indent="1"/>
    </xf>
    <xf numFmtId="0" fontId="5" fillId="0" borderId="0" xfId="0" applyFont="1" applyFill="1" applyAlignment="1">
      <alignment horizontal="left" wrapText="1" indent="1"/>
    </xf>
    <xf numFmtId="0" fontId="18" fillId="0" borderId="0" xfId="0" applyFont="1" applyFill="1" applyAlignment="1">
      <alignment horizontal="left" indent="1"/>
    </xf>
    <xf numFmtId="0" fontId="15" fillId="0" borderId="0" xfId="1" applyFont="1" applyFill="1" applyAlignment="1" applyProtection="1">
      <alignment horizontal="left" indent="1"/>
    </xf>
    <xf numFmtId="1" fontId="0" fillId="0" borderId="0" xfId="0" applyNumberFormat="1" applyFill="1" applyAlignment="1" applyProtection="1">
      <alignment horizontal="left" indent="1"/>
      <protection locked="0"/>
    </xf>
    <xf numFmtId="165" fontId="0" fillId="0" borderId="0" xfId="0" applyNumberFormat="1" applyFill="1" applyAlignment="1" applyProtection="1">
      <alignment horizontal="left" indent="1"/>
      <protection locked="0"/>
    </xf>
    <xf numFmtId="0" fontId="5" fillId="2" borderId="0" xfId="0" applyFont="1" applyFill="1" applyAlignment="1">
      <alignment horizontal="left" indent="1"/>
    </xf>
    <xf numFmtId="0" fontId="6" fillId="0" borderId="0" xfId="0" applyFont="1" applyAlignment="1">
      <alignment horizontal="left" indent="1"/>
    </xf>
    <xf numFmtId="0" fontId="5" fillId="2" borderId="0" xfId="0" applyFont="1" applyFill="1" applyAlignment="1">
      <alignment horizontal="left" wrapText="1" indent="1"/>
    </xf>
    <xf numFmtId="0" fontId="18" fillId="2" borderId="0" xfId="0" applyFont="1" applyFill="1" applyAlignment="1">
      <alignment horizontal="left" indent="1"/>
    </xf>
    <xf numFmtId="0" fontId="0" fillId="0" borderId="0" xfId="0" applyAlignment="1">
      <alignment horizontal="left" indent="1"/>
    </xf>
    <xf numFmtId="0" fontId="15" fillId="0" borderId="0" xfId="1" applyFont="1" applyAlignment="1" applyProtection="1">
      <alignment horizontal="left" indent="1"/>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389E-2"/>
          <c:w val="0.87540798779462858"/>
          <c:h val="0.80601930327589733"/>
        </c:manualLayout>
      </c:layout>
      <c:lineChart>
        <c:grouping val="standard"/>
        <c:varyColors val="0"/>
        <c:ser>
          <c:idx val="0"/>
          <c:order val="0"/>
          <c:tx>
            <c:strRef>
              <c:f>'Figure A1-1 - HB'!$M$8</c:f>
              <c:strCache>
                <c:ptCount val="1"/>
                <c:pt idx="0">
                  <c:v>Scotland</c:v>
                </c:pt>
              </c:strCache>
            </c:strRef>
          </c:tx>
          <c:marker>
            <c:symbol val="none"/>
          </c:marker>
          <c:cat>
            <c:numRef>
              <c:f>[0]!figurea11year</c:f>
              <c:numCache>
                <c:formatCode>General</c:formatCode>
                <c:ptCount val="9"/>
                <c:pt idx="0">
                  <c:v>0</c:v>
                </c:pt>
                <c:pt idx="1">
                  <c:v>0</c:v>
                </c:pt>
                <c:pt idx="2">
                  <c:v>0</c:v>
                </c:pt>
                <c:pt idx="3">
                  <c:v>0</c:v>
                </c:pt>
                <c:pt idx="4">
                  <c:v>0</c:v>
                </c:pt>
                <c:pt idx="5">
                  <c:v>0</c:v>
                </c:pt>
                <c:pt idx="6">
                  <c:v>0</c:v>
                </c:pt>
                <c:pt idx="7">
                  <c:v>0</c:v>
                </c:pt>
                <c:pt idx="8">
                  <c:v>0</c:v>
                </c:pt>
              </c:numCache>
            </c:numRef>
          </c:cat>
          <c:val>
            <c:numRef>
              <c:f>[0]!figurea11percent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E197-4725-BC3F-B00ECA24AE9D}"/>
            </c:ext>
          </c:extLst>
        </c:ser>
        <c:dLbls>
          <c:showLegendKey val="0"/>
          <c:showVal val="0"/>
          <c:showCatName val="0"/>
          <c:showSerName val="0"/>
          <c:showPercent val="0"/>
          <c:showBubbleSize val="0"/>
        </c:dLbls>
        <c:smooth val="0"/>
        <c:axId val="55166464"/>
        <c:axId val="55496704"/>
      </c:lineChart>
      <c:catAx>
        <c:axId val="55166464"/>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55496704"/>
        <c:crosses val="autoZero"/>
        <c:auto val="1"/>
        <c:lblAlgn val="ctr"/>
        <c:lblOffset val="100"/>
        <c:noMultiLvlLbl val="0"/>
      </c:catAx>
      <c:valAx>
        <c:axId val="55496704"/>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45"/>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55166464"/>
        <c:crosses val="autoZero"/>
        <c:crossBetween val="midCat"/>
        <c:majorUnit val="5"/>
        <c:minorUnit val="5"/>
      </c:valAx>
    </c:plotArea>
    <c:plotVisOnly val="1"/>
    <c:dispBlanksAs val="gap"/>
    <c:showDLblsOverMax val="0"/>
  </c:chart>
  <c:spPr>
    <a:ln>
      <a:noFill/>
    </a:ln>
  </c:spPr>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A1-2 - HSCP'!$M$8</c:f>
              <c:strCache>
                <c:ptCount val="1"/>
                <c:pt idx="0">
                  <c:v>Scotland</c:v>
                </c:pt>
              </c:strCache>
            </c:strRef>
          </c:tx>
          <c:marker>
            <c:symbol val="none"/>
          </c:marker>
          <c:cat>
            <c:numRef>
              <c:f>[0]!figurea12year</c:f>
              <c:numCache>
                <c:formatCode>General</c:formatCode>
                <c:ptCount val="9"/>
                <c:pt idx="0">
                  <c:v>0</c:v>
                </c:pt>
                <c:pt idx="1">
                  <c:v>0</c:v>
                </c:pt>
                <c:pt idx="2">
                  <c:v>0</c:v>
                </c:pt>
                <c:pt idx="3">
                  <c:v>0</c:v>
                </c:pt>
                <c:pt idx="4">
                  <c:v>0</c:v>
                </c:pt>
                <c:pt idx="5">
                  <c:v>0</c:v>
                </c:pt>
                <c:pt idx="6">
                  <c:v>0</c:v>
                </c:pt>
                <c:pt idx="7">
                  <c:v>0</c:v>
                </c:pt>
                <c:pt idx="8">
                  <c:v>0</c:v>
                </c:pt>
              </c:numCache>
            </c:numRef>
          </c:cat>
          <c:val>
            <c:numRef>
              <c:f>[0]!figurea12percent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099-4236-8B93-8245B2FC66DD}"/>
            </c:ext>
          </c:extLst>
        </c:ser>
        <c:dLbls>
          <c:showLegendKey val="0"/>
          <c:showVal val="0"/>
          <c:showCatName val="0"/>
          <c:showSerName val="0"/>
          <c:showPercent val="0"/>
          <c:showBubbleSize val="0"/>
        </c:dLbls>
        <c:smooth val="0"/>
        <c:axId val="70439296"/>
        <c:axId val="70541312"/>
      </c:lineChart>
      <c:catAx>
        <c:axId val="70439296"/>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0541312"/>
        <c:crosses val="autoZero"/>
        <c:auto val="1"/>
        <c:lblAlgn val="ctr"/>
        <c:lblOffset val="100"/>
        <c:noMultiLvlLbl val="0"/>
      </c:catAx>
      <c:valAx>
        <c:axId val="70541312"/>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043929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A1-3 - Deprivation'!$M$8</c:f>
              <c:strCache>
                <c:ptCount val="1"/>
                <c:pt idx="0">
                  <c:v>1 - Most Deprived</c:v>
                </c:pt>
              </c:strCache>
            </c:strRef>
          </c:tx>
          <c:marker>
            <c:symbol val="none"/>
          </c:marker>
          <c:cat>
            <c:numRef>
              <c:f>[0]!figurea13year</c:f>
              <c:numCache>
                <c:formatCode>General</c:formatCode>
                <c:ptCount val="9"/>
                <c:pt idx="0">
                  <c:v>0</c:v>
                </c:pt>
                <c:pt idx="1">
                  <c:v>0</c:v>
                </c:pt>
                <c:pt idx="2">
                  <c:v>0</c:v>
                </c:pt>
                <c:pt idx="3">
                  <c:v>0</c:v>
                </c:pt>
                <c:pt idx="4">
                  <c:v>0</c:v>
                </c:pt>
                <c:pt idx="5">
                  <c:v>0</c:v>
                </c:pt>
                <c:pt idx="6">
                  <c:v>0</c:v>
                </c:pt>
                <c:pt idx="7">
                  <c:v>0</c:v>
                </c:pt>
                <c:pt idx="8">
                  <c:v>0</c:v>
                </c:pt>
              </c:numCache>
            </c:numRef>
          </c:cat>
          <c:val>
            <c:numRef>
              <c:f>[0]!figurea13percent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EB4-4FFF-9325-202A0963D641}"/>
            </c:ext>
          </c:extLst>
        </c:ser>
        <c:dLbls>
          <c:showLegendKey val="0"/>
          <c:showVal val="0"/>
          <c:showCatName val="0"/>
          <c:showSerName val="0"/>
          <c:showPercent val="0"/>
          <c:showBubbleSize val="0"/>
        </c:dLbls>
        <c:smooth val="0"/>
        <c:axId val="73493504"/>
        <c:axId val="73610368"/>
      </c:lineChart>
      <c:catAx>
        <c:axId val="73493504"/>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3610368"/>
        <c:crosses val="autoZero"/>
        <c:auto val="1"/>
        <c:lblAlgn val="ctr"/>
        <c:lblOffset val="100"/>
        <c:noMultiLvlLbl val="0"/>
      </c:catAx>
      <c:valAx>
        <c:axId val="73610368"/>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3493504"/>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A1-4 - Urban Rural'!$M$8</c:f>
              <c:strCache>
                <c:ptCount val="1"/>
                <c:pt idx="0">
                  <c:v>1 Large Urban Areas</c:v>
                </c:pt>
              </c:strCache>
            </c:strRef>
          </c:tx>
          <c:marker>
            <c:symbol val="none"/>
          </c:marker>
          <c:cat>
            <c:numRef>
              <c:f>[0]!figurea14year</c:f>
              <c:numCache>
                <c:formatCode>General</c:formatCode>
                <c:ptCount val="9"/>
                <c:pt idx="0">
                  <c:v>0</c:v>
                </c:pt>
                <c:pt idx="1">
                  <c:v>0</c:v>
                </c:pt>
                <c:pt idx="2">
                  <c:v>0</c:v>
                </c:pt>
                <c:pt idx="3">
                  <c:v>0</c:v>
                </c:pt>
                <c:pt idx="4">
                  <c:v>0</c:v>
                </c:pt>
                <c:pt idx="5">
                  <c:v>0</c:v>
                </c:pt>
                <c:pt idx="6">
                  <c:v>0</c:v>
                </c:pt>
                <c:pt idx="7">
                  <c:v>0</c:v>
                </c:pt>
                <c:pt idx="8">
                  <c:v>0</c:v>
                </c:pt>
              </c:numCache>
            </c:numRef>
          </c:cat>
          <c:val>
            <c:numRef>
              <c:f>[0]!figurea14percent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27-46AE-9EDB-0D266D76129D}"/>
            </c:ext>
          </c:extLst>
        </c:ser>
        <c:dLbls>
          <c:showLegendKey val="0"/>
          <c:showVal val="0"/>
          <c:showCatName val="0"/>
          <c:showSerName val="0"/>
          <c:showPercent val="0"/>
          <c:showBubbleSize val="0"/>
        </c:dLbls>
        <c:smooth val="0"/>
        <c:axId val="200614656"/>
        <c:axId val="200616576"/>
      </c:lineChart>
      <c:catAx>
        <c:axId val="200614656"/>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200616576"/>
        <c:crosses val="autoZero"/>
        <c:auto val="1"/>
        <c:lblAlgn val="ctr"/>
        <c:lblOffset val="100"/>
        <c:noMultiLvlLbl val="0"/>
      </c:catAx>
      <c:valAx>
        <c:axId val="200616576"/>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20061465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Drop" dropStyle="combo" dx="16" fmlaLink="$A$5" fmlaRange="calculation!$B$12:$B$26" noThreeD="1" sel="1" val="0"/>
</file>

<file path=xl/ctrlProps/ctrlProp2.xml><?xml version="1.0" encoding="utf-8"?>
<formControlPr xmlns="http://schemas.microsoft.com/office/spreadsheetml/2009/9/main" objectType="Drop" dropStyle="combo" dx="16" fmlaLink="$A$5" fmlaRange="calculation!$B$28:$B$59" noThreeD="1" sel="1" val="0"/>
</file>

<file path=xl/ctrlProps/ctrlProp3.xml><?xml version="1.0" encoding="utf-8"?>
<formControlPr xmlns="http://schemas.microsoft.com/office/spreadsheetml/2009/9/main" objectType="Drop" dropStyle="combo" dx="16" fmlaLink="$A$5" fmlaRange="calculation!$B$61:$B$65" noThreeD="1" sel="1" val="0"/>
</file>

<file path=xl/ctrlProps/ctrlProp4.xml><?xml version="1.0" encoding="utf-8"?>
<formControlPr xmlns="http://schemas.microsoft.com/office/spreadsheetml/2009/9/main" objectType="Drop" dropStyle="combo" dx="16" fmlaLink="$A$5" fmlaRange="calculation!$B$67:$B$72"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32</xdr:row>
      <xdr:rowOff>85725</xdr:rowOff>
    </xdr:to>
    <xdr:sp macro="" textlink="">
      <xdr:nvSpPr>
        <xdr:cNvPr id="3" name="Text Box 1"/>
        <xdr:cNvSpPr txBox="1">
          <a:spLocks noChangeArrowheads="1"/>
        </xdr:cNvSpPr>
      </xdr:nvSpPr>
      <xdr:spPr bwMode="auto">
        <a:xfrm>
          <a:off x="381000" y="4095751"/>
          <a:ext cx="6372225" cy="25336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www.scotland.gov.uk/Topics/Statistics/SIMD/" TargetMode="Externa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8.bin"/><Relationship Id="rId4" Type="http://schemas.openxmlformats.org/officeDocument/2006/relationships/hyperlink" Target="http://www.gov.scot/Topics/Statistics/About/Methodology/UrbanRuralClassification"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zoomScaleNormal="100" workbookViewId="0"/>
  </sheetViews>
  <sheetFormatPr defaultRowHeight="15" customHeight="1" x14ac:dyDescent="0.2"/>
  <cols>
    <col min="1" max="1" width="1.7109375" style="91" customWidth="1"/>
    <col min="2" max="2" width="3.42578125" style="91" customWidth="1"/>
    <col min="3" max="16384" width="9.140625" style="91"/>
  </cols>
  <sheetData>
    <row r="1" spans="2:16" ht="15" customHeight="1" x14ac:dyDescent="0.2">
      <c r="B1" s="90" t="str">
        <f>""</f>
        <v/>
      </c>
      <c r="C1" s="90"/>
      <c r="D1" s="90"/>
      <c r="E1" s="90"/>
      <c r="F1" s="90"/>
      <c r="G1" s="90"/>
      <c r="H1" s="90"/>
      <c r="I1" s="90"/>
      <c r="J1" s="90"/>
      <c r="K1" s="90"/>
      <c r="L1" s="90"/>
      <c r="M1" s="90"/>
      <c r="N1" s="90"/>
      <c r="O1" s="90"/>
    </row>
    <row r="2" spans="2:16" ht="15" customHeight="1" x14ac:dyDescent="0.2">
      <c r="B2" s="92" t="s">
        <v>114</v>
      </c>
    </row>
    <row r="4" spans="2:16" ht="15" customHeight="1" x14ac:dyDescent="0.2">
      <c r="B4" s="93" t="s">
        <v>154</v>
      </c>
    </row>
    <row r="5" spans="2:16" ht="15" customHeight="1" x14ac:dyDescent="0.2">
      <c r="B5" s="94"/>
      <c r="C5" s="94"/>
      <c r="D5" s="94"/>
      <c r="E5" s="94"/>
      <c r="F5" s="94"/>
      <c r="G5" s="94"/>
      <c r="H5" s="94"/>
      <c r="I5" s="94"/>
      <c r="J5" s="94"/>
      <c r="K5" s="94"/>
      <c r="L5" s="94"/>
      <c r="M5" s="94"/>
      <c r="N5" s="94"/>
      <c r="O5" s="94"/>
      <c r="P5" s="94"/>
    </row>
    <row r="6" spans="2:16" ht="15" customHeight="1" x14ac:dyDescent="0.2">
      <c r="B6" s="95" t="s">
        <v>138</v>
      </c>
      <c r="O6" s="96"/>
      <c r="P6" s="94"/>
    </row>
    <row r="7" spans="2:16" ht="15" customHeight="1" x14ac:dyDescent="0.2">
      <c r="B7" s="95" t="s">
        <v>148</v>
      </c>
      <c r="O7" s="96"/>
      <c r="P7" s="94"/>
    </row>
    <row r="8" spans="2:16" s="98" customFormat="1" ht="15" customHeight="1" x14ac:dyDescent="0.2">
      <c r="B8" s="97" t="s">
        <v>205</v>
      </c>
      <c r="C8" s="91"/>
      <c r="D8" s="91"/>
      <c r="E8" s="91"/>
      <c r="F8" s="91"/>
      <c r="G8" s="91"/>
      <c r="H8" s="91"/>
      <c r="I8" s="91"/>
      <c r="J8" s="91"/>
      <c r="K8" s="91"/>
      <c r="L8" s="91"/>
      <c r="M8" s="91"/>
      <c r="N8" s="91"/>
      <c r="O8" s="91"/>
      <c r="P8" s="94"/>
    </row>
    <row r="9" spans="2:16" ht="15" customHeight="1" x14ac:dyDescent="0.2">
      <c r="B9" s="95" t="s">
        <v>166</v>
      </c>
      <c r="P9" s="94"/>
    </row>
    <row r="10" spans="2:16" ht="15" customHeight="1" x14ac:dyDescent="0.2">
      <c r="B10" s="95" t="s">
        <v>167</v>
      </c>
      <c r="C10" s="95"/>
      <c r="D10" s="95"/>
      <c r="E10" s="95"/>
      <c r="F10" s="95"/>
      <c r="G10" s="95"/>
      <c r="H10" s="95"/>
      <c r="I10" s="95"/>
      <c r="J10" s="95"/>
      <c r="K10" s="95"/>
      <c r="L10" s="95"/>
      <c r="M10" s="95"/>
      <c r="N10" s="95"/>
      <c r="O10" s="95"/>
      <c r="P10" s="94"/>
    </row>
    <row r="11" spans="2:16" ht="15" customHeight="1" x14ac:dyDescent="0.2">
      <c r="B11" s="95" t="s">
        <v>168</v>
      </c>
      <c r="C11" s="95"/>
      <c r="D11" s="95"/>
      <c r="E11" s="95"/>
      <c r="F11" s="95"/>
      <c r="G11" s="95"/>
      <c r="H11" s="95"/>
      <c r="I11" s="95"/>
      <c r="J11" s="95"/>
      <c r="K11" s="95"/>
      <c r="L11" s="95"/>
      <c r="M11" s="95"/>
      <c r="N11" s="95"/>
      <c r="O11" s="95"/>
      <c r="P11" s="94"/>
    </row>
    <row r="13" spans="2:16" ht="15" customHeight="1" x14ac:dyDescent="0.2">
      <c r="B13" s="99" t="s">
        <v>113</v>
      </c>
    </row>
    <row r="14" spans="2:16" ht="15" customHeight="1" x14ac:dyDescent="0.2">
      <c r="B14" s="99"/>
    </row>
    <row r="15" spans="2:16" ht="39" customHeight="1" x14ac:dyDescent="0.2">
      <c r="B15" s="41" t="s">
        <v>14</v>
      </c>
      <c r="C15" s="100"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101"/>
      <c r="E15" s="101"/>
      <c r="F15" s="101"/>
      <c r="G15" s="101"/>
      <c r="H15" s="101"/>
      <c r="I15" s="101"/>
      <c r="J15" s="101"/>
      <c r="K15" s="101"/>
      <c r="L15" s="101"/>
      <c r="M15" s="101"/>
      <c r="N15" s="101"/>
      <c r="O15" s="101"/>
      <c r="P15" s="101"/>
    </row>
    <row r="16" spans="2:16" ht="15" customHeight="1" x14ac:dyDescent="0.2">
      <c r="B16" s="41"/>
      <c r="C16" s="102" t="s">
        <v>162</v>
      </c>
      <c r="D16" s="103"/>
      <c r="E16" s="103"/>
      <c r="F16" s="103"/>
      <c r="G16" s="103"/>
      <c r="H16" s="103"/>
      <c r="I16" s="103"/>
      <c r="J16" s="103"/>
      <c r="K16" s="103"/>
      <c r="L16" s="103"/>
      <c r="M16" s="103"/>
      <c r="N16" s="103"/>
      <c r="O16" s="103"/>
      <c r="P16" s="103"/>
    </row>
    <row r="17" spans="2:16" ht="15" customHeight="1" x14ac:dyDescent="0.2">
      <c r="C17" s="100"/>
      <c r="D17" s="101"/>
      <c r="E17" s="101"/>
      <c r="F17" s="101"/>
      <c r="G17" s="101"/>
      <c r="H17" s="101"/>
      <c r="I17" s="101"/>
      <c r="J17" s="101"/>
      <c r="K17" s="101"/>
      <c r="L17" s="101"/>
      <c r="M17" s="101"/>
      <c r="N17" s="101"/>
      <c r="O17" s="101"/>
      <c r="P17" s="101"/>
    </row>
    <row r="18" spans="2:16" ht="26.25" customHeight="1" x14ac:dyDescent="0.2">
      <c r="B18" s="42" t="s">
        <v>87</v>
      </c>
      <c r="C18" s="100" t="s">
        <v>144</v>
      </c>
      <c r="D18" s="101"/>
      <c r="E18" s="101"/>
      <c r="F18" s="101"/>
      <c r="G18" s="101"/>
      <c r="H18" s="101"/>
      <c r="I18" s="101"/>
      <c r="J18" s="101"/>
      <c r="K18" s="101"/>
      <c r="L18" s="101"/>
      <c r="M18" s="101"/>
      <c r="N18" s="101"/>
      <c r="O18" s="101"/>
      <c r="P18" s="101"/>
    </row>
    <row r="19" spans="2:16" ht="15" customHeight="1" x14ac:dyDescent="0.2">
      <c r="B19" s="41"/>
      <c r="C19" s="103"/>
      <c r="D19" s="103"/>
      <c r="E19" s="103"/>
      <c r="F19" s="103"/>
      <c r="G19" s="103"/>
      <c r="H19" s="103"/>
      <c r="I19" s="103"/>
      <c r="J19" s="103"/>
      <c r="K19" s="103"/>
      <c r="L19" s="103"/>
      <c r="M19" s="103"/>
      <c r="N19" s="103"/>
      <c r="O19" s="103"/>
      <c r="P19" s="103"/>
    </row>
    <row r="20" spans="2:16" ht="15" customHeight="1" x14ac:dyDescent="0.2">
      <c r="B20" s="41"/>
      <c r="C20" s="103"/>
      <c r="D20" s="103"/>
      <c r="E20" s="103"/>
      <c r="F20" s="103"/>
      <c r="G20" s="103"/>
      <c r="H20" s="103"/>
      <c r="I20" s="103"/>
      <c r="J20" s="103"/>
      <c r="K20" s="103"/>
      <c r="L20" s="103"/>
      <c r="M20" s="103"/>
      <c r="N20" s="103"/>
      <c r="O20" s="103"/>
      <c r="P20" s="103"/>
    </row>
    <row r="21" spans="2:16" ht="15" customHeight="1" x14ac:dyDescent="0.2">
      <c r="B21" s="41"/>
      <c r="C21" s="103"/>
      <c r="D21" s="103"/>
      <c r="E21" s="103"/>
      <c r="F21" s="103"/>
      <c r="G21" s="103"/>
      <c r="H21" s="103"/>
      <c r="I21" s="103"/>
      <c r="J21" s="103"/>
      <c r="K21" s="103"/>
      <c r="L21" s="103"/>
      <c r="M21" s="103"/>
      <c r="N21" s="103"/>
      <c r="O21" s="103"/>
      <c r="P21" s="103"/>
    </row>
    <row r="22" spans="2:16" ht="15" customHeight="1" x14ac:dyDescent="0.2">
      <c r="B22" s="41"/>
      <c r="C22" s="103"/>
      <c r="D22" s="103"/>
      <c r="E22" s="103"/>
      <c r="F22" s="103"/>
      <c r="G22" s="103"/>
      <c r="H22" s="103"/>
      <c r="I22" s="103"/>
      <c r="J22" s="103"/>
      <c r="K22" s="103"/>
      <c r="L22" s="103"/>
      <c r="M22" s="103"/>
      <c r="N22" s="103"/>
      <c r="O22" s="103"/>
      <c r="P22" s="103"/>
    </row>
    <row r="23" spans="2:16" ht="15" customHeight="1" x14ac:dyDescent="0.2">
      <c r="B23" s="41"/>
      <c r="C23" s="103"/>
      <c r="D23" s="103"/>
      <c r="E23" s="103"/>
      <c r="F23" s="103"/>
      <c r="G23" s="103"/>
      <c r="H23" s="103"/>
      <c r="I23" s="103"/>
      <c r="J23" s="103"/>
      <c r="K23" s="103"/>
      <c r="L23" s="103"/>
      <c r="M23" s="103"/>
      <c r="N23" s="103"/>
      <c r="O23" s="103"/>
      <c r="P23" s="103"/>
    </row>
    <row r="24" spans="2:16" ht="15" customHeight="1" x14ac:dyDescent="0.2">
      <c r="B24" s="41"/>
      <c r="C24" s="103"/>
      <c r="D24" s="103"/>
      <c r="E24" s="103"/>
      <c r="F24" s="103"/>
      <c r="G24" s="103"/>
      <c r="H24" s="103"/>
      <c r="I24" s="103"/>
      <c r="J24" s="103"/>
      <c r="K24" s="103"/>
      <c r="L24" s="103"/>
      <c r="M24" s="103"/>
      <c r="N24" s="103"/>
      <c r="O24" s="103"/>
      <c r="P24" s="103"/>
    </row>
    <row r="25" spans="2:16" ht="15" customHeight="1" x14ac:dyDescent="0.2">
      <c r="B25" s="41"/>
      <c r="C25" s="103"/>
      <c r="D25" s="103"/>
      <c r="E25" s="103"/>
      <c r="F25" s="103"/>
      <c r="G25" s="103"/>
      <c r="H25" s="103"/>
      <c r="I25" s="103"/>
      <c r="J25" s="103"/>
      <c r="K25" s="103"/>
      <c r="L25" s="103"/>
      <c r="M25" s="103"/>
      <c r="N25" s="103"/>
      <c r="O25" s="103"/>
      <c r="P25" s="103"/>
    </row>
    <row r="26" spans="2:16" ht="15" customHeight="1" x14ac:dyDescent="0.2">
      <c r="B26" s="41"/>
      <c r="C26" s="103"/>
      <c r="D26" s="103"/>
      <c r="E26" s="103"/>
      <c r="F26" s="103"/>
      <c r="G26" s="103"/>
      <c r="H26" s="103"/>
      <c r="I26" s="103"/>
      <c r="J26" s="103"/>
      <c r="K26" s="103"/>
      <c r="L26" s="103"/>
      <c r="M26" s="103"/>
      <c r="N26" s="103"/>
      <c r="O26" s="103"/>
      <c r="P26" s="103"/>
    </row>
    <row r="27" spans="2:16" ht="15" customHeight="1" x14ac:dyDescent="0.2">
      <c r="B27" s="41"/>
      <c r="C27" s="103"/>
      <c r="D27" s="103"/>
      <c r="E27" s="103"/>
      <c r="F27" s="103"/>
      <c r="G27" s="103"/>
      <c r="H27" s="103"/>
      <c r="I27" s="103"/>
      <c r="J27" s="103"/>
      <c r="K27" s="103"/>
      <c r="L27" s="103"/>
      <c r="M27" s="103"/>
      <c r="N27" s="103"/>
      <c r="O27" s="103"/>
      <c r="P27" s="103"/>
    </row>
    <row r="28" spans="2:16" ht="15" customHeight="1" x14ac:dyDescent="0.2">
      <c r="B28" s="41"/>
      <c r="C28" s="103"/>
      <c r="D28" s="103"/>
      <c r="E28" s="103"/>
      <c r="F28" s="103"/>
      <c r="G28" s="103"/>
      <c r="H28" s="103"/>
      <c r="I28" s="103"/>
      <c r="J28" s="103"/>
      <c r="K28" s="103"/>
      <c r="L28" s="103"/>
      <c r="M28" s="103"/>
      <c r="N28" s="103"/>
      <c r="O28" s="103"/>
      <c r="P28" s="103"/>
    </row>
    <row r="29" spans="2:16" ht="15" customHeight="1" x14ac:dyDescent="0.2">
      <c r="B29" s="41"/>
      <c r="C29" s="103"/>
      <c r="D29" s="103"/>
      <c r="E29" s="103"/>
      <c r="F29" s="103"/>
      <c r="G29" s="103"/>
      <c r="H29" s="103"/>
      <c r="I29" s="103"/>
      <c r="J29" s="103"/>
      <c r="K29" s="103"/>
      <c r="L29" s="103"/>
      <c r="M29" s="103"/>
      <c r="N29" s="103"/>
      <c r="O29" s="103"/>
      <c r="P29" s="103"/>
    </row>
    <row r="30" spans="2:16" ht="15" customHeight="1" x14ac:dyDescent="0.2">
      <c r="B30" s="41"/>
      <c r="C30" s="103"/>
      <c r="D30" s="103"/>
      <c r="E30" s="103"/>
      <c r="F30" s="103"/>
      <c r="G30" s="103"/>
      <c r="H30" s="103"/>
      <c r="I30" s="103"/>
      <c r="J30" s="103"/>
      <c r="K30" s="103"/>
      <c r="L30" s="103"/>
      <c r="M30" s="103"/>
      <c r="N30" s="103"/>
      <c r="O30" s="103"/>
      <c r="P30" s="103"/>
    </row>
    <row r="31" spans="2:16" ht="15" customHeight="1" x14ac:dyDescent="0.2">
      <c r="B31" s="41"/>
      <c r="C31" s="103"/>
      <c r="D31" s="103"/>
      <c r="E31" s="103"/>
      <c r="F31" s="103"/>
      <c r="G31" s="103"/>
      <c r="H31" s="103"/>
      <c r="I31" s="103"/>
      <c r="J31" s="103"/>
      <c r="K31" s="103"/>
      <c r="L31" s="103"/>
      <c r="M31" s="103"/>
      <c r="N31" s="103"/>
      <c r="O31" s="103"/>
      <c r="P31" s="103"/>
    </row>
    <row r="32" spans="2:16" ht="15" customHeight="1" x14ac:dyDescent="0.2">
      <c r="B32" s="41"/>
      <c r="C32" s="103"/>
      <c r="D32" s="103"/>
      <c r="E32" s="103"/>
      <c r="F32" s="103"/>
      <c r="G32" s="103"/>
      <c r="H32" s="103"/>
      <c r="I32" s="103"/>
      <c r="J32" s="103"/>
      <c r="K32" s="103"/>
      <c r="L32" s="103"/>
      <c r="M32" s="103"/>
      <c r="N32" s="103"/>
      <c r="O32" s="103"/>
      <c r="P32" s="103"/>
    </row>
    <row r="33" spans="1:16" ht="15" customHeight="1" x14ac:dyDescent="0.2">
      <c r="B33" s="41"/>
      <c r="C33" s="103"/>
      <c r="D33" s="103"/>
      <c r="E33" s="103"/>
      <c r="F33" s="103"/>
      <c r="G33" s="103"/>
      <c r="H33" s="103"/>
      <c r="I33" s="103"/>
      <c r="J33" s="103"/>
      <c r="K33" s="103"/>
      <c r="L33" s="103"/>
      <c r="M33" s="103"/>
      <c r="N33" s="103"/>
      <c r="O33" s="103"/>
      <c r="P33" s="103"/>
    </row>
    <row r="34" spans="1:16" ht="15" customHeight="1" x14ac:dyDescent="0.2">
      <c r="B34" s="41"/>
      <c r="C34" s="103"/>
      <c r="D34" s="103"/>
      <c r="E34" s="103"/>
      <c r="F34" s="103"/>
      <c r="G34" s="103"/>
      <c r="H34" s="103"/>
      <c r="I34" s="103"/>
      <c r="J34" s="103"/>
      <c r="K34" s="103"/>
      <c r="L34" s="103"/>
      <c r="M34" s="103"/>
      <c r="N34" s="103"/>
      <c r="O34" s="103"/>
      <c r="P34" s="103"/>
    </row>
    <row r="35" spans="1:16" ht="15" customHeight="1" x14ac:dyDescent="0.2">
      <c r="B35" s="42" t="s">
        <v>161</v>
      </c>
      <c r="C35" s="104" t="s">
        <v>88</v>
      </c>
      <c r="D35" s="103"/>
      <c r="E35" s="103"/>
      <c r="F35" s="103"/>
      <c r="G35" s="103"/>
      <c r="H35" s="103"/>
      <c r="I35" s="103"/>
      <c r="J35" s="103"/>
      <c r="K35" s="103"/>
      <c r="L35" s="103"/>
      <c r="M35" s="103"/>
      <c r="N35" s="103"/>
      <c r="O35" s="103"/>
      <c r="P35" s="103"/>
    </row>
    <row r="37" spans="1:16" ht="15" customHeight="1" x14ac:dyDescent="0.2">
      <c r="B37" s="42" t="s">
        <v>152</v>
      </c>
      <c r="C37" s="91" t="s">
        <v>115</v>
      </c>
    </row>
    <row r="38" spans="1:16" ht="15" customHeight="1" x14ac:dyDescent="0.2">
      <c r="B38" s="41"/>
      <c r="C38" s="95" t="s">
        <v>13</v>
      </c>
      <c r="D38" s="95"/>
      <c r="E38" s="95"/>
      <c r="F38" s="95"/>
      <c r="G38" s="95"/>
      <c r="H38" s="95"/>
      <c r="I38" s="95"/>
      <c r="J38" s="95"/>
      <c r="K38" s="95"/>
    </row>
    <row r="39" spans="1:16" ht="15" customHeight="1" x14ac:dyDescent="0.2">
      <c r="B39" s="44"/>
      <c r="C39" s="45" t="s">
        <v>134</v>
      </c>
      <c r="D39" s="46"/>
      <c r="E39" s="105"/>
      <c r="F39" s="105"/>
      <c r="G39" s="105"/>
      <c r="H39" s="105"/>
      <c r="I39" s="105"/>
      <c r="J39" s="105"/>
      <c r="K39" s="105"/>
      <c r="L39" s="105"/>
    </row>
    <row r="40" spans="1:16" ht="15" customHeight="1" x14ac:dyDescent="0.2">
      <c r="B40" s="47"/>
      <c r="C40" s="103"/>
    </row>
    <row r="41" spans="1:16" ht="28.5" customHeight="1" x14ac:dyDescent="0.2">
      <c r="A41" s="41"/>
      <c r="B41" s="42" t="s">
        <v>112</v>
      </c>
      <c r="C41" s="100" t="s">
        <v>151</v>
      </c>
      <c r="D41" s="101"/>
      <c r="E41" s="101"/>
      <c r="F41" s="101"/>
      <c r="G41" s="101"/>
      <c r="H41" s="101"/>
      <c r="I41" s="101"/>
      <c r="J41" s="101"/>
      <c r="K41" s="101"/>
      <c r="L41" s="101"/>
      <c r="M41" s="101"/>
      <c r="N41" s="101"/>
      <c r="O41" s="101"/>
      <c r="P41" s="101"/>
    </row>
    <row r="42" spans="1:16" ht="15" customHeight="1" x14ac:dyDescent="0.2">
      <c r="A42" s="41"/>
      <c r="B42" s="41"/>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T67"/>
  <sheetViews>
    <sheetView showGridLines="0" zoomScaleNormal="100" zoomScaleSheetLayoutView="100" workbookViewId="0"/>
  </sheetViews>
  <sheetFormatPr defaultRowHeight="15" customHeight="1"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8" width="9.140625" style="3"/>
    <col min="21" max="16384" width="9.140625" style="3"/>
  </cols>
  <sheetData>
    <row r="1" spans="2:13" ht="15" customHeight="1" x14ac:dyDescent="0.25">
      <c r="B1" s="84" t="str">
        <f>Notes!B1:O1</f>
        <v/>
      </c>
      <c r="C1" s="84"/>
      <c r="D1" s="84"/>
      <c r="E1" s="84"/>
      <c r="F1" s="84"/>
      <c r="G1" s="84"/>
      <c r="H1" s="84"/>
      <c r="I1" s="84"/>
    </row>
    <row r="2" spans="2:13" ht="15" customHeight="1" x14ac:dyDescent="0.25">
      <c r="B2" s="4" t="s">
        <v>135</v>
      </c>
      <c r="I2" s="23"/>
      <c r="J2" s="23"/>
      <c r="K2" s="23"/>
    </row>
    <row r="3" spans="2:13" ht="15" customHeight="1" x14ac:dyDescent="0.25">
      <c r="B3" s="4" t="s">
        <v>160</v>
      </c>
      <c r="I3" s="23"/>
      <c r="J3" s="23"/>
      <c r="K3" s="23"/>
    </row>
    <row r="4" spans="2:13" ht="15" customHeight="1" x14ac:dyDescent="0.25">
      <c r="B4" s="4"/>
      <c r="I4" s="23"/>
      <c r="J4" s="23"/>
      <c r="K4" s="23"/>
    </row>
    <row r="5" spans="2:13" ht="15" customHeight="1" x14ac:dyDescent="0.2">
      <c r="G5" s="10" t="s">
        <v>12</v>
      </c>
      <c r="I5" s="23"/>
      <c r="J5" s="23"/>
      <c r="K5" s="48"/>
    </row>
    <row r="6" spans="2:13" ht="15" customHeight="1" x14ac:dyDescent="0.2">
      <c r="C6" s="38"/>
      <c r="D6" s="38"/>
      <c r="E6" s="38"/>
      <c r="F6" s="38"/>
      <c r="G6" s="38"/>
      <c r="H6" s="38"/>
      <c r="I6" s="38"/>
      <c r="J6" s="38"/>
      <c r="K6" s="38"/>
    </row>
    <row r="7" spans="2:13" ht="15" customHeight="1" x14ac:dyDescent="0.2">
      <c r="B7" s="49" t="s">
        <v>89</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40"/>
      <c r="M7" s="50"/>
    </row>
    <row r="8" spans="2:13" ht="15" customHeight="1" x14ac:dyDescent="0.2">
      <c r="B8" s="51" t="s">
        <v>200</v>
      </c>
      <c r="C8" s="52" t="e">
        <f ca="1">VLOOKUP(CONCATENATE(LEFT(C$7, 7), "hb", "NHS ", $B8), [0]!data_range, 5, FALSE)</f>
        <v>#REF!</v>
      </c>
      <c r="D8" s="52" t="e">
        <f ca="1">VLOOKUP(CONCATENATE(LEFT(D$7, 7), "hb", "NHS ", $B8), [0]!data_range, 5, FALSE)</f>
        <v>#REF!</v>
      </c>
      <c r="E8" s="52" t="e">
        <f ca="1">VLOOKUP(CONCATENATE(LEFT(E$7, 7), "hb", "NHS ", $B8), [0]!data_range, 5, FALSE)</f>
        <v>#REF!</v>
      </c>
      <c r="F8" s="52" t="e">
        <f ca="1">VLOOKUP(CONCATENATE(LEFT(F$7, 7), "hb", "NHS ", $B8), [0]!data_range, 5, FALSE)</f>
        <v>#REF!</v>
      </c>
      <c r="G8" s="52" t="e">
        <f ca="1">VLOOKUP(CONCATENATE(LEFT(G$7, 7), "hb", "NHS ", $B8), [0]!data_range, 5, FALSE)</f>
        <v>#REF!</v>
      </c>
      <c r="H8" s="52" t="e">
        <f ca="1">VLOOKUP(CONCATENATE(LEFT(H$7, 7), "hb", "NHS ", $B8), [0]!data_range, 5, FALSE)</f>
        <v>#REF!</v>
      </c>
      <c r="I8" s="52" t="e">
        <f ca="1">VLOOKUP(CONCATENATE(LEFT(I$7, 7), "hb", "NHS ", $B8), [0]!data_range, 5, FALSE)</f>
        <v>#REF!</v>
      </c>
      <c r="J8" s="52" t="e">
        <f ca="1">VLOOKUP(CONCATENATE(LEFT(J$7, 7), "hb", "NHS ", $B8), [0]!data_range, 5, FALSE)</f>
        <v>#REF!</v>
      </c>
      <c r="K8" s="52" t="e">
        <f ca="1">VLOOKUP(CONCATENATE(LEFT(K$7, 7), "hb", "NHS ", $B8), [0]!data_range, 5, FALSE)</f>
        <v>#REF!</v>
      </c>
      <c r="M8" s="52"/>
    </row>
    <row r="9" spans="2:13" ht="15" customHeight="1" x14ac:dyDescent="0.2">
      <c r="B9" s="15" t="s">
        <v>0</v>
      </c>
      <c r="C9" s="52" t="e">
        <f ca="1">VLOOKUP(CONCATENATE(LEFT(C$7, 7), "hb", "NHS ", $B9), [0]!data_range, 5, FALSE)</f>
        <v>#REF!</v>
      </c>
      <c r="D9" s="52" t="e">
        <f ca="1">VLOOKUP(CONCATENATE(LEFT(D$7, 7), "hb", "NHS ", $B9), [0]!data_range, 5, FALSE)</f>
        <v>#REF!</v>
      </c>
      <c r="E9" s="52" t="e">
        <f ca="1">VLOOKUP(CONCATENATE(LEFT(E$7, 7), "hb", "NHS ", $B9), [0]!data_range, 5, FALSE)</f>
        <v>#REF!</v>
      </c>
      <c r="F9" s="52" t="e">
        <f ca="1">VLOOKUP(CONCATENATE(LEFT(F$7, 7), "hb", "NHS ", $B9), [0]!data_range, 5, FALSE)</f>
        <v>#REF!</v>
      </c>
      <c r="G9" s="52" t="e">
        <f ca="1">VLOOKUP(CONCATENATE(LEFT(G$7, 7), "hb", "NHS ", $B9), [0]!data_range, 5, FALSE)</f>
        <v>#REF!</v>
      </c>
      <c r="H9" s="52" t="e">
        <f ca="1">VLOOKUP(CONCATENATE(LEFT(H$7, 7), "hb", "NHS ", $B9), [0]!data_range, 5, FALSE)</f>
        <v>#REF!</v>
      </c>
      <c r="I9" s="52" t="e">
        <f ca="1">VLOOKUP(CONCATENATE(LEFT(I$7, 7), "hb", "NHS ", $B9), [0]!data_range, 5, FALSE)</f>
        <v>#REF!</v>
      </c>
      <c r="J9" s="52" t="e">
        <f ca="1">VLOOKUP(CONCATENATE(LEFT(J$7, 7), "hb", "NHS ", $B9), [0]!data_range, 5, FALSE)</f>
        <v>#REF!</v>
      </c>
      <c r="K9" s="52" t="e">
        <f ca="1">VLOOKUP(CONCATENATE(LEFT(K$7, 7), "hb", "NHS ", $B9), [0]!data_range, 5, FALSE)</f>
        <v>#REF!</v>
      </c>
      <c r="M9" s="52"/>
    </row>
    <row r="10" spans="2:13" ht="15" customHeight="1" x14ac:dyDescent="0.2">
      <c r="B10" s="15" t="s">
        <v>201</v>
      </c>
      <c r="C10" s="52" t="e">
        <f ca="1">VLOOKUP(CONCATENATE(LEFT(C$7, 7), "hb", "NHS ", $B10), [0]!data_range, 5, FALSE)</f>
        <v>#REF!</v>
      </c>
      <c r="D10" s="52" t="e">
        <f ca="1">VLOOKUP(CONCATENATE(LEFT(D$7, 7), "hb", "NHS ", $B10), [0]!data_range, 5, FALSE)</f>
        <v>#REF!</v>
      </c>
      <c r="E10" s="52" t="e">
        <f ca="1">VLOOKUP(CONCATENATE(LEFT(E$7, 7), "hb", "NHS ", $B10), [0]!data_range, 5, FALSE)</f>
        <v>#REF!</v>
      </c>
      <c r="F10" s="52" t="e">
        <f ca="1">VLOOKUP(CONCATENATE(LEFT(F$7, 7), "hb", "NHS ", $B10), [0]!data_range, 5, FALSE)</f>
        <v>#REF!</v>
      </c>
      <c r="G10" s="52" t="e">
        <f ca="1">VLOOKUP(CONCATENATE(LEFT(G$7, 7), "hb", "NHS ", $B10), [0]!data_range, 5, FALSE)</f>
        <v>#REF!</v>
      </c>
      <c r="H10" s="52" t="e">
        <f ca="1">VLOOKUP(CONCATENATE(LEFT(H$7, 7), "hb", "NHS ", $B10), [0]!data_range, 5, FALSE)</f>
        <v>#REF!</v>
      </c>
      <c r="I10" s="52" t="e">
        <f ca="1">VLOOKUP(CONCATENATE(LEFT(I$7, 7), "hb", "NHS ", $B10), [0]!data_range, 5, FALSE)</f>
        <v>#REF!</v>
      </c>
      <c r="J10" s="52" t="e">
        <f ca="1">VLOOKUP(CONCATENATE(LEFT(J$7, 7), "hb", "NHS ", $B10), [0]!data_range, 5, FALSE)</f>
        <v>#REF!</v>
      </c>
      <c r="K10" s="52" t="e">
        <f ca="1">VLOOKUP(CONCATENATE(LEFT(K$7, 7), "hb", "NHS ", $B10), [0]!data_range, 5, FALSE)</f>
        <v>#REF!</v>
      </c>
      <c r="M10" s="52"/>
    </row>
    <row r="11" spans="2:13" ht="15" customHeight="1" x14ac:dyDescent="0.2">
      <c r="B11" s="15" t="s">
        <v>1</v>
      </c>
      <c r="C11" s="52" t="e">
        <f ca="1">VLOOKUP(CONCATENATE(LEFT(C$7, 7), "hb", "NHS ", $B11), [0]!data_range, 5, FALSE)</f>
        <v>#REF!</v>
      </c>
      <c r="D11" s="52" t="e">
        <f ca="1">VLOOKUP(CONCATENATE(LEFT(D$7, 7), "hb", "NHS ", $B11), [0]!data_range, 5, FALSE)</f>
        <v>#REF!</v>
      </c>
      <c r="E11" s="52" t="e">
        <f ca="1">VLOOKUP(CONCATENATE(LEFT(E$7, 7), "hb", "NHS ", $B11), [0]!data_range, 5, FALSE)</f>
        <v>#REF!</v>
      </c>
      <c r="F11" s="52" t="e">
        <f ca="1">VLOOKUP(CONCATENATE(LEFT(F$7, 7), "hb", "NHS ", $B11), [0]!data_range, 5, FALSE)</f>
        <v>#REF!</v>
      </c>
      <c r="G11" s="52" t="e">
        <f ca="1">VLOOKUP(CONCATENATE(LEFT(G$7, 7), "hb", "NHS ", $B11), [0]!data_range, 5, FALSE)</f>
        <v>#REF!</v>
      </c>
      <c r="H11" s="52" t="e">
        <f ca="1">VLOOKUP(CONCATENATE(LEFT(H$7, 7), "hb", "NHS ", $B11), [0]!data_range, 5, FALSE)</f>
        <v>#REF!</v>
      </c>
      <c r="I11" s="52" t="e">
        <f ca="1">VLOOKUP(CONCATENATE(LEFT(I$7, 7), "hb", "NHS ", $B11), [0]!data_range, 5, FALSE)</f>
        <v>#REF!</v>
      </c>
      <c r="J11" s="52" t="e">
        <f ca="1">VLOOKUP(CONCATENATE(LEFT(J$7, 7), "hb", "NHS ", $B11), [0]!data_range, 5, FALSE)</f>
        <v>#REF!</v>
      </c>
      <c r="K11" s="52" t="e">
        <f ca="1">VLOOKUP(CONCATENATE(LEFT(K$7, 7), "hb", "NHS ", $B11), [0]!data_range, 5, FALSE)</f>
        <v>#REF!</v>
      </c>
      <c r="M11" s="52"/>
    </row>
    <row r="12" spans="2:13" ht="15" customHeight="1" x14ac:dyDescent="0.2">
      <c r="B12" s="15" t="s">
        <v>2</v>
      </c>
      <c r="C12" s="52" t="e">
        <f ca="1">VLOOKUP(CONCATENATE(LEFT(C$7, 7), "hb", "NHS ", $B12), [0]!data_range, 5, FALSE)</f>
        <v>#REF!</v>
      </c>
      <c r="D12" s="52" t="e">
        <f ca="1">VLOOKUP(CONCATENATE(LEFT(D$7, 7), "hb", "NHS ", $B12), [0]!data_range, 5, FALSE)</f>
        <v>#REF!</v>
      </c>
      <c r="E12" s="52" t="e">
        <f ca="1">VLOOKUP(CONCATENATE(LEFT(E$7, 7), "hb", "NHS ", $B12), [0]!data_range, 5, FALSE)</f>
        <v>#REF!</v>
      </c>
      <c r="F12" s="52" t="e">
        <f ca="1">VLOOKUP(CONCATENATE(LEFT(F$7, 7), "hb", "NHS ", $B12), [0]!data_range, 5, FALSE)</f>
        <v>#REF!</v>
      </c>
      <c r="G12" s="52" t="e">
        <f ca="1">VLOOKUP(CONCATENATE(LEFT(G$7, 7), "hb", "NHS ", $B12), [0]!data_range, 5, FALSE)</f>
        <v>#REF!</v>
      </c>
      <c r="H12" s="52" t="e">
        <f ca="1">VLOOKUP(CONCATENATE(LEFT(H$7, 7), "hb", "NHS ", $B12), [0]!data_range, 5, FALSE)</f>
        <v>#REF!</v>
      </c>
      <c r="I12" s="52" t="e">
        <f ca="1">VLOOKUP(CONCATENATE(LEFT(I$7, 7), "hb", "NHS ", $B12), [0]!data_range, 5, FALSE)</f>
        <v>#REF!</v>
      </c>
      <c r="J12" s="52" t="e">
        <f ca="1">VLOOKUP(CONCATENATE(LEFT(J$7, 7), "hb", "NHS ", $B12), [0]!data_range, 5, FALSE)</f>
        <v>#REF!</v>
      </c>
      <c r="K12" s="52" t="e">
        <f ca="1">VLOOKUP(CONCATENATE(LEFT(K$7, 7), "hb", "NHS ", $B12), [0]!data_range, 5, FALSE)</f>
        <v>#REF!</v>
      </c>
      <c r="M12" s="52"/>
    </row>
    <row r="13" spans="2:13" ht="15" customHeight="1" x14ac:dyDescent="0.2">
      <c r="B13" s="15" t="s">
        <v>3</v>
      </c>
      <c r="C13" s="52" t="e">
        <f ca="1">VLOOKUP(CONCATENATE(LEFT(C$7, 7), "hb", "NHS ", $B13), [0]!data_range, 5, FALSE)</f>
        <v>#REF!</v>
      </c>
      <c r="D13" s="52" t="e">
        <f ca="1">VLOOKUP(CONCATENATE(LEFT(D$7, 7), "hb", "NHS ", $B13), [0]!data_range, 5, FALSE)</f>
        <v>#REF!</v>
      </c>
      <c r="E13" s="52" t="e">
        <f ca="1">VLOOKUP(CONCATENATE(LEFT(E$7, 7), "hb", "NHS ", $B13), [0]!data_range, 5, FALSE)</f>
        <v>#REF!</v>
      </c>
      <c r="F13" s="52" t="e">
        <f ca="1">VLOOKUP(CONCATENATE(LEFT(F$7, 7), "hb", "NHS ", $B13), [0]!data_range, 5, FALSE)</f>
        <v>#REF!</v>
      </c>
      <c r="G13" s="52" t="e">
        <f ca="1">VLOOKUP(CONCATENATE(LEFT(G$7, 7), "hb", "NHS ", $B13), [0]!data_range, 5, FALSE)</f>
        <v>#REF!</v>
      </c>
      <c r="H13" s="52" t="e">
        <f ca="1">VLOOKUP(CONCATENATE(LEFT(H$7, 7), "hb", "NHS ", $B13), [0]!data_range, 5, FALSE)</f>
        <v>#REF!</v>
      </c>
      <c r="I13" s="52" t="e">
        <f ca="1">VLOOKUP(CONCATENATE(LEFT(I$7, 7), "hb", "NHS ", $B13), [0]!data_range, 5, FALSE)</f>
        <v>#REF!</v>
      </c>
      <c r="J13" s="52" t="e">
        <f ca="1">VLOOKUP(CONCATENATE(LEFT(J$7, 7), "hb", "NHS ", $B13), [0]!data_range, 5, FALSE)</f>
        <v>#REF!</v>
      </c>
      <c r="K13" s="52" t="e">
        <f ca="1">VLOOKUP(CONCATENATE(LEFT(K$7, 7), "hb", "NHS ", $B13), [0]!data_range, 5, FALSE)</f>
        <v>#REF!</v>
      </c>
      <c r="M13" s="52"/>
    </row>
    <row r="14" spans="2:13" ht="15" customHeight="1" x14ac:dyDescent="0.2">
      <c r="B14" s="15" t="s">
        <v>202</v>
      </c>
      <c r="C14" s="52" t="e">
        <f ca="1">VLOOKUP(CONCATENATE(LEFT(C$7, 7), "hb", "NHS ", $B14), [0]!data_range, 5, FALSE)</f>
        <v>#REF!</v>
      </c>
      <c r="D14" s="52" t="e">
        <f ca="1">VLOOKUP(CONCATENATE(LEFT(D$7, 7), "hb", "NHS ", $B14), [0]!data_range, 5, FALSE)</f>
        <v>#REF!</v>
      </c>
      <c r="E14" s="52" t="e">
        <f ca="1">VLOOKUP(CONCATENATE(LEFT(E$7, 7), "hb", "NHS ", $B14), [0]!data_range, 5, FALSE)</f>
        <v>#REF!</v>
      </c>
      <c r="F14" s="52" t="e">
        <f ca="1">VLOOKUP(CONCATENATE(LEFT(F$7, 7), "hb", "NHS ", $B14), [0]!data_range, 5, FALSE)</f>
        <v>#REF!</v>
      </c>
      <c r="G14" s="52" t="e">
        <f ca="1">VLOOKUP(CONCATENATE(LEFT(G$7, 7), "hb", "NHS ", $B14), [0]!data_range, 5, FALSE)</f>
        <v>#REF!</v>
      </c>
      <c r="H14" s="52" t="e">
        <f ca="1">VLOOKUP(CONCATENATE(LEFT(H$7, 7), "hb", "NHS ", $B14), [0]!data_range, 5, FALSE)</f>
        <v>#REF!</v>
      </c>
      <c r="I14" s="52" t="e">
        <f ca="1">VLOOKUP(CONCATENATE(LEFT(I$7, 7), "hb", "NHS ", $B14), [0]!data_range, 5, FALSE)</f>
        <v>#REF!</v>
      </c>
      <c r="J14" s="52" t="e">
        <f ca="1">VLOOKUP(CONCATENATE(LEFT(J$7, 7), "hb", "NHS ", $B14), [0]!data_range, 5, FALSE)</f>
        <v>#REF!</v>
      </c>
      <c r="K14" s="52" t="e">
        <f ca="1">VLOOKUP(CONCATENATE(LEFT(K$7, 7), "hb", "NHS ", $B14), [0]!data_range, 5, FALSE)</f>
        <v>#REF!</v>
      </c>
      <c r="M14" s="52"/>
    </row>
    <row r="15" spans="2:13" ht="15" customHeight="1" x14ac:dyDescent="0.2">
      <c r="B15" s="15" t="s">
        <v>4</v>
      </c>
      <c r="C15" s="52" t="e">
        <f ca="1">VLOOKUP(CONCATENATE(LEFT(C$7, 7), "hb", "NHS ", $B15), [0]!data_range, 5, FALSE)</f>
        <v>#REF!</v>
      </c>
      <c r="D15" s="52" t="e">
        <f ca="1">VLOOKUP(CONCATENATE(LEFT(D$7, 7), "hb", "NHS ", $B15), [0]!data_range, 5, FALSE)</f>
        <v>#REF!</v>
      </c>
      <c r="E15" s="52" t="e">
        <f ca="1">VLOOKUP(CONCATENATE(LEFT(E$7, 7), "hb", "NHS ", $B15), [0]!data_range, 5, FALSE)</f>
        <v>#REF!</v>
      </c>
      <c r="F15" s="52" t="e">
        <f ca="1">VLOOKUP(CONCATENATE(LEFT(F$7, 7), "hb", "NHS ", $B15), [0]!data_range, 5, FALSE)</f>
        <v>#REF!</v>
      </c>
      <c r="G15" s="52" t="e">
        <f ca="1">VLOOKUP(CONCATENATE(LEFT(G$7, 7), "hb", "NHS ", $B15), [0]!data_range, 5, FALSE)</f>
        <v>#REF!</v>
      </c>
      <c r="H15" s="52" t="e">
        <f ca="1">VLOOKUP(CONCATENATE(LEFT(H$7, 7), "hb", "NHS ", $B15), [0]!data_range, 5, FALSE)</f>
        <v>#REF!</v>
      </c>
      <c r="I15" s="52" t="e">
        <f ca="1">VLOOKUP(CONCATENATE(LEFT(I$7, 7), "hb", "NHS ", $B15), [0]!data_range, 5, FALSE)</f>
        <v>#REF!</v>
      </c>
      <c r="J15" s="52" t="e">
        <f ca="1">VLOOKUP(CONCATENATE(LEFT(J$7, 7), "hb", "NHS ", $B15), [0]!data_range, 5, FALSE)</f>
        <v>#REF!</v>
      </c>
      <c r="K15" s="52" t="e">
        <f ca="1">VLOOKUP(CONCATENATE(LEFT(K$7, 7), "hb", "NHS ", $B15), [0]!data_range, 5, FALSE)</f>
        <v>#REF!</v>
      </c>
      <c r="M15" s="52"/>
    </row>
    <row r="16" spans="2:13" ht="15" customHeight="1" x14ac:dyDescent="0.2">
      <c r="B16" s="15" t="s">
        <v>5</v>
      </c>
      <c r="C16" s="52" t="e">
        <f ca="1">VLOOKUP(CONCATENATE(LEFT(C$7, 7), "hb", "NHS ", $B16), [0]!data_range, 5, FALSE)</f>
        <v>#REF!</v>
      </c>
      <c r="D16" s="52" t="e">
        <f ca="1">VLOOKUP(CONCATENATE(LEFT(D$7, 7), "hb", "NHS ", $B16), [0]!data_range, 5, FALSE)</f>
        <v>#REF!</v>
      </c>
      <c r="E16" s="52" t="e">
        <f ca="1">VLOOKUP(CONCATENATE(LEFT(E$7, 7), "hb", "NHS ", $B16), [0]!data_range, 5, FALSE)</f>
        <v>#REF!</v>
      </c>
      <c r="F16" s="52" t="e">
        <f ca="1">VLOOKUP(CONCATENATE(LEFT(F$7, 7), "hb", "NHS ", $B16), [0]!data_range, 5, FALSE)</f>
        <v>#REF!</v>
      </c>
      <c r="G16" s="52" t="e">
        <f ca="1">VLOOKUP(CONCATENATE(LEFT(G$7, 7), "hb", "NHS ", $B16), [0]!data_range, 5, FALSE)</f>
        <v>#REF!</v>
      </c>
      <c r="H16" s="52" t="e">
        <f ca="1">VLOOKUP(CONCATENATE(LEFT(H$7, 7), "hb", "NHS ", $B16), [0]!data_range, 5, FALSE)</f>
        <v>#REF!</v>
      </c>
      <c r="I16" s="52" t="e">
        <f ca="1">VLOOKUP(CONCATENATE(LEFT(I$7, 7), "hb", "NHS ", $B16), [0]!data_range, 5, FALSE)</f>
        <v>#REF!</v>
      </c>
      <c r="J16" s="52" t="e">
        <f ca="1">VLOOKUP(CONCATENATE(LEFT(J$7, 7), "hb", "NHS ", $B16), [0]!data_range, 5, FALSE)</f>
        <v>#REF!</v>
      </c>
      <c r="K16" s="52" t="e">
        <f ca="1">VLOOKUP(CONCATENATE(LEFT(K$7, 7), "hb", "NHS ", $B16), [0]!data_range, 5, FALSE)</f>
        <v>#REF!</v>
      </c>
      <c r="M16" s="52"/>
    </row>
    <row r="17" spans="2:11" ht="15" customHeight="1" x14ac:dyDescent="0.2">
      <c r="B17" s="15" t="s">
        <v>6</v>
      </c>
      <c r="C17" s="52" t="e">
        <f ca="1">VLOOKUP(CONCATENATE(LEFT(C$7, 7), "hb", "NHS ", $B17), [0]!data_range, 5, FALSE)</f>
        <v>#REF!</v>
      </c>
      <c r="D17" s="52" t="e">
        <f ca="1">VLOOKUP(CONCATENATE(LEFT(D$7, 7), "hb", "NHS ", $B17), [0]!data_range, 5, FALSE)</f>
        <v>#REF!</v>
      </c>
      <c r="E17" s="52" t="e">
        <f ca="1">VLOOKUP(CONCATENATE(LEFT(E$7, 7), "hb", "NHS ", $B17), [0]!data_range, 5, FALSE)</f>
        <v>#REF!</v>
      </c>
      <c r="F17" s="52" t="e">
        <f ca="1">VLOOKUP(CONCATENATE(LEFT(F$7, 7), "hb", "NHS ", $B17), [0]!data_range, 5, FALSE)</f>
        <v>#REF!</v>
      </c>
      <c r="G17" s="52" t="e">
        <f ca="1">VLOOKUP(CONCATENATE(LEFT(G$7, 7), "hb", "NHS ", $B17), [0]!data_range, 5, FALSE)</f>
        <v>#REF!</v>
      </c>
      <c r="H17" s="52" t="e">
        <f ca="1">VLOOKUP(CONCATENATE(LEFT(H$7, 7), "hb", "NHS ", $B17), [0]!data_range, 5, FALSE)</f>
        <v>#REF!</v>
      </c>
      <c r="I17" s="52" t="e">
        <f ca="1">VLOOKUP(CONCATENATE(LEFT(I$7, 7), "hb", "NHS ", $B17), [0]!data_range, 5, FALSE)</f>
        <v>#REF!</v>
      </c>
      <c r="J17" s="52" t="e">
        <f ca="1">VLOOKUP(CONCATENATE(LEFT(J$7, 7), "hb", "NHS ", $B17), [0]!data_range, 5, FALSE)</f>
        <v>#REF!</v>
      </c>
      <c r="K17" s="52" t="e">
        <f ca="1">VLOOKUP(CONCATENATE(LEFT(K$7, 7), "hb", "NHS ", $B17), [0]!data_range, 5, FALSE)</f>
        <v>#REF!</v>
      </c>
    </row>
    <row r="18" spans="2:11" ht="15" customHeight="1" x14ac:dyDescent="0.2">
      <c r="B18" s="15" t="s">
        <v>7</v>
      </c>
      <c r="C18" s="52" t="e">
        <f ca="1">VLOOKUP(CONCATENATE(LEFT(C$7, 7), "hb", "NHS ", $B18), [0]!data_range, 5, FALSE)</f>
        <v>#REF!</v>
      </c>
      <c r="D18" s="52" t="e">
        <f ca="1">VLOOKUP(CONCATENATE(LEFT(D$7, 7), "hb", "NHS ", $B18), [0]!data_range, 5, FALSE)</f>
        <v>#REF!</v>
      </c>
      <c r="E18" s="52" t="e">
        <f ca="1">VLOOKUP(CONCATENATE(LEFT(E$7, 7), "hb", "NHS ", $B18), [0]!data_range, 5, FALSE)</f>
        <v>#REF!</v>
      </c>
      <c r="F18" s="52" t="e">
        <f ca="1">VLOOKUP(CONCATENATE(LEFT(F$7, 7), "hb", "NHS ", $B18), [0]!data_range, 5, FALSE)</f>
        <v>#REF!</v>
      </c>
      <c r="G18" s="52" t="e">
        <f ca="1">VLOOKUP(CONCATENATE(LEFT(G$7, 7), "hb", "NHS ", $B18), [0]!data_range, 5, FALSE)</f>
        <v>#REF!</v>
      </c>
      <c r="H18" s="52" t="e">
        <f ca="1">VLOOKUP(CONCATENATE(LEFT(H$7, 7), "hb", "NHS ", $B18), [0]!data_range, 5, FALSE)</f>
        <v>#REF!</v>
      </c>
      <c r="I18" s="52" t="e">
        <f ca="1">VLOOKUP(CONCATENATE(LEFT(I$7, 7), "hb", "NHS ", $B18), [0]!data_range, 5, FALSE)</f>
        <v>#REF!</v>
      </c>
      <c r="J18" s="52" t="e">
        <f ca="1">VLOOKUP(CONCATENATE(LEFT(J$7, 7), "hb", "NHS ", $B18), [0]!data_range, 5, FALSE)</f>
        <v>#REF!</v>
      </c>
      <c r="K18" s="52" t="e">
        <f ca="1">VLOOKUP(CONCATENATE(LEFT(K$7, 7), "hb", "NHS ", $B18), [0]!data_range, 5, FALSE)</f>
        <v>#REF!</v>
      </c>
    </row>
    <row r="19" spans="2:11" ht="15" customHeight="1" x14ac:dyDescent="0.2">
      <c r="B19" s="15" t="s">
        <v>8</v>
      </c>
      <c r="C19" s="52" t="e">
        <f ca="1">VLOOKUP(CONCATENATE(LEFT(C$7, 7), "hb", "NHS ", $B19), [0]!data_range, 5, FALSE)</f>
        <v>#REF!</v>
      </c>
      <c r="D19" s="52" t="e">
        <f ca="1">VLOOKUP(CONCATENATE(LEFT(D$7, 7), "hb", "NHS ", $B19), [0]!data_range, 5, FALSE)</f>
        <v>#REF!</v>
      </c>
      <c r="E19" s="52" t="e">
        <f ca="1">VLOOKUP(CONCATENATE(LEFT(E$7, 7), "hb", "NHS ", $B19), [0]!data_range, 5, FALSE)</f>
        <v>#REF!</v>
      </c>
      <c r="F19" s="52" t="e">
        <f ca="1">VLOOKUP(CONCATENATE(LEFT(F$7, 7), "hb", "NHS ", $B19), [0]!data_range, 5, FALSE)</f>
        <v>#REF!</v>
      </c>
      <c r="G19" s="52" t="e">
        <f ca="1">VLOOKUP(CONCATENATE(LEFT(G$7, 7), "hb", "NHS ", $B19), [0]!data_range, 5, FALSE)</f>
        <v>#REF!</v>
      </c>
      <c r="H19" s="52" t="e">
        <f ca="1">VLOOKUP(CONCATENATE(LEFT(H$7, 7), "hb", "NHS ", $B19), [0]!data_range, 5, FALSE)</f>
        <v>#REF!</v>
      </c>
      <c r="I19" s="52" t="e">
        <f ca="1">VLOOKUP(CONCATENATE(LEFT(I$7, 7), "hb", "NHS ", $B19), [0]!data_range, 5, FALSE)</f>
        <v>#REF!</v>
      </c>
      <c r="J19" s="52" t="e">
        <f ca="1">VLOOKUP(CONCATENATE(LEFT(J$7, 7), "hb", "NHS ", $B19), [0]!data_range, 5, FALSE)</f>
        <v>#REF!</v>
      </c>
      <c r="K19" s="52" t="e">
        <f ca="1">VLOOKUP(CONCATENATE(LEFT(K$7, 7), "hb", "NHS ", $B19), [0]!data_range, 5, FALSE)</f>
        <v>#REF!</v>
      </c>
    </row>
    <row r="20" spans="2:11" ht="15" customHeight="1" x14ac:dyDescent="0.2">
      <c r="B20" s="15" t="s">
        <v>9</v>
      </c>
      <c r="C20" s="52" t="e">
        <f ca="1">VLOOKUP(CONCATENATE(LEFT(C$7, 7), "hb", "NHS ", $B20), [0]!data_range, 5, FALSE)</f>
        <v>#REF!</v>
      </c>
      <c r="D20" s="52" t="e">
        <f ca="1">VLOOKUP(CONCATENATE(LEFT(D$7, 7), "hb", "NHS ", $B20), [0]!data_range, 5, FALSE)</f>
        <v>#REF!</v>
      </c>
      <c r="E20" s="52" t="e">
        <f ca="1">VLOOKUP(CONCATENATE(LEFT(E$7, 7), "hb", "NHS ", $B20), [0]!data_range, 5, FALSE)</f>
        <v>#REF!</v>
      </c>
      <c r="F20" s="52" t="e">
        <f ca="1">VLOOKUP(CONCATENATE(LEFT(F$7, 7), "hb", "NHS ", $B20), [0]!data_range, 5, FALSE)</f>
        <v>#REF!</v>
      </c>
      <c r="G20" s="52" t="e">
        <f ca="1">VLOOKUP(CONCATENATE(LEFT(G$7, 7), "hb", "NHS ", $B20), [0]!data_range, 5, FALSE)</f>
        <v>#REF!</v>
      </c>
      <c r="H20" s="52" t="e">
        <f ca="1">VLOOKUP(CONCATENATE(LEFT(H$7, 7), "hb", "NHS ", $B20), [0]!data_range, 5, FALSE)</f>
        <v>#REF!</v>
      </c>
      <c r="I20" s="52" t="e">
        <f ca="1">VLOOKUP(CONCATENATE(LEFT(I$7, 7), "hb", "NHS ", $B20), [0]!data_range, 5, FALSE)</f>
        <v>#REF!</v>
      </c>
      <c r="J20" s="52" t="e">
        <f ca="1">VLOOKUP(CONCATENATE(LEFT(J$7, 7), "hb", "NHS ", $B20), [0]!data_range, 5, FALSE)</f>
        <v>#REF!</v>
      </c>
      <c r="K20" s="52" t="e">
        <f ca="1">VLOOKUP(CONCATENATE(LEFT(K$7, 7), "hb", "NHS ", $B20), [0]!data_range, 5, FALSE)</f>
        <v>#REF!</v>
      </c>
    </row>
    <row r="21" spans="2:11" ht="15" customHeight="1" x14ac:dyDescent="0.2">
      <c r="B21" s="16" t="s">
        <v>10</v>
      </c>
      <c r="C21" s="52" t="e">
        <f ca="1">VLOOKUP(CONCATENATE(LEFT(C$7, 7), "hb", "NHS ", $B21), [0]!data_range, 5, FALSE)</f>
        <v>#REF!</v>
      </c>
      <c r="D21" s="52" t="e">
        <f ca="1">VLOOKUP(CONCATENATE(LEFT(D$7, 7), "hb", "NHS ", $B21), [0]!data_range, 5, FALSE)</f>
        <v>#REF!</v>
      </c>
      <c r="E21" s="52" t="e">
        <f ca="1">VLOOKUP(CONCATENATE(LEFT(E$7, 7), "hb", "NHS ", $B21), [0]!data_range, 5, FALSE)</f>
        <v>#REF!</v>
      </c>
      <c r="F21" s="52" t="e">
        <f ca="1">VLOOKUP(CONCATENATE(LEFT(F$7, 7), "hb", "NHS ", $B21), [0]!data_range, 5, FALSE)</f>
        <v>#REF!</v>
      </c>
      <c r="G21" s="52" t="e">
        <f ca="1">VLOOKUP(CONCATENATE(LEFT(G$7, 7), "hb", "NHS ", $B21), [0]!data_range, 5, FALSE)</f>
        <v>#REF!</v>
      </c>
      <c r="H21" s="52" t="e">
        <f ca="1">VLOOKUP(CONCATENATE(LEFT(H$7, 7), "hb", "NHS ", $B21), [0]!data_range, 5, FALSE)</f>
        <v>#REF!</v>
      </c>
      <c r="I21" s="52" t="e">
        <f ca="1">VLOOKUP(CONCATENATE(LEFT(I$7, 7), "hb", "NHS ", $B21), [0]!data_range, 5, FALSE)</f>
        <v>#REF!</v>
      </c>
      <c r="J21" s="52" t="e">
        <f ca="1">VLOOKUP(CONCATENATE(LEFT(J$7, 7), "hb", "NHS ", $B21), [0]!data_range, 5, FALSE)</f>
        <v>#REF!</v>
      </c>
      <c r="K21" s="52" t="e">
        <f ca="1">VLOOKUP(CONCATENATE(LEFT(K$7, 7), "hb", "NHS ", $B21), [0]!data_range, 5, FALSE)</f>
        <v>#REF!</v>
      </c>
    </row>
    <row r="22" spans="2:11" ht="15" customHeight="1" x14ac:dyDescent="0.2">
      <c r="B22" s="53" t="s">
        <v>11</v>
      </c>
      <c r="C22" s="54" t="e">
        <f ca="1">VLOOKUP(CONCATENATE(LEFT(C$7, 7), "Scotland", $B22), [0]!data_range, 5, FALSE)</f>
        <v>#REF!</v>
      </c>
      <c r="D22" s="54" t="e">
        <f ca="1">VLOOKUP(CONCATENATE(LEFT(D$7, 7), "Scotland", $B22), [0]!data_range, 5, FALSE)</f>
        <v>#REF!</v>
      </c>
      <c r="E22" s="54" t="e">
        <f ca="1">VLOOKUP(CONCATENATE(LEFT(E$7, 7), "Scotland", $B22), [0]!data_range, 5, FALSE)</f>
        <v>#REF!</v>
      </c>
      <c r="F22" s="54" t="e">
        <f ca="1">VLOOKUP(CONCATENATE(LEFT(F$7, 7), "Scotland", $B22), [0]!data_range, 5, FALSE)</f>
        <v>#REF!</v>
      </c>
      <c r="G22" s="54" t="e">
        <f ca="1">VLOOKUP(CONCATENATE(LEFT(G$7, 7), "Scotland", $B22), [0]!data_range, 5, FALSE)</f>
        <v>#REF!</v>
      </c>
      <c r="H22" s="54" t="e">
        <f ca="1">VLOOKUP(CONCATENATE(LEFT(H$7, 7), "Scotland", $B22), [0]!data_range, 5, FALSE)</f>
        <v>#REF!</v>
      </c>
      <c r="I22" s="54" t="e">
        <f ca="1">VLOOKUP(CONCATENATE(LEFT(I$7, 7), "Scotland", $B22), [0]!data_range, 5, FALSE)</f>
        <v>#REF!</v>
      </c>
      <c r="J22" s="54" t="e">
        <f ca="1">VLOOKUP(CONCATENATE(LEFT(J$7, 7), "Scotland", $B22), [0]!data_range, 5, FALSE)</f>
        <v>#REF!</v>
      </c>
      <c r="K22" s="54" t="e">
        <f ca="1">VLOOKUP(CONCATENATE(LEFT(K$7, 7), "Scotland", $B22), [0]!data_range, 5, FALSE)</f>
        <v>#REF!</v>
      </c>
    </row>
    <row r="23" spans="2:11" ht="15" customHeight="1" x14ac:dyDescent="0.2">
      <c r="I23" s="23"/>
      <c r="J23" s="23"/>
      <c r="K23" s="23"/>
    </row>
    <row r="24" spans="2:11" ht="15" customHeight="1" x14ac:dyDescent="0.2">
      <c r="C24" s="52"/>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150</v>
      </c>
      <c r="E28" s="52"/>
      <c r="F28" s="52"/>
      <c r="G28" s="52"/>
      <c r="I28" s="23"/>
      <c r="J28" s="23"/>
      <c r="K28" s="23"/>
    </row>
    <row r="29" spans="2:11" ht="15" customHeight="1" x14ac:dyDescent="0.2">
      <c r="B29" s="21" t="s">
        <v>143</v>
      </c>
      <c r="E29" s="52"/>
      <c r="F29" s="52"/>
      <c r="G29" s="52"/>
      <c r="I29" s="23"/>
      <c r="J29" s="23"/>
      <c r="K29" s="23"/>
    </row>
    <row r="30" spans="2:11" ht="15" customHeight="1" x14ac:dyDescent="0.2">
      <c r="B30" s="21" t="e">
        <f ca="1">"    1. Data for " &amp; [0]!fy_max &amp;" are incomplete and will be revised in October 20" &amp; RIGHT([0]!fy_max, 2) &amp; " publication"</f>
        <v>#REF!</v>
      </c>
      <c r="E30" s="52"/>
      <c r="F30" s="52"/>
      <c r="G30" s="52"/>
      <c r="I30" s="23"/>
      <c r="J30" s="23"/>
      <c r="K30" s="23"/>
    </row>
    <row r="31" spans="2:11" ht="15" customHeight="1" x14ac:dyDescent="0.2">
      <c r="E31" s="52"/>
      <c r="F31" s="52"/>
      <c r="G31" s="52"/>
      <c r="I31" s="23"/>
      <c r="J31" s="23"/>
      <c r="K31" s="23"/>
    </row>
    <row r="32" spans="2:11" ht="15" customHeight="1" x14ac:dyDescent="0.2">
      <c r="E32" s="52"/>
      <c r="F32" s="52"/>
      <c r="G32" s="52"/>
      <c r="I32" s="23"/>
      <c r="J32" s="23"/>
      <c r="K32" s="23"/>
    </row>
    <row r="33" spans="5:11" ht="15" customHeight="1" x14ac:dyDescent="0.2">
      <c r="E33" s="52"/>
      <c r="F33" s="52"/>
      <c r="G33" s="52"/>
      <c r="I33" s="23"/>
      <c r="J33" s="23"/>
      <c r="K33" s="23"/>
    </row>
    <row r="34" spans="5:11" ht="15" customHeight="1" x14ac:dyDescent="0.2">
      <c r="E34" s="52"/>
      <c r="F34" s="52"/>
      <c r="G34" s="52"/>
      <c r="I34" s="23"/>
      <c r="J34" s="23"/>
      <c r="K34" s="23"/>
    </row>
    <row r="35" spans="5:11" ht="15" customHeight="1" x14ac:dyDescent="0.2">
      <c r="E35" s="52"/>
      <c r="F35" s="52"/>
      <c r="G35" s="52"/>
      <c r="I35" s="23"/>
      <c r="J35" s="23"/>
      <c r="K35" s="23"/>
    </row>
    <row r="36" spans="5:11" ht="15" customHeight="1" x14ac:dyDescent="0.2">
      <c r="E36" s="52"/>
      <c r="F36" s="52"/>
      <c r="G36" s="52"/>
      <c r="I36" s="23"/>
      <c r="J36" s="23"/>
      <c r="K36" s="23"/>
    </row>
    <row r="37" spans="5:11" ht="15" customHeight="1" x14ac:dyDescent="0.2">
      <c r="E37" s="52"/>
      <c r="F37" s="52"/>
      <c r="G37" s="52"/>
      <c r="I37" s="23"/>
      <c r="J37" s="23"/>
      <c r="K37" s="23"/>
    </row>
    <row r="38" spans="5:11" ht="15" customHeight="1" x14ac:dyDescent="0.2">
      <c r="E38" s="52"/>
      <c r="F38" s="52"/>
      <c r="G38" s="52"/>
      <c r="I38" s="23"/>
      <c r="J38" s="23"/>
      <c r="K38" s="23"/>
    </row>
    <row r="39" spans="5:11" ht="15" customHeight="1" x14ac:dyDescent="0.2">
      <c r="E39" s="52"/>
      <c r="F39" s="52"/>
      <c r="G39" s="52"/>
      <c r="I39" s="23"/>
      <c r="J39" s="23"/>
      <c r="K39" s="23"/>
    </row>
    <row r="40" spans="5:11" ht="15" customHeight="1" x14ac:dyDescent="0.2">
      <c r="E40" s="52"/>
      <c r="F40" s="52"/>
      <c r="G40" s="52"/>
      <c r="I40" s="23"/>
      <c r="J40" s="23"/>
      <c r="K40" s="23"/>
    </row>
    <row r="41" spans="5:11" ht="15" customHeight="1" x14ac:dyDescent="0.2">
      <c r="I41" s="23"/>
      <c r="J41" s="23"/>
      <c r="K41" s="23"/>
    </row>
    <row r="42" spans="5:11" ht="15" customHeight="1" x14ac:dyDescent="0.2">
      <c r="I42" s="23"/>
      <c r="J42" s="23"/>
      <c r="K42" s="23"/>
    </row>
    <row r="43" spans="5:11" ht="15" customHeight="1" x14ac:dyDescent="0.2">
      <c r="I43" s="23"/>
      <c r="J43" s="23"/>
      <c r="K43" s="23"/>
    </row>
    <row r="44" spans="5:11" ht="15" customHeight="1" x14ac:dyDescent="0.2">
      <c r="I44" s="23"/>
      <c r="J44" s="23"/>
      <c r="K44" s="23"/>
    </row>
    <row r="45" spans="5:11" ht="15" customHeight="1" x14ac:dyDescent="0.2">
      <c r="I45" s="23"/>
      <c r="J45" s="23"/>
      <c r="K45" s="23"/>
    </row>
    <row r="46" spans="5:11" ht="15" customHeight="1" x14ac:dyDescent="0.2">
      <c r="I46" s="23"/>
      <c r="J46" s="23"/>
      <c r="K46" s="23"/>
    </row>
    <row r="47" spans="5:11" ht="15" customHeight="1" x14ac:dyDescent="0.2">
      <c r="I47" s="23"/>
      <c r="J47" s="23"/>
      <c r="K47" s="23"/>
    </row>
    <row r="48" spans="5:11" ht="15" customHeight="1" x14ac:dyDescent="0.2">
      <c r="I48" s="23"/>
      <c r="J48" s="23"/>
      <c r="K48" s="23"/>
    </row>
    <row r="49" spans="9:11" ht="15" customHeight="1" x14ac:dyDescent="0.2">
      <c r="I49" s="23"/>
      <c r="J49" s="23"/>
      <c r="K49" s="23"/>
    </row>
    <row r="50" spans="9:11" ht="15" customHeight="1" x14ac:dyDescent="0.2">
      <c r="I50" s="23"/>
      <c r="J50" s="23"/>
      <c r="K50" s="23"/>
    </row>
    <row r="51" spans="9:11" ht="15" customHeight="1" x14ac:dyDescent="0.2">
      <c r="I51" s="23"/>
      <c r="J51" s="23"/>
      <c r="K51" s="23"/>
    </row>
    <row r="52" spans="9:11" ht="15" customHeight="1" x14ac:dyDescent="0.2">
      <c r="I52" s="23"/>
      <c r="J52" s="23"/>
      <c r="K52" s="23"/>
    </row>
    <row r="53" spans="9:11" ht="15" customHeight="1" x14ac:dyDescent="0.2">
      <c r="I53" s="23"/>
      <c r="J53" s="23"/>
      <c r="K53" s="23"/>
    </row>
    <row r="54" spans="9:11" ht="15" customHeight="1" x14ac:dyDescent="0.2">
      <c r="I54" s="23"/>
      <c r="J54" s="23"/>
      <c r="K54" s="23"/>
    </row>
    <row r="55" spans="9:11" ht="15" customHeight="1" x14ac:dyDescent="0.2">
      <c r="I55" s="23"/>
      <c r="J55" s="23"/>
      <c r="K55" s="23"/>
    </row>
    <row r="56" spans="9:11" ht="15" customHeight="1" x14ac:dyDescent="0.2">
      <c r="I56" s="23"/>
      <c r="J56" s="23"/>
      <c r="K56" s="23"/>
    </row>
    <row r="57" spans="9:11" ht="15" customHeight="1" x14ac:dyDescent="0.2">
      <c r="I57" s="23"/>
      <c r="J57" s="23"/>
      <c r="K57" s="23"/>
    </row>
    <row r="58" spans="9:11" ht="15" customHeight="1" x14ac:dyDescent="0.2">
      <c r="I58" s="23"/>
      <c r="J58" s="23"/>
      <c r="K58" s="23"/>
    </row>
    <row r="59" spans="9:11" ht="15" customHeight="1" x14ac:dyDescent="0.2">
      <c r="I59" s="23"/>
      <c r="J59" s="23"/>
      <c r="K59" s="23"/>
    </row>
    <row r="60" spans="9:11" ht="15" customHeight="1" x14ac:dyDescent="0.2">
      <c r="I60" s="23"/>
      <c r="J60" s="23"/>
      <c r="K60" s="23"/>
    </row>
    <row r="61" spans="9:11" ht="15" customHeight="1" x14ac:dyDescent="0.2">
      <c r="I61" s="23"/>
      <c r="J61" s="23"/>
      <c r="K61" s="23"/>
    </row>
    <row r="62" spans="9:11" ht="15" customHeight="1" x14ac:dyDescent="0.2">
      <c r="I62" s="23"/>
      <c r="J62" s="23"/>
      <c r="K62" s="23"/>
    </row>
    <row r="63" spans="9:11" ht="15" customHeight="1" x14ac:dyDescent="0.2">
      <c r="I63" s="23"/>
      <c r="J63" s="23"/>
      <c r="K63" s="23"/>
    </row>
    <row r="64" spans="9:11" ht="15" customHeight="1" x14ac:dyDescent="0.2">
      <c r="I64" s="23"/>
      <c r="J64" s="23"/>
      <c r="K64" s="23"/>
    </row>
    <row r="65" spans="9:11" ht="15" customHeight="1" x14ac:dyDescent="0.2">
      <c r="I65" s="23"/>
      <c r="J65" s="23"/>
      <c r="K65" s="23"/>
    </row>
    <row r="66" spans="9:11" ht="15" customHeight="1" x14ac:dyDescent="0.2">
      <c r="I66" s="23"/>
      <c r="J66" s="23"/>
      <c r="K66" s="23"/>
    </row>
    <row r="67" spans="9:11" ht="15" customHeight="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208</v>
      </c>
    </row>
    <row r="3" spans="1:22" ht="15.75" x14ac:dyDescent="0.25">
      <c r="B3" s="75" t="s">
        <v>209</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calculation!$A$12:$B$26, 2, 0)</f>
        <v>Scotland</v>
      </c>
      <c r="N8" s="82" t="e">
        <f ca="1">IF($M$8 = "Scotland", VLOOKUP(CONCATENATE(LEFT(N$7, 7), "Scotland", $M$8), [0]!data_range, 5, FALSE), VLOOKUP(CONCATENATE(LEFT(N$7, 7), "hb", "NHS ", $M$8), [0]!data_range, 5, FALSE))</f>
        <v>#REF!</v>
      </c>
      <c r="O8" s="82" t="e">
        <f ca="1">IF($M$8 = "Scotland", VLOOKUP(CONCATENATE(LEFT(O$7, 7), "Scotland", $M$8), [0]!data_range, 5, FALSE), VLOOKUP(CONCATENATE(LEFT(O$7, 7), "hb", "NHS ", $M$8), [0]!data_range, 5, FALSE))</f>
        <v>#REF!</v>
      </c>
      <c r="P8" s="82" t="e">
        <f ca="1">IF($M$8 = "Scotland", VLOOKUP(CONCATENATE(LEFT(P$7, 7), "Scotland", $M$8), [0]!data_range, 5, FALSE), VLOOKUP(CONCATENATE(LEFT(P$7, 7), "hb", "NHS ", $M$8), [0]!data_range, 5, FALSE))</f>
        <v>#REF!</v>
      </c>
      <c r="Q8" s="82" t="e">
        <f ca="1">IF($M$8 = "Scotland", VLOOKUP(CONCATENATE(LEFT(Q$7, 7), "Scotland", $M$8), [0]!data_range, 5, FALSE), VLOOKUP(CONCATENATE(LEFT(Q$7, 7), "hb", "NHS ", $M$8), [0]!data_range, 5, FALSE))</f>
        <v>#REF!</v>
      </c>
      <c r="R8" s="82" t="e">
        <f ca="1">IF($M$8 = "Scotland", VLOOKUP(CONCATENATE(LEFT(R$7, 7), "Scotland", $M$8), [0]!data_range, 5, FALSE), VLOOKUP(CONCATENATE(LEFT(R$7, 7), "hb", "NHS ", $M$8), [0]!data_range, 5, FALSE))</f>
        <v>#REF!</v>
      </c>
      <c r="S8" s="82" t="e">
        <f ca="1">IF($M$8 = "Scotland", VLOOKUP(CONCATENATE(LEFT(S$7, 7), "Scotland", $M$8), [0]!data_range, 5, FALSE), VLOOKUP(CONCATENATE(LEFT(S$7, 7), "hb", "NHS ", $M$8), [0]!data_range, 5, FALSE))</f>
        <v>#REF!</v>
      </c>
      <c r="T8" s="82" t="e">
        <f ca="1">IF($M$8 = "Scotland", VLOOKUP(CONCATENATE(LEFT(T$7, 7), "Scotland", $M$8), [0]!data_range, 5, FALSE), VLOOKUP(CONCATENATE(LEFT(T$7, 7), "hb", "NHS ", $M$8), [0]!data_range, 5, FALSE))</f>
        <v>#REF!</v>
      </c>
      <c r="U8" s="82" t="e">
        <f ca="1">IF($M$8 = "Scotland", VLOOKUP(CONCATENATE(LEFT(U$7, 7), "Scotland", $M$8), [0]!data_range, 5, FALSE), VLOOKUP(CONCATENATE(LEFT(U$7, 7), "hb", "NHS ", $M$8), [0]!data_range, 5, FALSE))</f>
        <v>#REF!</v>
      </c>
      <c r="V8" s="82" t="e">
        <f ca="1">IF($M$8 = "Scotland", VLOOKUP(CONCATENATE(LEFT(V$7, 7), "Scotland", $M$8), [0]!data_range, 5, FALSE), VLOOKUP(CONCATENATE(LEFT(V$7, 7), "hb", "NHS ", $M$8), [0]!data_range, 5, FALSE))</f>
        <v>#REF!</v>
      </c>
    </row>
    <row r="31" spans="2:2" x14ac:dyDescent="0.2">
      <c r="B31" s="80" t="s">
        <v>219</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8"/>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84" t="str">
        <f>Notes!B1:O1</f>
        <v/>
      </c>
      <c r="C1" s="84"/>
      <c r="D1" s="84"/>
      <c r="E1" s="84"/>
      <c r="F1" s="84"/>
      <c r="G1" s="84"/>
      <c r="H1" s="84"/>
      <c r="I1" s="84"/>
      <c r="J1" s="84"/>
    </row>
    <row r="2" spans="2:29" ht="15" customHeight="1" x14ac:dyDescent="0.25">
      <c r="B2" s="4" t="s">
        <v>136</v>
      </c>
      <c r="J2" s="23"/>
      <c r="K2" s="23"/>
      <c r="L2" s="5"/>
    </row>
    <row r="3" spans="2:29" ht="15" customHeight="1" x14ac:dyDescent="0.25">
      <c r="B3" s="4" t="s">
        <v>145</v>
      </c>
      <c r="J3" s="23"/>
      <c r="K3" s="23"/>
      <c r="L3" s="5"/>
    </row>
    <row r="4" spans="2:29" ht="15" customHeight="1" x14ac:dyDescent="0.25">
      <c r="B4" s="4"/>
      <c r="J4" s="23"/>
      <c r="K4" s="23"/>
      <c r="L4" s="5"/>
    </row>
    <row r="5" spans="2:29" ht="15" customHeight="1" x14ac:dyDescent="0.2">
      <c r="G5" s="10" t="s">
        <v>12</v>
      </c>
      <c r="J5" s="23"/>
      <c r="K5" s="48"/>
      <c r="L5" s="5"/>
    </row>
    <row r="6" spans="2:29" ht="15" customHeight="1" x14ac:dyDescent="0.2">
      <c r="C6" s="38"/>
      <c r="D6" s="38"/>
      <c r="E6" s="38"/>
      <c r="F6" s="38"/>
      <c r="G6" s="38"/>
      <c r="H6" s="38"/>
      <c r="I6" s="38"/>
      <c r="J6" s="38"/>
      <c r="K6" s="38"/>
      <c r="L6" s="7"/>
      <c r="M6" s="9"/>
      <c r="N6" s="9"/>
      <c r="O6" s="9"/>
      <c r="P6" s="9"/>
      <c r="Q6" s="9"/>
      <c r="R6" s="9"/>
      <c r="S6" s="9"/>
      <c r="T6" s="9"/>
      <c r="U6" s="9"/>
      <c r="V6" s="9"/>
      <c r="W6" s="9"/>
      <c r="X6" s="9"/>
      <c r="Y6" s="9"/>
      <c r="Z6" s="9"/>
    </row>
    <row r="7" spans="2:29" ht="15" customHeight="1" x14ac:dyDescent="0.2">
      <c r="B7" s="55" t="s">
        <v>146</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56"/>
      <c r="M7" s="12"/>
      <c r="N7" s="12"/>
      <c r="O7" s="12"/>
      <c r="P7" s="12"/>
      <c r="Q7" s="12"/>
      <c r="R7" s="12"/>
      <c r="S7" s="12"/>
      <c r="T7" s="9"/>
      <c r="U7" s="9"/>
      <c r="V7" s="9"/>
      <c r="W7" s="9"/>
      <c r="X7" s="9"/>
      <c r="Y7" s="9"/>
      <c r="Z7" s="9"/>
    </row>
    <row r="8" spans="2:29" ht="15" customHeight="1" x14ac:dyDescent="0.25">
      <c r="B8" s="23" t="s">
        <v>90</v>
      </c>
      <c r="C8" s="15" t="e">
        <f ca="1">VLOOKUP(CONCATENATE(LEFT(C$7, 7), "hscp", $B8), [0]!data_range, 5, FALSE)</f>
        <v>#REF!</v>
      </c>
      <c r="D8" s="15" t="e">
        <f ca="1">VLOOKUP(CONCATENATE(LEFT(D$7, 7), "hscp", $B8), [0]!data_range, 5, FALSE)</f>
        <v>#REF!</v>
      </c>
      <c r="E8" s="15" t="e">
        <f ca="1">VLOOKUP(CONCATENATE(LEFT(E$7, 7), "hscp", $B8), [0]!data_range, 5, FALSE)</f>
        <v>#REF!</v>
      </c>
      <c r="F8" s="15" t="e">
        <f ca="1">VLOOKUP(CONCATENATE(LEFT(F$7, 7), "hscp", $B8), [0]!data_range, 5, FALSE)</f>
        <v>#REF!</v>
      </c>
      <c r="G8" s="15" t="e">
        <f ca="1">VLOOKUP(CONCATENATE(LEFT(G$7, 7), "hscp", $B8), [0]!data_range, 5, FALSE)</f>
        <v>#REF!</v>
      </c>
      <c r="H8" s="15" t="e">
        <f ca="1">VLOOKUP(CONCATENATE(LEFT(H$7, 7), "hscp", $B8), [0]!data_range, 5, FALSE)</f>
        <v>#REF!</v>
      </c>
      <c r="I8" s="15" t="e">
        <f ca="1">VLOOKUP(CONCATENATE(LEFT(I$7, 7), "hscp", $B8), [0]!data_range, 5, FALSE)</f>
        <v>#REF!</v>
      </c>
      <c r="J8" s="15" t="e">
        <f ca="1">VLOOKUP(CONCATENATE(LEFT(J$7, 7), "hscp", $B8), [0]!data_range, 5, FALSE)</f>
        <v>#REF!</v>
      </c>
      <c r="K8" s="15" t="e">
        <f ca="1">VLOOKUP(CONCATENATE(LEFT(K$7, 7), "hscp", $B8), [0]!data_range, 5, FALSE)</f>
        <v>#REF!</v>
      </c>
      <c r="L8" s="57"/>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15" t="e">
        <f ca="1">VLOOKUP(CONCATENATE(LEFT(C$7, 7), "hscp", $B9), [0]!data_range, 5, FALSE)</f>
        <v>#REF!</v>
      </c>
      <c r="D9" s="15" t="e">
        <f ca="1">VLOOKUP(CONCATENATE(LEFT(D$7, 7), "hscp", $B9), [0]!data_range, 5, FALSE)</f>
        <v>#REF!</v>
      </c>
      <c r="E9" s="15" t="e">
        <f ca="1">VLOOKUP(CONCATENATE(LEFT(E$7, 7), "hscp", $B9), [0]!data_range, 5, FALSE)</f>
        <v>#REF!</v>
      </c>
      <c r="F9" s="15" t="e">
        <f ca="1">VLOOKUP(CONCATENATE(LEFT(F$7, 7), "hscp", $B9), [0]!data_range, 5, FALSE)</f>
        <v>#REF!</v>
      </c>
      <c r="G9" s="15" t="e">
        <f ca="1">VLOOKUP(CONCATENATE(LEFT(G$7, 7), "hscp", $B9), [0]!data_range, 5, FALSE)</f>
        <v>#REF!</v>
      </c>
      <c r="H9" s="15" t="e">
        <f ca="1">VLOOKUP(CONCATENATE(LEFT(H$7, 7), "hscp", $B9), [0]!data_range, 5, FALSE)</f>
        <v>#REF!</v>
      </c>
      <c r="I9" s="15" t="e">
        <f ca="1">VLOOKUP(CONCATENATE(LEFT(I$7, 7), "hscp", $B9), [0]!data_range, 5, FALSE)</f>
        <v>#REF!</v>
      </c>
      <c r="J9" s="15" t="e">
        <f ca="1">VLOOKUP(CONCATENATE(LEFT(J$7, 7), "hscp", $B9), [0]!data_range, 5, FALSE)</f>
        <v>#REF!</v>
      </c>
      <c r="K9" s="15" t="e">
        <f ca="1">VLOOKUP(CONCATENATE(LEFT(K$7, 7), "hscp", $B9), [0]!data_range, 5, FALSE)</f>
        <v>#REF!</v>
      </c>
      <c r="L9" s="58"/>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15" t="e">
        <f ca="1">VLOOKUP(CONCATENATE(LEFT(C$7, 7), "hscp", $B10), [0]!data_range, 5, FALSE)</f>
        <v>#REF!</v>
      </c>
      <c r="D10" s="15" t="e">
        <f ca="1">VLOOKUP(CONCATENATE(LEFT(D$7, 7), "hscp", $B10), [0]!data_range, 5, FALSE)</f>
        <v>#REF!</v>
      </c>
      <c r="E10" s="15" t="e">
        <f ca="1">VLOOKUP(CONCATENATE(LEFT(E$7, 7), "hscp", $B10), [0]!data_range, 5, FALSE)</f>
        <v>#REF!</v>
      </c>
      <c r="F10" s="15" t="e">
        <f ca="1">VLOOKUP(CONCATENATE(LEFT(F$7, 7), "hscp", $B10), [0]!data_range, 5, FALSE)</f>
        <v>#REF!</v>
      </c>
      <c r="G10" s="15" t="e">
        <f ca="1">VLOOKUP(CONCATENATE(LEFT(G$7, 7), "hscp", $B10), [0]!data_range, 5, FALSE)</f>
        <v>#REF!</v>
      </c>
      <c r="H10" s="15" t="e">
        <f ca="1">VLOOKUP(CONCATENATE(LEFT(H$7, 7), "hscp", $B10), [0]!data_range, 5, FALSE)</f>
        <v>#REF!</v>
      </c>
      <c r="I10" s="15" t="e">
        <f ca="1">VLOOKUP(CONCATENATE(LEFT(I$7, 7), "hscp", $B10), [0]!data_range, 5, FALSE)</f>
        <v>#REF!</v>
      </c>
      <c r="J10" s="15" t="e">
        <f ca="1">VLOOKUP(CONCATENATE(LEFT(J$7, 7), "hscp", $B10), [0]!data_range, 5, FALSE)</f>
        <v>#REF!</v>
      </c>
      <c r="K10" s="15" t="e">
        <f ca="1">VLOOKUP(CONCATENATE(LEFT(K$7, 7), "hscp", $B10), [0]!data_range, 5, FALSE)</f>
        <v>#REF!</v>
      </c>
      <c r="L10" s="58"/>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203</v>
      </c>
      <c r="C11" s="15" t="e">
        <f ca="1">VLOOKUP(CONCATENATE(LEFT(C$7, 7), "hscp", $B11), [0]!data_range, 5, FALSE)</f>
        <v>#REF!</v>
      </c>
      <c r="D11" s="15" t="e">
        <f ca="1">VLOOKUP(CONCATENATE(LEFT(D$7, 7), "hscp", $B11), [0]!data_range, 5, FALSE)</f>
        <v>#REF!</v>
      </c>
      <c r="E11" s="15" t="e">
        <f ca="1">VLOOKUP(CONCATENATE(LEFT(E$7, 7), "hscp", $B11), [0]!data_range, 5, FALSE)</f>
        <v>#REF!</v>
      </c>
      <c r="F11" s="15" t="e">
        <f ca="1">VLOOKUP(CONCATENATE(LEFT(F$7, 7), "hscp", $B11), [0]!data_range, 5, FALSE)</f>
        <v>#REF!</v>
      </c>
      <c r="G11" s="15" t="e">
        <f ca="1">VLOOKUP(CONCATENATE(LEFT(G$7, 7), "hscp", $B11), [0]!data_range, 5, FALSE)</f>
        <v>#REF!</v>
      </c>
      <c r="H11" s="15" t="e">
        <f ca="1">VLOOKUP(CONCATENATE(LEFT(H$7, 7), "hscp", $B11), [0]!data_range, 5, FALSE)</f>
        <v>#REF!</v>
      </c>
      <c r="I11" s="15" t="e">
        <f ca="1">VLOOKUP(CONCATENATE(LEFT(I$7, 7), "hscp", $B11), [0]!data_range, 5, FALSE)</f>
        <v>#REF!</v>
      </c>
      <c r="J11" s="15" t="e">
        <f ca="1">VLOOKUP(CONCATENATE(LEFT(J$7, 7), "hscp", $B11), [0]!data_range, 5, FALSE)</f>
        <v>#REF!</v>
      </c>
      <c r="K11" s="15" t="e">
        <f ca="1">VLOOKUP(CONCATENATE(LEFT(K$7, 7), "hscp", $B11), [0]!data_range, 5, FALSE)</f>
        <v>#REF!</v>
      </c>
      <c r="L11" s="58"/>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149</v>
      </c>
      <c r="C12" s="15" t="e">
        <f ca="1">VLOOKUP(CONCATENATE(LEFT(C$7, 7), "hscp", $B12), [0]!data_range, 5, FALSE)</f>
        <v>#REF!</v>
      </c>
      <c r="D12" s="15" t="e">
        <f ca="1">VLOOKUP(CONCATENATE(LEFT(D$7, 7), "hscp", $B12), [0]!data_range, 5, FALSE)</f>
        <v>#REF!</v>
      </c>
      <c r="E12" s="15" t="e">
        <f ca="1">VLOOKUP(CONCATENATE(LEFT(E$7, 7), "hscp", $B12), [0]!data_range, 5, FALSE)</f>
        <v>#REF!</v>
      </c>
      <c r="F12" s="15" t="e">
        <f ca="1">VLOOKUP(CONCATENATE(LEFT(F$7, 7), "hscp", $B12), [0]!data_range, 5, FALSE)</f>
        <v>#REF!</v>
      </c>
      <c r="G12" s="15" t="e">
        <f ca="1">VLOOKUP(CONCATENATE(LEFT(G$7, 7), "hscp", $B12), [0]!data_range, 5, FALSE)</f>
        <v>#REF!</v>
      </c>
      <c r="H12" s="15" t="e">
        <f ca="1">VLOOKUP(CONCATENATE(LEFT(H$7, 7), "hscp", $B12), [0]!data_range, 5, FALSE)</f>
        <v>#REF!</v>
      </c>
      <c r="I12" s="15" t="e">
        <f ca="1">VLOOKUP(CONCATENATE(LEFT(I$7, 7), "hscp", $B12), [0]!data_range, 5, FALSE)</f>
        <v>#REF!</v>
      </c>
      <c r="J12" s="15" t="e">
        <f ca="1">VLOOKUP(CONCATENATE(LEFT(J$7, 7), "hscp", $B12), [0]!data_range, 5, FALSE)</f>
        <v>#REF!</v>
      </c>
      <c r="K12" s="15" t="e">
        <f ca="1">VLOOKUP(CONCATENATE(LEFT(K$7, 7), "hscp", $B12), [0]!data_range, 5, FALSE)</f>
        <v>#REF!</v>
      </c>
      <c r="L12" s="58"/>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201</v>
      </c>
      <c r="C13" s="15" t="e">
        <f ca="1">VLOOKUP(CONCATENATE(LEFT(C$7, 7), "hscp", $B13), [0]!data_range, 5, FALSE)</f>
        <v>#REF!</v>
      </c>
      <c r="D13" s="15" t="e">
        <f ca="1">VLOOKUP(CONCATENATE(LEFT(D$7, 7), "hscp", $B13), [0]!data_range, 5, FALSE)</f>
        <v>#REF!</v>
      </c>
      <c r="E13" s="15" t="e">
        <f ca="1">VLOOKUP(CONCATENATE(LEFT(E$7, 7), "hscp", $B13), [0]!data_range, 5, FALSE)</f>
        <v>#REF!</v>
      </c>
      <c r="F13" s="15" t="e">
        <f ca="1">VLOOKUP(CONCATENATE(LEFT(F$7, 7), "hscp", $B13), [0]!data_range, 5, FALSE)</f>
        <v>#REF!</v>
      </c>
      <c r="G13" s="15" t="e">
        <f ca="1">VLOOKUP(CONCATENATE(LEFT(G$7, 7), "hscp", $B13), [0]!data_range, 5, FALSE)</f>
        <v>#REF!</v>
      </c>
      <c r="H13" s="15" t="e">
        <f ca="1">VLOOKUP(CONCATENATE(LEFT(H$7, 7), "hscp", $B13), [0]!data_range, 5, FALSE)</f>
        <v>#REF!</v>
      </c>
      <c r="I13" s="15" t="e">
        <f ca="1">VLOOKUP(CONCATENATE(LEFT(I$7, 7), "hscp", $B13), [0]!data_range, 5, FALSE)</f>
        <v>#REF!</v>
      </c>
      <c r="J13" s="15" t="e">
        <f ca="1">VLOOKUP(CONCATENATE(LEFT(J$7, 7), "hscp", $B13), [0]!data_range, 5, FALSE)</f>
        <v>#REF!</v>
      </c>
      <c r="K13" s="15" t="e">
        <f ca="1">VLOOKUP(CONCATENATE(LEFT(K$7, 7), "hscp", $B13), [0]!data_range, 5, FALSE)</f>
        <v>#REF!</v>
      </c>
      <c r="L13" s="58"/>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15" t="e">
        <f ca="1">VLOOKUP(CONCATENATE(LEFT(C$7, 7), "hscp", $B14), [0]!data_range, 5, FALSE)</f>
        <v>#REF!</v>
      </c>
      <c r="D14" s="15" t="e">
        <f ca="1">VLOOKUP(CONCATENATE(LEFT(D$7, 7), "hscp", $B14), [0]!data_range, 5, FALSE)</f>
        <v>#REF!</v>
      </c>
      <c r="E14" s="15" t="e">
        <f ca="1">VLOOKUP(CONCATENATE(LEFT(E$7, 7), "hscp", $B14), [0]!data_range, 5, FALSE)</f>
        <v>#REF!</v>
      </c>
      <c r="F14" s="15" t="e">
        <f ca="1">VLOOKUP(CONCATENATE(LEFT(F$7, 7), "hscp", $B14), [0]!data_range, 5, FALSE)</f>
        <v>#REF!</v>
      </c>
      <c r="G14" s="15" t="e">
        <f ca="1">VLOOKUP(CONCATENATE(LEFT(G$7, 7), "hscp", $B14), [0]!data_range, 5, FALSE)</f>
        <v>#REF!</v>
      </c>
      <c r="H14" s="15" t="e">
        <f ca="1">VLOOKUP(CONCATENATE(LEFT(H$7, 7), "hscp", $B14), [0]!data_range, 5, FALSE)</f>
        <v>#REF!</v>
      </c>
      <c r="I14" s="15" t="e">
        <f ca="1">VLOOKUP(CONCATENATE(LEFT(I$7, 7), "hscp", $B14), [0]!data_range, 5, FALSE)</f>
        <v>#REF!</v>
      </c>
      <c r="J14" s="15" t="e">
        <f ca="1">VLOOKUP(CONCATENATE(LEFT(J$7, 7), "hscp", $B14), [0]!data_range, 5, FALSE)</f>
        <v>#REF!</v>
      </c>
      <c r="K14" s="15" t="e">
        <f ca="1">VLOOKUP(CONCATENATE(LEFT(K$7, 7), "hscp", $B14), [0]!data_range, 5, FALSE)</f>
        <v>#REF!</v>
      </c>
      <c r="L14" s="58"/>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15" t="e">
        <f ca="1">VLOOKUP(CONCATENATE(LEFT(C$7, 7), "hscp", $B15), [0]!data_range, 5, FALSE)</f>
        <v>#REF!</v>
      </c>
      <c r="D15" s="15" t="e">
        <f ca="1">VLOOKUP(CONCATENATE(LEFT(D$7, 7), "hscp", $B15), [0]!data_range, 5, FALSE)</f>
        <v>#REF!</v>
      </c>
      <c r="E15" s="15" t="e">
        <f ca="1">VLOOKUP(CONCATENATE(LEFT(E$7, 7), "hscp", $B15), [0]!data_range, 5, FALSE)</f>
        <v>#REF!</v>
      </c>
      <c r="F15" s="15" t="e">
        <f ca="1">VLOOKUP(CONCATENATE(LEFT(F$7, 7), "hscp", $B15), [0]!data_range, 5, FALSE)</f>
        <v>#REF!</v>
      </c>
      <c r="G15" s="15" t="e">
        <f ca="1">VLOOKUP(CONCATENATE(LEFT(G$7, 7), "hscp", $B15), [0]!data_range, 5, FALSE)</f>
        <v>#REF!</v>
      </c>
      <c r="H15" s="15" t="e">
        <f ca="1">VLOOKUP(CONCATENATE(LEFT(H$7, 7), "hscp", $B15), [0]!data_range, 5, FALSE)</f>
        <v>#REF!</v>
      </c>
      <c r="I15" s="15" t="e">
        <f ca="1">VLOOKUP(CONCATENATE(LEFT(I$7, 7), "hscp", $B15), [0]!data_range, 5, FALSE)</f>
        <v>#REF!</v>
      </c>
      <c r="J15" s="15" t="e">
        <f ca="1">VLOOKUP(CONCATENATE(LEFT(J$7, 7), "hscp", $B15), [0]!data_range, 5, FALSE)</f>
        <v>#REF!</v>
      </c>
      <c r="K15" s="15" t="e">
        <f ca="1">VLOOKUP(CONCATENATE(LEFT(K$7, 7), "hscp", $B15), [0]!data_range, 5, FALSE)</f>
        <v>#REF!</v>
      </c>
      <c r="L15" s="58"/>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15" t="e">
        <f ca="1">VLOOKUP(CONCATENATE(LEFT(C$7, 7), "hscp", $B16), [0]!data_range, 5, FALSE)</f>
        <v>#REF!</v>
      </c>
      <c r="D16" s="15" t="e">
        <f ca="1">VLOOKUP(CONCATENATE(LEFT(D$7, 7), "hscp", $B16), [0]!data_range, 5, FALSE)</f>
        <v>#REF!</v>
      </c>
      <c r="E16" s="15" t="e">
        <f ca="1">VLOOKUP(CONCATENATE(LEFT(E$7, 7), "hscp", $B16), [0]!data_range, 5, FALSE)</f>
        <v>#REF!</v>
      </c>
      <c r="F16" s="15" t="e">
        <f ca="1">VLOOKUP(CONCATENATE(LEFT(F$7, 7), "hscp", $B16), [0]!data_range, 5, FALSE)</f>
        <v>#REF!</v>
      </c>
      <c r="G16" s="15" t="e">
        <f ca="1">VLOOKUP(CONCATENATE(LEFT(G$7, 7), "hscp", $B16), [0]!data_range, 5, FALSE)</f>
        <v>#REF!</v>
      </c>
      <c r="H16" s="15" t="e">
        <f ca="1">VLOOKUP(CONCATENATE(LEFT(H$7, 7), "hscp", $B16), [0]!data_range, 5, FALSE)</f>
        <v>#REF!</v>
      </c>
      <c r="I16" s="15" t="e">
        <f ca="1">VLOOKUP(CONCATENATE(LEFT(I$7, 7), "hscp", $B16), [0]!data_range, 5, FALSE)</f>
        <v>#REF!</v>
      </c>
      <c r="J16" s="15" t="e">
        <f ca="1">VLOOKUP(CONCATENATE(LEFT(J$7, 7), "hscp", $B16), [0]!data_range, 5, FALSE)</f>
        <v>#REF!</v>
      </c>
      <c r="K16" s="15" t="e">
        <f ca="1">VLOOKUP(CONCATENATE(LEFT(K$7, 7), "hscp", $B16), [0]!data_range, 5, FALSE)</f>
        <v>#REF!</v>
      </c>
      <c r="L16" s="58"/>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15" t="e">
        <f ca="1">VLOOKUP(CONCATENATE(LEFT(C$7, 7), "hscp", $B17), [0]!data_range, 5, FALSE)</f>
        <v>#REF!</v>
      </c>
      <c r="D17" s="15" t="e">
        <f ca="1">VLOOKUP(CONCATENATE(LEFT(D$7, 7), "hscp", $B17), [0]!data_range, 5, FALSE)</f>
        <v>#REF!</v>
      </c>
      <c r="E17" s="15" t="e">
        <f ca="1">VLOOKUP(CONCATENATE(LEFT(E$7, 7), "hscp", $B17), [0]!data_range, 5, FALSE)</f>
        <v>#REF!</v>
      </c>
      <c r="F17" s="15" t="e">
        <f ca="1">VLOOKUP(CONCATENATE(LEFT(F$7, 7), "hscp", $B17), [0]!data_range, 5, FALSE)</f>
        <v>#REF!</v>
      </c>
      <c r="G17" s="15" t="e">
        <f ca="1">VLOOKUP(CONCATENATE(LEFT(G$7, 7), "hscp", $B17), [0]!data_range, 5, FALSE)</f>
        <v>#REF!</v>
      </c>
      <c r="H17" s="15" t="e">
        <f ca="1">VLOOKUP(CONCATENATE(LEFT(H$7, 7), "hscp", $B17), [0]!data_range, 5, FALSE)</f>
        <v>#REF!</v>
      </c>
      <c r="I17" s="15" t="e">
        <f ca="1">VLOOKUP(CONCATENATE(LEFT(I$7, 7), "hscp", $B17), [0]!data_range, 5, FALSE)</f>
        <v>#REF!</v>
      </c>
      <c r="J17" s="15" t="e">
        <f ca="1">VLOOKUP(CONCATENATE(LEFT(J$7, 7), "hscp", $B17), [0]!data_range, 5, FALSE)</f>
        <v>#REF!</v>
      </c>
      <c r="K17" s="15" t="e">
        <f ca="1">VLOOKUP(CONCATENATE(LEFT(K$7, 7), "hscp", $B17), [0]!data_range, 5, FALSE)</f>
        <v>#REF!</v>
      </c>
      <c r="L17" s="58"/>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15" t="e">
        <f ca="1">VLOOKUP(CONCATENATE(LEFT(C$7, 7), "hscp", $B18), [0]!data_range, 5, FALSE)</f>
        <v>#REF!</v>
      </c>
      <c r="D18" s="15" t="e">
        <f ca="1">VLOOKUP(CONCATENATE(LEFT(D$7, 7), "hscp", $B18), [0]!data_range, 5, FALSE)</f>
        <v>#REF!</v>
      </c>
      <c r="E18" s="15" t="e">
        <f ca="1">VLOOKUP(CONCATENATE(LEFT(E$7, 7), "hscp", $B18), [0]!data_range, 5, FALSE)</f>
        <v>#REF!</v>
      </c>
      <c r="F18" s="15" t="e">
        <f ca="1">VLOOKUP(CONCATENATE(LEFT(F$7, 7), "hscp", $B18), [0]!data_range, 5, FALSE)</f>
        <v>#REF!</v>
      </c>
      <c r="G18" s="15" t="e">
        <f ca="1">VLOOKUP(CONCATENATE(LEFT(G$7, 7), "hscp", $B18), [0]!data_range, 5, FALSE)</f>
        <v>#REF!</v>
      </c>
      <c r="H18" s="15" t="e">
        <f ca="1">VLOOKUP(CONCATENATE(LEFT(H$7, 7), "hscp", $B18), [0]!data_range, 5, FALSE)</f>
        <v>#REF!</v>
      </c>
      <c r="I18" s="15" t="e">
        <f ca="1">VLOOKUP(CONCATENATE(LEFT(I$7, 7), "hscp", $B18), [0]!data_range, 5, FALSE)</f>
        <v>#REF!</v>
      </c>
      <c r="J18" s="15" t="e">
        <f ca="1">VLOOKUP(CONCATENATE(LEFT(J$7, 7), "hscp", $B18), [0]!data_range, 5, FALSE)</f>
        <v>#REF!</v>
      </c>
      <c r="K18" s="15" t="e">
        <f ca="1">VLOOKUP(CONCATENATE(LEFT(K$7, 7), "hscp", $B18), [0]!data_range, 5, FALSE)</f>
        <v>#REF!</v>
      </c>
      <c r="L18" s="58"/>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153</v>
      </c>
      <c r="C19" s="15" t="e">
        <f ca="1">VLOOKUP(CONCATENATE(LEFT(C$7, 7), "hscp", $B19), [0]!data_range, 5, FALSE)</f>
        <v>#REF!</v>
      </c>
      <c r="D19" s="15" t="e">
        <f ca="1">VLOOKUP(CONCATENATE(LEFT(D$7, 7), "hscp", $B19), [0]!data_range, 5, FALSE)</f>
        <v>#REF!</v>
      </c>
      <c r="E19" s="15" t="e">
        <f ca="1">VLOOKUP(CONCATENATE(LEFT(E$7, 7), "hscp", $B19), [0]!data_range, 5, FALSE)</f>
        <v>#REF!</v>
      </c>
      <c r="F19" s="15" t="e">
        <f ca="1">VLOOKUP(CONCATENATE(LEFT(F$7, 7), "hscp", $B19), [0]!data_range, 5, FALSE)</f>
        <v>#REF!</v>
      </c>
      <c r="G19" s="15" t="e">
        <f ca="1">VLOOKUP(CONCATENATE(LEFT(G$7, 7), "hscp", $B19), [0]!data_range, 5, FALSE)</f>
        <v>#REF!</v>
      </c>
      <c r="H19" s="15" t="e">
        <f ca="1">VLOOKUP(CONCATENATE(LEFT(H$7, 7), "hscp", $B19), [0]!data_range, 5, FALSE)</f>
        <v>#REF!</v>
      </c>
      <c r="I19" s="15" t="e">
        <f ca="1">VLOOKUP(CONCATENATE(LEFT(I$7, 7), "hscp", $B19), [0]!data_range, 5, FALSE)</f>
        <v>#REF!</v>
      </c>
      <c r="J19" s="15" t="e">
        <f ca="1">VLOOKUP(CONCATENATE(LEFT(J$7, 7), "hscp", $B19), [0]!data_range, 5, FALSE)</f>
        <v>#REF!</v>
      </c>
      <c r="K19" s="15" t="e">
        <f ca="1">VLOOKUP(CONCATENATE(LEFT(K$7, 7), "hscp", $B19), [0]!data_range, 5, FALSE)</f>
        <v>#REF!</v>
      </c>
      <c r="L19" s="58"/>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15" t="e">
        <f ca="1">VLOOKUP(CONCATENATE(LEFT(C$7, 7), "hscp", $B20), [0]!data_range, 5, FALSE)</f>
        <v>#REF!</v>
      </c>
      <c r="D20" s="15" t="e">
        <f ca="1">VLOOKUP(CONCATENATE(LEFT(D$7, 7), "hscp", $B20), [0]!data_range, 5, FALSE)</f>
        <v>#REF!</v>
      </c>
      <c r="E20" s="15" t="e">
        <f ca="1">VLOOKUP(CONCATENATE(LEFT(E$7, 7), "hscp", $B20), [0]!data_range, 5, FALSE)</f>
        <v>#REF!</v>
      </c>
      <c r="F20" s="15" t="e">
        <f ca="1">VLOOKUP(CONCATENATE(LEFT(F$7, 7), "hscp", $B20), [0]!data_range, 5, FALSE)</f>
        <v>#REF!</v>
      </c>
      <c r="G20" s="15" t="e">
        <f ca="1">VLOOKUP(CONCATENATE(LEFT(G$7, 7), "hscp", $B20), [0]!data_range, 5, FALSE)</f>
        <v>#REF!</v>
      </c>
      <c r="H20" s="15" t="e">
        <f ca="1">VLOOKUP(CONCATENATE(LEFT(H$7, 7), "hscp", $B20), [0]!data_range, 5, FALSE)</f>
        <v>#REF!</v>
      </c>
      <c r="I20" s="15" t="e">
        <f ca="1">VLOOKUP(CONCATENATE(LEFT(I$7, 7), "hscp", $B20), [0]!data_range, 5, FALSE)</f>
        <v>#REF!</v>
      </c>
      <c r="J20" s="15" t="e">
        <f ca="1">VLOOKUP(CONCATENATE(LEFT(J$7, 7), "hscp", $B20), [0]!data_range, 5, FALSE)</f>
        <v>#REF!</v>
      </c>
      <c r="K20" s="15" t="e">
        <f ca="1">VLOOKUP(CONCATENATE(LEFT(K$7, 7), "hscp", $B20), [0]!data_range, 5, FALSE)</f>
        <v>#REF!</v>
      </c>
      <c r="L20" s="58"/>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15" t="e">
        <f ca="1">VLOOKUP(CONCATENATE(LEFT(C$7, 7), "hscp", $B21), [0]!data_range, 5, FALSE)</f>
        <v>#REF!</v>
      </c>
      <c r="D21" s="15" t="e">
        <f ca="1">VLOOKUP(CONCATENATE(LEFT(D$7, 7), "hscp", $B21), [0]!data_range, 5, FALSE)</f>
        <v>#REF!</v>
      </c>
      <c r="E21" s="15" t="e">
        <f ca="1">VLOOKUP(CONCATENATE(LEFT(E$7, 7), "hscp", $B21), [0]!data_range, 5, FALSE)</f>
        <v>#REF!</v>
      </c>
      <c r="F21" s="15" t="e">
        <f ca="1">VLOOKUP(CONCATENATE(LEFT(F$7, 7), "hscp", $B21), [0]!data_range, 5, FALSE)</f>
        <v>#REF!</v>
      </c>
      <c r="G21" s="15" t="e">
        <f ca="1">VLOOKUP(CONCATENATE(LEFT(G$7, 7), "hscp", $B21), [0]!data_range, 5, FALSE)</f>
        <v>#REF!</v>
      </c>
      <c r="H21" s="15" t="e">
        <f ca="1">VLOOKUP(CONCATENATE(LEFT(H$7, 7), "hscp", $B21), [0]!data_range, 5, FALSE)</f>
        <v>#REF!</v>
      </c>
      <c r="I21" s="15" t="e">
        <f ca="1">VLOOKUP(CONCATENATE(LEFT(I$7, 7), "hscp", $B21), [0]!data_range, 5, FALSE)</f>
        <v>#REF!</v>
      </c>
      <c r="J21" s="15" t="e">
        <f ca="1">VLOOKUP(CONCATENATE(LEFT(J$7, 7), "hscp", $B21), [0]!data_range, 5, FALSE)</f>
        <v>#REF!</v>
      </c>
      <c r="K21" s="15" t="e">
        <f ca="1">VLOOKUP(CONCATENATE(LEFT(K$7, 7), "hscp", $B21), [0]!data_range, 5, FALSE)</f>
        <v>#REF!</v>
      </c>
      <c r="L21" s="58"/>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147</v>
      </c>
      <c r="C22" s="15" t="e">
        <f ca="1">VLOOKUP(CONCATENATE(LEFT(C$7, 7), "hscp", $B22), [0]!data_range, 5, FALSE)</f>
        <v>#REF!</v>
      </c>
      <c r="D22" s="15" t="e">
        <f ca="1">VLOOKUP(CONCATENATE(LEFT(D$7, 7), "hscp", $B22), [0]!data_range, 5, FALSE)</f>
        <v>#REF!</v>
      </c>
      <c r="E22" s="15" t="e">
        <f ca="1">VLOOKUP(CONCATENATE(LEFT(E$7, 7), "hscp", $B22), [0]!data_range, 5, FALSE)</f>
        <v>#REF!</v>
      </c>
      <c r="F22" s="15" t="e">
        <f ca="1">VLOOKUP(CONCATENATE(LEFT(F$7, 7), "hscp", $B22), [0]!data_range, 5, FALSE)</f>
        <v>#REF!</v>
      </c>
      <c r="G22" s="15" t="e">
        <f ca="1">VLOOKUP(CONCATENATE(LEFT(G$7, 7), "hscp", $B22), [0]!data_range, 5, FALSE)</f>
        <v>#REF!</v>
      </c>
      <c r="H22" s="15" t="e">
        <f ca="1">VLOOKUP(CONCATENATE(LEFT(H$7, 7), "hscp", $B22), [0]!data_range, 5, FALSE)</f>
        <v>#REF!</v>
      </c>
      <c r="I22" s="15" t="e">
        <f ca="1">VLOOKUP(CONCATENATE(LEFT(I$7, 7), "hscp", $B22), [0]!data_range, 5, FALSE)</f>
        <v>#REF!</v>
      </c>
      <c r="J22" s="15" t="e">
        <f ca="1">VLOOKUP(CONCATENATE(LEFT(J$7, 7), "hscp", $B22), [0]!data_range, 5, FALSE)</f>
        <v>#REF!</v>
      </c>
      <c r="K22" s="15" t="e">
        <f ca="1">VLOOKUP(CONCATENATE(LEFT(K$7, 7), "hscp", $B22), [0]!data_range, 5, FALSE)</f>
        <v>#REF!</v>
      </c>
      <c r="L22" s="58"/>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15" t="e">
        <f ca="1">VLOOKUP(CONCATENATE(LEFT(C$7, 7), "hscp", $B23), [0]!data_range, 5, FALSE)</f>
        <v>#REF!</v>
      </c>
      <c r="D23" s="15" t="e">
        <f ca="1">VLOOKUP(CONCATENATE(LEFT(D$7, 7), "hscp", $B23), [0]!data_range, 5, FALSE)</f>
        <v>#REF!</v>
      </c>
      <c r="E23" s="15" t="e">
        <f ca="1">VLOOKUP(CONCATENATE(LEFT(E$7, 7), "hscp", $B23), [0]!data_range, 5, FALSE)</f>
        <v>#REF!</v>
      </c>
      <c r="F23" s="15" t="e">
        <f ca="1">VLOOKUP(CONCATENATE(LEFT(F$7, 7), "hscp", $B23), [0]!data_range, 5, FALSE)</f>
        <v>#REF!</v>
      </c>
      <c r="G23" s="15" t="e">
        <f ca="1">VLOOKUP(CONCATENATE(LEFT(G$7, 7), "hscp", $B23), [0]!data_range, 5, FALSE)</f>
        <v>#REF!</v>
      </c>
      <c r="H23" s="15" t="e">
        <f ca="1">VLOOKUP(CONCATENATE(LEFT(H$7, 7), "hscp", $B23), [0]!data_range, 5, FALSE)</f>
        <v>#REF!</v>
      </c>
      <c r="I23" s="15" t="e">
        <f ca="1">VLOOKUP(CONCATENATE(LEFT(I$7, 7), "hscp", $B23), [0]!data_range, 5, FALSE)</f>
        <v>#REF!</v>
      </c>
      <c r="J23" s="15" t="e">
        <f ca="1">VLOOKUP(CONCATENATE(LEFT(J$7, 7), "hscp", $B23), [0]!data_range, 5, FALSE)</f>
        <v>#REF!</v>
      </c>
      <c r="K23" s="15" t="e">
        <f ca="1">VLOOKUP(CONCATENATE(LEFT(K$7, 7), "hscp", $B23), [0]!data_range, 5, FALSE)</f>
        <v>#REF!</v>
      </c>
      <c r="L23" s="58"/>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15" t="e">
        <f ca="1">VLOOKUP(CONCATENATE(LEFT(C$7, 7), "hscp", $B24), [0]!data_range, 5, FALSE)</f>
        <v>#REF!</v>
      </c>
      <c r="D24" s="15" t="e">
        <f ca="1">VLOOKUP(CONCATENATE(LEFT(D$7, 7), "hscp", $B24), [0]!data_range, 5, FALSE)</f>
        <v>#REF!</v>
      </c>
      <c r="E24" s="15" t="e">
        <f ca="1">VLOOKUP(CONCATENATE(LEFT(E$7, 7), "hscp", $B24), [0]!data_range, 5, FALSE)</f>
        <v>#REF!</v>
      </c>
      <c r="F24" s="15" t="e">
        <f ca="1">VLOOKUP(CONCATENATE(LEFT(F$7, 7), "hscp", $B24), [0]!data_range, 5, FALSE)</f>
        <v>#REF!</v>
      </c>
      <c r="G24" s="15" t="e">
        <f ca="1">VLOOKUP(CONCATENATE(LEFT(G$7, 7), "hscp", $B24), [0]!data_range, 5, FALSE)</f>
        <v>#REF!</v>
      </c>
      <c r="H24" s="15" t="e">
        <f ca="1">VLOOKUP(CONCATENATE(LEFT(H$7, 7), "hscp", $B24), [0]!data_range, 5, FALSE)</f>
        <v>#REF!</v>
      </c>
      <c r="I24" s="15" t="e">
        <f ca="1">VLOOKUP(CONCATENATE(LEFT(I$7, 7), "hscp", $B24), [0]!data_range, 5, FALSE)</f>
        <v>#REF!</v>
      </c>
      <c r="J24" s="15" t="e">
        <f ca="1">VLOOKUP(CONCATENATE(LEFT(J$7, 7), "hscp", $B24), [0]!data_range, 5, FALSE)</f>
        <v>#REF!</v>
      </c>
      <c r="K24" s="15" t="e">
        <f ca="1">VLOOKUP(CONCATENATE(LEFT(K$7, 7), "hscp", $B24), [0]!data_range, 5, FALSE)</f>
        <v>#REF!</v>
      </c>
      <c r="L24" s="58"/>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15" t="e">
        <f ca="1">VLOOKUP(CONCATENATE(LEFT(C$7, 7), "hscp", $B25), [0]!data_range, 5, FALSE)</f>
        <v>#REF!</v>
      </c>
      <c r="D25" s="15" t="e">
        <f ca="1">VLOOKUP(CONCATENATE(LEFT(D$7, 7), "hscp", $B25), [0]!data_range, 5, FALSE)</f>
        <v>#REF!</v>
      </c>
      <c r="E25" s="15" t="e">
        <f ca="1">VLOOKUP(CONCATENATE(LEFT(E$7, 7), "hscp", $B25), [0]!data_range, 5, FALSE)</f>
        <v>#REF!</v>
      </c>
      <c r="F25" s="15" t="e">
        <f ca="1">VLOOKUP(CONCATENATE(LEFT(F$7, 7), "hscp", $B25), [0]!data_range, 5, FALSE)</f>
        <v>#REF!</v>
      </c>
      <c r="G25" s="15" t="e">
        <f ca="1">VLOOKUP(CONCATENATE(LEFT(G$7, 7), "hscp", $B25), [0]!data_range, 5, FALSE)</f>
        <v>#REF!</v>
      </c>
      <c r="H25" s="15" t="e">
        <f ca="1">VLOOKUP(CONCATENATE(LEFT(H$7, 7), "hscp", $B25), [0]!data_range, 5, FALSE)</f>
        <v>#REF!</v>
      </c>
      <c r="I25" s="15" t="e">
        <f ca="1">VLOOKUP(CONCATENATE(LEFT(I$7, 7), "hscp", $B25), [0]!data_range, 5, FALSE)</f>
        <v>#REF!</v>
      </c>
      <c r="J25" s="15" t="e">
        <f ca="1">VLOOKUP(CONCATENATE(LEFT(J$7, 7), "hscp", $B25), [0]!data_range, 5, FALSE)</f>
        <v>#REF!</v>
      </c>
      <c r="K25" s="15" t="e">
        <f ca="1">VLOOKUP(CONCATENATE(LEFT(K$7, 7), "hscp", $B25), [0]!data_range, 5, FALSE)</f>
        <v>#REF!</v>
      </c>
      <c r="L25" s="58"/>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15" t="e">
        <f ca="1">VLOOKUP(CONCATENATE(LEFT(C$7, 7), "hscp", $B26), [0]!data_range, 5, FALSE)</f>
        <v>#REF!</v>
      </c>
      <c r="D26" s="15" t="e">
        <f ca="1">VLOOKUP(CONCATENATE(LEFT(D$7, 7), "hscp", $B26), [0]!data_range, 5, FALSE)</f>
        <v>#REF!</v>
      </c>
      <c r="E26" s="15" t="e">
        <f ca="1">VLOOKUP(CONCATENATE(LEFT(E$7, 7), "hscp", $B26), [0]!data_range, 5, FALSE)</f>
        <v>#REF!</v>
      </c>
      <c r="F26" s="15" t="e">
        <f ca="1">VLOOKUP(CONCATENATE(LEFT(F$7, 7), "hscp", $B26), [0]!data_range, 5, FALSE)</f>
        <v>#REF!</v>
      </c>
      <c r="G26" s="15" t="e">
        <f ca="1">VLOOKUP(CONCATENATE(LEFT(G$7, 7), "hscp", $B26), [0]!data_range, 5, FALSE)</f>
        <v>#REF!</v>
      </c>
      <c r="H26" s="15" t="e">
        <f ca="1">VLOOKUP(CONCATENATE(LEFT(H$7, 7), "hscp", $B26), [0]!data_range, 5, FALSE)</f>
        <v>#REF!</v>
      </c>
      <c r="I26" s="15" t="e">
        <f ca="1">VLOOKUP(CONCATENATE(LEFT(I$7, 7), "hscp", $B26), [0]!data_range, 5, FALSE)</f>
        <v>#REF!</v>
      </c>
      <c r="J26" s="15" t="e">
        <f ca="1">VLOOKUP(CONCATENATE(LEFT(J$7, 7), "hscp", $B26), [0]!data_range, 5, FALSE)</f>
        <v>#REF!</v>
      </c>
      <c r="K26" s="15" t="e">
        <f ca="1">VLOOKUP(CONCATENATE(LEFT(K$7, 7), "hscp", $B26), [0]!data_range, 5, FALSE)</f>
        <v>#REF!</v>
      </c>
      <c r="L26" s="58"/>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15" t="e">
        <f ca="1">VLOOKUP(CONCATENATE(LEFT(C$7, 7), "hscp", $B27), [0]!data_range, 5, FALSE)</f>
        <v>#REF!</v>
      </c>
      <c r="D27" s="15" t="e">
        <f ca="1">VLOOKUP(CONCATENATE(LEFT(D$7, 7), "hscp", $B27), [0]!data_range, 5, FALSE)</f>
        <v>#REF!</v>
      </c>
      <c r="E27" s="15" t="e">
        <f ca="1">VLOOKUP(CONCATENATE(LEFT(E$7, 7), "hscp", $B27), [0]!data_range, 5, FALSE)</f>
        <v>#REF!</v>
      </c>
      <c r="F27" s="15" t="e">
        <f ca="1">VLOOKUP(CONCATENATE(LEFT(F$7, 7), "hscp", $B27), [0]!data_range, 5, FALSE)</f>
        <v>#REF!</v>
      </c>
      <c r="G27" s="15" t="e">
        <f ca="1">VLOOKUP(CONCATENATE(LEFT(G$7, 7), "hscp", $B27), [0]!data_range, 5, FALSE)</f>
        <v>#REF!</v>
      </c>
      <c r="H27" s="15" t="e">
        <f ca="1">VLOOKUP(CONCATENATE(LEFT(H$7, 7), "hscp", $B27), [0]!data_range, 5, FALSE)</f>
        <v>#REF!</v>
      </c>
      <c r="I27" s="15" t="e">
        <f ca="1">VLOOKUP(CONCATENATE(LEFT(I$7, 7), "hscp", $B27), [0]!data_range, 5, FALSE)</f>
        <v>#REF!</v>
      </c>
      <c r="J27" s="15" t="e">
        <f ca="1">VLOOKUP(CONCATENATE(LEFT(J$7, 7), "hscp", $B27), [0]!data_range, 5, FALSE)</f>
        <v>#REF!</v>
      </c>
      <c r="K27" s="15" t="e">
        <f ca="1">VLOOKUP(CONCATENATE(LEFT(K$7, 7), "hscp", $B27), [0]!data_range, 5, FALSE)</f>
        <v>#REF!</v>
      </c>
      <c r="L27" s="58"/>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15" t="e">
        <f ca="1">VLOOKUP(CONCATENATE(LEFT(C$7, 7), "hscp", $B28), [0]!data_range, 5, FALSE)</f>
        <v>#REF!</v>
      </c>
      <c r="D28" s="15" t="e">
        <f ca="1">VLOOKUP(CONCATENATE(LEFT(D$7, 7), "hscp", $B28), [0]!data_range, 5, FALSE)</f>
        <v>#REF!</v>
      </c>
      <c r="E28" s="15" t="e">
        <f ca="1">VLOOKUP(CONCATENATE(LEFT(E$7, 7), "hscp", $B28), [0]!data_range, 5, FALSE)</f>
        <v>#REF!</v>
      </c>
      <c r="F28" s="15" t="e">
        <f ca="1">VLOOKUP(CONCATENATE(LEFT(F$7, 7), "hscp", $B28), [0]!data_range, 5, FALSE)</f>
        <v>#REF!</v>
      </c>
      <c r="G28" s="15" t="e">
        <f ca="1">VLOOKUP(CONCATENATE(LEFT(G$7, 7), "hscp", $B28), [0]!data_range, 5, FALSE)</f>
        <v>#REF!</v>
      </c>
      <c r="H28" s="15" t="e">
        <f ca="1">VLOOKUP(CONCATENATE(LEFT(H$7, 7), "hscp", $B28), [0]!data_range, 5, FALSE)</f>
        <v>#REF!</v>
      </c>
      <c r="I28" s="15" t="e">
        <f ca="1">VLOOKUP(CONCATENATE(LEFT(I$7, 7), "hscp", $B28), [0]!data_range, 5, FALSE)</f>
        <v>#REF!</v>
      </c>
      <c r="J28" s="15" t="e">
        <f ca="1">VLOOKUP(CONCATENATE(LEFT(J$7, 7), "hscp", $B28), [0]!data_range, 5, FALSE)</f>
        <v>#REF!</v>
      </c>
      <c r="K28" s="15" t="e">
        <f ca="1">VLOOKUP(CONCATENATE(LEFT(K$7, 7), "hscp", $B28), [0]!data_range, 5, FALSE)</f>
        <v>#REF!</v>
      </c>
      <c r="L28" s="58"/>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15" t="e">
        <f ca="1">VLOOKUP(CONCATENATE(LEFT(C$7, 7), "hscp", $B29), [0]!data_range, 5, FALSE)</f>
        <v>#REF!</v>
      </c>
      <c r="D29" s="15" t="e">
        <f ca="1">VLOOKUP(CONCATENATE(LEFT(D$7, 7), "hscp", $B29), [0]!data_range, 5, FALSE)</f>
        <v>#REF!</v>
      </c>
      <c r="E29" s="15" t="e">
        <f ca="1">VLOOKUP(CONCATENATE(LEFT(E$7, 7), "hscp", $B29), [0]!data_range, 5, FALSE)</f>
        <v>#REF!</v>
      </c>
      <c r="F29" s="15" t="e">
        <f ca="1">VLOOKUP(CONCATENATE(LEFT(F$7, 7), "hscp", $B29), [0]!data_range, 5, FALSE)</f>
        <v>#REF!</v>
      </c>
      <c r="G29" s="15" t="e">
        <f ca="1">VLOOKUP(CONCATENATE(LEFT(G$7, 7), "hscp", $B29), [0]!data_range, 5, FALSE)</f>
        <v>#REF!</v>
      </c>
      <c r="H29" s="15" t="e">
        <f ca="1">VLOOKUP(CONCATENATE(LEFT(H$7, 7), "hscp", $B29), [0]!data_range, 5, FALSE)</f>
        <v>#REF!</v>
      </c>
      <c r="I29" s="15" t="e">
        <f ca="1">VLOOKUP(CONCATENATE(LEFT(I$7, 7), "hscp", $B29), [0]!data_range, 5, FALSE)</f>
        <v>#REF!</v>
      </c>
      <c r="J29" s="15" t="e">
        <f ca="1">VLOOKUP(CONCATENATE(LEFT(J$7, 7), "hscp", $B29), [0]!data_range, 5, FALSE)</f>
        <v>#REF!</v>
      </c>
      <c r="K29" s="15" t="e">
        <f ca="1">VLOOKUP(CONCATENATE(LEFT(K$7, 7), "hscp", $B29), [0]!data_range, 5, FALSE)</f>
        <v>#REF!</v>
      </c>
      <c r="L29" s="58"/>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204</v>
      </c>
      <c r="C30" s="15" t="e">
        <f ca="1">VLOOKUP(CONCATENATE(LEFT(C$7, 7), "hscp", $B30), [0]!data_range, 5, FALSE)</f>
        <v>#REF!</v>
      </c>
      <c r="D30" s="15" t="e">
        <f ca="1">VLOOKUP(CONCATENATE(LEFT(D$7, 7), "hscp", $B30), [0]!data_range, 5, FALSE)</f>
        <v>#REF!</v>
      </c>
      <c r="E30" s="15" t="e">
        <f ca="1">VLOOKUP(CONCATENATE(LEFT(E$7, 7), "hscp", $B30), [0]!data_range, 5, FALSE)</f>
        <v>#REF!</v>
      </c>
      <c r="F30" s="15" t="e">
        <f ca="1">VLOOKUP(CONCATENATE(LEFT(F$7, 7), "hscp", $B30), [0]!data_range, 5, FALSE)</f>
        <v>#REF!</v>
      </c>
      <c r="G30" s="15" t="e">
        <f ca="1">VLOOKUP(CONCATENATE(LEFT(G$7, 7), "hscp", $B30), [0]!data_range, 5, FALSE)</f>
        <v>#REF!</v>
      </c>
      <c r="H30" s="15" t="e">
        <f ca="1">VLOOKUP(CONCATENATE(LEFT(H$7, 7), "hscp", $B30), [0]!data_range, 5, FALSE)</f>
        <v>#REF!</v>
      </c>
      <c r="I30" s="15" t="e">
        <f ca="1">VLOOKUP(CONCATENATE(LEFT(I$7, 7), "hscp", $B30), [0]!data_range, 5, FALSE)</f>
        <v>#REF!</v>
      </c>
      <c r="J30" s="15" t="e">
        <f ca="1">VLOOKUP(CONCATENATE(LEFT(J$7, 7), "hscp", $B30), [0]!data_range, 5, FALSE)</f>
        <v>#REF!</v>
      </c>
      <c r="K30" s="15" t="e">
        <f ca="1">VLOOKUP(CONCATENATE(LEFT(K$7, 7), "hscp", $B30), [0]!data_range, 5, FALSE)</f>
        <v>#REF!</v>
      </c>
      <c r="L30" s="58"/>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15" t="e">
        <f ca="1">VLOOKUP(CONCATENATE(LEFT(C$7, 7), "hscp", $B31), [0]!data_range, 5, FALSE)</f>
        <v>#REF!</v>
      </c>
      <c r="D31" s="15" t="e">
        <f ca="1">VLOOKUP(CONCATENATE(LEFT(D$7, 7), "hscp", $B31), [0]!data_range, 5, FALSE)</f>
        <v>#REF!</v>
      </c>
      <c r="E31" s="15" t="e">
        <f ca="1">VLOOKUP(CONCATENATE(LEFT(E$7, 7), "hscp", $B31), [0]!data_range, 5, FALSE)</f>
        <v>#REF!</v>
      </c>
      <c r="F31" s="15" t="e">
        <f ca="1">VLOOKUP(CONCATENATE(LEFT(F$7, 7), "hscp", $B31), [0]!data_range, 5, FALSE)</f>
        <v>#REF!</v>
      </c>
      <c r="G31" s="15" t="e">
        <f ca="1">VLOOKUP(CONCATENATE(LEFT(G$7, 7), "hscp", $B31), [0]!data_range, 5, FALSE)</f>
        <v>#REF!</v>
      </c>
      <c r="H31" s="15" t="e">
        <f ca="1">VLOOKUP(CONCATENATE(LEFT(H$7, 7), "hscp", $B31), [0]!data_range, 5, FALSE)</f>
        <v>#REF!</v>
      </c>
      <c r="I31" s="15" t="e">
        <f ca="1">VLOOKUP(CONCATENATE(LEFT(I$7, 7), "hscp", $B31), [0]!data_range, 5, FALSE)</f>
        <v>#REF!</v>
      </c>
      <c r="J31" s="15" t="e">
        <f ca="1">VLOOKUP(CONCATENATE(LEFT(J$7, 7), "hscp", $B31), [0]!data_range, 5, FALSE)</f>
        <v>#REF!</v>
      </c>
      <c r="K31" s="15" t="e">
        <f ca="1">VLOOKUP(CONCATENATE(LEFT(K$7, 7), "hscp", $B31), [0]!data_range, 5, FALSE)</f>
        <v>#REF!</v>
      </c>
      <c r="L31" s="58"/>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15" t="e">
        <f ca="1">VLOOKUP(CONCATENATE(LEFT(C$7, 7), "hscp", $B32), [0]!data_range, 5, FALSE)</f>
        <v>#REF!</v>
      </c>
      <c r="D32" s="15" t="e">
        <f ca="1">VLOOKUP(CONCATENATE(LEFT(D$7, 7), "hscp", $B32), [0]!data_range, 5, FALSE)</f>
        <v>#REF!</v>
      </c>
      <c r="E32" s="15" t="e">
        <f ca="1">VLOOKUP(CONCATENATE(LEFT(E$7, 7), "hscp", $B32), [0]!data_range, 5, FALSE)</f>
        <v>#REF!</v>
      </c>
      <c r="F32" s="15" t="e">
        <f ca="1">VLOOKUP(CONCATENATE(LEFT(F$7, 7), "hscp", $B32), [0]!data_range, 5, FALSE)</f>
        <v>#REF!</v>
      </c>
      <c r="G32" s="15" t="e">
        <f ca="1">VLOOKUP(CONCATENATE(LEFT(G$7, 7), "hscp", $B32), [0]!data_range, 5, FALSE)</f>
        <v>#REF!</v>
      </c>
      <c r="H32" s="15" t="e">
        <f ca="1">VLOOKUP(CONCATENATE(LEFT(H$7, 7), "hscp", $B32), [0]!data_range, 5, FALSE)</f>
        <v>#REF!</v>
      </c>
      <c r="I32" s="15" t="e">
        <f ca="1">VLOOKUP(CONCATENATE(LEFT(I$7, 7), "hscp", $B32), [0]!data_range, 5, FALSE)</f>
        <v>#REF!</v>
      </c>
      <c r="J32" s="15" t="e">
        <f ca="1">VLOOKUP(CONCATENATE(LEFT(J$7, 7), "hscp", $B32), [0]!data_range, 5, FALSE)</f>
        <v>#REF!</v>
      </c>
      <c r="K32" s="15" t="e">
        <f ca="1">VLOOKUP(CONCATENATE(LEFT(K$7, 7), "hscp", $B32), [0]!data_range, 5, FALSE)</f>
        <v>#REF!</v>
      </c>
      <c r="L32" s="58"/>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15" t="e">
        <f ca="1">VLOOKUP(CONCATENATE(LEFT(C$7, 7), "hscp", $B33), [0]!data_range, 5, FALSE)</f>
        <v>#REF!</v>
      </c>
      <c r="D33" s="15" t="e">
        <f ca="1">VLOOKUP(CONCATENATE(LEFT(D$7, 7), "hscp", $B33), [0]!data_range, 5, FALSE)</f>
        <v>#REF!</v>
      </c>
      <c r="E33" s="15" t="e">
        <f ca="1">VLOOKUP(CONCATENATE(LEFT(E$7, 7), "hscp", $B33), [0]!data_range, 5, FALSE)</f>
        <v>#REF!</v>
      </c>
      <c r="F33" s="15" t="e">
        <f ca="1">VLOOKUP(CONCATENATE(LEFT(F$7, 7), "hscp", $B33), [0]!data_range, 5, FALSE)</f>
        <v>#REF!</v>
      </c>
      <c r="G33" s="15" t="e">
        <f ca="1">VLOOKUP(CONCATENATE(LEFT(G$7, 7), "hscp", $B33), [0]!data_range, 5, FALSE)</f>
        <v>#REF!</v>
      </c>
      <c r="H33" s="15" t="e">
        <f ca="1">VLOOKUP(CONCATENATE(LEFT(H$7, 7), "hscp", $B33), [0]!data_range, 5, FALSE)</f>
        <v>#REF!</v>
      </c>
      <c r="I33" s="15" t="e">
        <f ca="1">VLOOKUP(CONCATENATE(LEFT(I$7, 7), "hscp", $B33), [0]!data_range, 5, FALSE)</f>
        <v>#REF!</v>
      </c>
      <c r="J33" s="15" t="e">
        <f ca="1">VLOOKUP(CONCATENATE(LEFT(J$7, 7), "hscp", $B33), [0]!data_range, 5, FALSE)</f>
        <v>#REF!</v>
      </c>
      <c r="K33" s="15" t="e">
        <f ca="1">VLOOKUP(CONCATENATE(LEFT(K$7, 7), "hscp", $B33), [0]!data_range, 5, FALSE)</f>
        <v>#REF!</v>
      </c>
      <c r="L33" s="58"/>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15" t="e">
        <f ca="1">VLOOKUP(CONCATENATE(LEFT(C$7, 7), "hscp", $B34), [0]!data_range, 5, FALSE)</f>
        <v>#REF!</v>
      </c>
      <c r="D34" s="15" t="e">
        <f ca="1">VLOOKUP(CONCATENATE(LEFT(D$7, 7), "hscp", $B34), [0]!data_range, 5, FALSE)</f>
        <v>#REF!</v>
      </c>
      <c r="E34" s="15" t="e">
        <f ca="1">VLOOKUP(CONCATENATE(LEFT(E$7, 7), "hscp", $B34), [0]!data_range, 5, FALSE)</f>
        <v>#REF!</v>
      </c>
      <c r="F34" s="15" t="e">
        <f ca="1">VLOOKUP(CONCATENATE(LEFT(F$7, 7), "hscp", $B34), [0]!data_range, 5, FALSE)</f>
        <v>#REF!</v>
      </c>
      <c r="G34" s="15" t="e">
        <f ca="1">VLOOKUP(CONCATENATE(LEFT(G$7, 7), "hscp", $B34), [0]!data_range, 5, FALSE)</f>
        <v>#REF!</v>
      </c>
      <c r="H34" s="15" t="e">
        <f ca="1">VLOOKUP(CONCATENATE(LEFT(H$7, 7), "hscp", $B34), [0]!data_range, 5, FALSE)</f>
        <v>#REF!</v>
      </c>
      <c r="I34" s="15" t="e">
        <f ca="1">VLOOKUP(CONCATENATE(LEFT(I$7, 7), "hscp", $B34), [0]!data_range, 5, FALSE)</f>
        <v>#REF!</v>
      </c>
      <c r="J34" s="15" t="e">
        <f ca="1">VLOOKUP(CONCATENATE(LEFT(J$7, 7), "hscp", $B34), [0]!data_range, 5, FALSE)</f>
        <v>#REF!</v>
      </c>
      <c r="K34" s="15" t="e">
        <f ca="1">VLOOKUP(CONCATENATE(LEFT(K$7, 7), "hscp", $B34), [0]!data_range, 5, FALSE)</f>
        <v>#REF!</v>
      </c>
      <c r="L34" s="58"/>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15" t="e">
        <f ca="1">VLOOKUP(CONCATENATE(LEFT(C$7, 7), "hscp", $B35), [0]!data_range, 5, FALSE)</f>
        <v>#REF!</v>
      </c>
      <c r="D35" s="15" t="e">
        <f ca="1">VLOOKUP(CONCATENATE(LEFT(D$7, 7), "hscp", $B35), [0]!data_range, 5, FALSE)</f>
        <v>#REF!</v>
      </c>
      <c r="E35" s="15" t="e">
        <f ca="1">VLOOKUP(CONCATENATE(LEFT(E$7, 7), "hscp", $B35), [0]!data_range, 5, FALSE)</f>
        <v>#REF!</v>
      </c>
      <c r="F35" s="15" t="e">
        <f ca="1">VLOOKUP(CONCATENATE(LEFT(F$7, 7), "hscp", $B35), [0]!data_range, 5, FALSE)</f>
        <v>#REF!</v>
      </c>
      <c r="G35" s="15" t="e">
        <f ca="1">VLOOKUP(CONCATENATE(LEFT(G$7, 7), "hscp", $B35), [0]!data_range, 5, FALSE)</f>
        <v>#REF!</v>
      </c>
      <c r="H35" s="15" t="e">
        <f ca="1">VLOOKUP(CONCATENATE(LEFT(H$7, 7), "hscp", $B35), [0]!data_range, 5, FALSE)</f>
        <v>#REF!</v>
      </c>
      <c r="I35" s="15" t="e">
        <f ca="1">VLOOKUP(CONCATENATE(LEFT(I$7, 7), "hscp", $B35), [0]!data_range, 5, FALSE)</f>
        <v>#REF!</v>
      </c>
      <c r="J35" s="15" t="e">
        <f ca="1">VLOOKUP(CONCATENATE(LEFT(J$7, 7), "hscp", $B35), [0]!data_range, 5, FALSE)</f>
        <v>#REF!</v>
      </c>
      <c r="K35" s="15" t="e">
        <f ca="1">VLOOKUP(CONCATENATE(LEFT(K$7, 7), "hscp", $B35), [0]!data_range, 5, FALSE)</f>
        <v>#REF!</v>
      </c>
      <c r="L35" s="58"/>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15" t="e">
        <f ca="1">VLOOKUP(CONCATENATE(LEFT(C$7, 7), "hscp", $B36), [0]!data_range, 5, FALSE)</f>
        <v>#REF!</v>
      </c>
      <c r="D36" s="15" t="e">
        <f ca="1">VLOOKUP(CONCATENATE(LEFT(D$7, 7), "hscp", $B36), [0]!data_range, 5, FALSE)</f>
        <v>#REF!</v>
      </c>
      <c r="E36" s="15" t="e">
        <f ca="1">VLOOKUP(CONCATENATE(LEFT(E$7, 7), "hscp", $B36), [0]!data_range, 5, FALSE)</f>
        <v>#REF!</v>
      </c>
      <c r="F36" s="15" t="e">
        <f ca="1">VLOOKUP(CONCATENATE(LEFT(F$7, 7), "hscp", $B36), [0]!data_range, 5, FALSE)</f>
        <v>#REF!</v>
      </c>
      <c r="G36" s="15" t="e">
        <f ca="1">VLOOKUP(CONCATENATE(LEFT(G$7, 7), "hscp", $B36), [0]!data_range, 5, FALSE)</f>
        <v>#REF!</v>
      </c>
      <c r="H36" s="15" t="e">
        <f ca="1">VLOOKUP(CONCATENATE(LEFT(H$7, 7), "hscp", $B36), [0]!data_range, 5, FALSE)</f>
        <v>#REF!</v>
      </c>
      <c r="I36" s="15" t="e">
        <f ca="1">VLOOKUP(CONCATENATE(LEFT(I$7, 7), "hscp", $B36), [0]!data_range, 5, FALSE)</f>
        <v>#REF!</v>
      </c>
      <c r="J36" s="15" t="e">
        <f ca="1">VLOOKUP(CONCATENATE(LEFT(J$7, 7), "hscp", $B36), [0]!data_range, 5, FALSE)</f>
        <v>#REF!</v>
      </c>
      <c r="K36" s="15" t="e">
        <f ca="1">VLOOKUP(CONCATENATE(LEFT(K$7, 7), "hscp", $B36), [0]!data_range, 5, FALSE)</f>
        <v>#REF!</v>
      </c>
      <c r="L36" s="58"/>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15" t="e">
        <f ca="1">VLOOKUP(CONCATENATE(LEFT(C$7, 7), "hscp", $B37), [0]!data_range, 5, FALSE)</f>
        <v>#REF!</v>
      </c>
      <c r="D37" s="15" t="e">
        <f ca="1">VLOOKUP(CONCATENATE(LEFT(D$7, 7), "hscp", $B37), [0]!data_range, 5, FALSE)</f>
        <v>#REF!</v>
      </c>
      <c r="E37" s="15" t="e">
        <f ca="1">VLOOKUP(CONCATENATE(LEFT(E$7, 7), "hscp", $B37), [0]!data_range, 5, FALSE)</f>
        <v>#REF!</v>
      </c>
      <c r="F37" s="15" t="e">
        <f ca="1">VLOOKUP(CONCATENATE(LEFT(F$7, 7), "hscp", $B37), [0]!data_range, 5, FALSE)</f>
        <v>#REF!</v>
      </c>
      <c r="G37" s="15" t="e">
        <f ca="1">VLOOKUP(CONCATENATE(LEFT(G$7, 7), "hscp", $B37), [0]!data_range, 5, FALSE)</f>
        <v>#REF!</v>
      </c>
      <c r="H37" s="15" t="e">
        <f ca="1">VLOOKUP(CONCATENATE(LEFT(H$7, 7), "hscp", $B37), [0]!data_range, 5, FALSE)</f>
        <v>#REF!</v>
      </c>
      <c r="I37" s="15" t="e">
        <f ca="1">VLOOKUP(CONCATENATE(LEFT(I$7, 7), "hscp", $B37), [0]!data_range, 5, FALSE)</f>
        <v>#REF!</v>
      </c>
      <c r="J37" s="15" t="e">
        <f ca="1">VLOOKUP(CONCATENATE(LEFT(J$7, 7), "hscp", $B37), [0]!data_range, 5, FALSE)</f>
        <v>#REF!</v>
      </c>
      <c r="K37" s="15" t="e">
        <f ca="1">VLOOKUP(CONCATENATE(LEFT(K$7, 7), "hscp", $B37), [0]!data_range, 5, FALSE)</f>
        <v>#REF!</v>
      </c>
      <c r="L37" s="58"/>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15" t="e">
        <f ca="1">VLOOKUP(CONCATENATE(LEFT(C$7, 7), "hscp", $B38), [0]!data_range, 5, FALSE)</f>
        <v>#REF!</v>
      </c>
      <c r="D38" s="15" t="e">
        <f ca="1">VLOOKUP(CONCATENATE(LEFT(D$7, 7), "hscp", $B38), [0]!data_range, 5, FALSE)</f>
        <v>#REF!</v>
      </c>
      <c r="E38" s="15" t="e">
        <f ca="1">VLOOKUP(CONCATENATE(LEFT(E$7, 7), "hscp", $B38), [0]!data_range, 5, FALSE)</f>
        <v>#REF!</v>
      </c>
      <c r="F38" s="15" t="e">
        <f ca="1">VLOOKUP(CONCATENATE(LEFT(F$7, 7), "hscp", $B38), [0]!data_range, 5, FALSE)</f>
        <v>#REF!</v>
      </c>
      <c r="G38" s="15" t="e">
        <f ca="1">VLOOKUP(CONCATENATE(LEFT(G$7, 7), "hscp", $B38), [0]!data_range, 5, FALSE)</f>
        <v>#REF!</v>
      </c>
      <c r="H38" s="15" t="e">
        <f ca="1">VLOOKUP(CONCATENATE(LEFT(H$7, 7), "hscp", $B38), [0]!data_range, 5, FALSE)</f>
        <v>#REF!</v>
      </c>
      <c r="I38" s="15" t="e">
        <f ca="1">VLOOKUP(CONCATENATE(LEFT(I$7, 7), "hscp", $B38), [0]!data_range, 5, FALSE)</f>
        <v>#REF!</v>
      </c>
      <c r="J38" s="15" t="e">
        <f ca="1">VLOOKUP(CONCATENATE(LEFT(J$7, 7), "hscp", $B38), [0]!data_range, 5, FALSE)</f>
        <v>#REF!</v>
      </c>
      <c r="K38" s="15" t="e">
        <f ca="1">VLOOKUP(CONCATENATE(LEFT(K$7, 7), "hscp", $B38), [0]!data_range, 5, FALSE)</f>
        <v>#REF!</v>
      </c>
      <c r="L38" s="58"/>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54" t="e">
        <f ca="1">VLOOKUP(CONCATENATE(LEFT(C$7, 7), "Scotland", $B39), [0]!data_range, 5, FALSE)</f>
        <v>#REF!</v>
      </c>
      <c r="D39" s="54" t="e">
        <f ca="1">VLOOKUP(CONCATENATE(LEFT(D$7, 7), "Scotland", $B39), [0]!data_range, 5, FALSE)</f>
        <v>#REF!</v>
      </c>
      <c r="E39" s="54" t="e">
        <f ca="1">VLOOKUP(CONCATENATE(LEFT(E$7, 7), "Scotland", $B39), [0]!data_range, 5, FALSE)</f>
        <v>#REF!</v>
      </c>
      <c r="F39" s="54" t="e">
        <f ca="1">VLOOKUP(CONCATENATE(LEFT(F$7, 7), "Scotland", $B39), [0]!data_range, 5, FALSE)</f>
        <v>#REF!</v>
      </c>
      <c r="G39" s="54" t="e">
        <f ca="1">VLOOKUP(CONCATENATE(LEFT(G$7, 7), "Scotland", $B39), [0]!data_range, 5, FALSE)</f>
        <v>#REF!</v>
      </c>
      <c r="H39" s="54" t="e">
        <f ca="1">VLOOKUP(CONCATENATE(LEFT(H$7, 7), "Scotland", $B39), [0]!data_range, 5, FALSE)</f>
        <v>#REF!</v>
      </c>
      <c r="I39" s="54" t="e">
        <f ca="1">VLOOKUP(CONCATENATE(LEFT(I$7, 7), "Scotland", $B39), [0]!data_range, 5, FALSE)</f>
        <v>#REF!</v>
      </c>
      <c r="J39" s="54" t="e">
        <f ca="1">VLOOKUP(CONCATENATE(LEFT(J$7, 7), "Scotland", $B39), [0]!data_range, 5, FALSE)</f>
        <v>#REF!</v>
      </c>
      <c r="K39" s="54" t="e">
        <f ca="1">VLOOKUP(CONCATENATE(LEFT(K$7, 7), "Scotland", $B39), [0]!data_range, 5, FALSE)</f>
        <v>#REF!</v>
      </c>
      <c r="L39" s="1"/>
      <c r="M39" s="59"/>
      <c r="N39" s="59"/>
      <c r="O39" s="59"/>
      <c r="P39" s="59"/>
      <c r="Q39" s="59"/>
      <c r="R39" s="59"/>
      <c r="S39" s="59"/>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C41" s="52"/>
      <c r="J41" s="23"/>
      <c r="K41" s="23"/>
      <c r="L41" s="5"/>
    </row>
    <row r="42" spans="2:29" ht="15" customHeight="1" x14ac:dyDescent="0.2">
      <c r="B42" s="19" t="s">
        <v>15</v>
      </c>
      <c r="J42" s="23"/>
      <c r="K42" s="23"/>
      <c r="L42" s="5"/>
    </row>
    <row r="43" spans="2:29" ht="15" customHeight="1" x14ac:dyDescent="0.2">
      <c r="J43" s="23"/>
      <c r="K43" s="23"/>
      <c r="L43" s="5"/>
    </row>
    <row r="44" spans="2:29" ht="15" customHeight="1" x14ac:dyDescent="0.2">
      <c r="B44" s="21" t="s">
        <v>150</v>
      </c>
      <c r="J44" s="23"/>
      <c r="K44" s="23"/>
      <c r="L44" s="5"/>
    </row>
    <row r="45" spans="2:29" ht="15" customHeight="1" x14ac:dyDescent="0.2">
      <c r="B45" s="21" t="s">
        <v>143</v>
      </c>
      <c r="J45" s="23"/>
      <c r="K45" s="23"/>
      <c r="L45" s="5"/>
    </row>
    <row r="46" spans="2:29" ht="15" customHeight="1" x14ac:dyDescent="0.2">
      <c r="B46" s="21" t="e">
        <f ca="1">"    1. Data for " &amp; [0]!fy_max &amp;" are incomplete and will be revised in October 20" &amp; RIGHT([0]!fy_max, 2) &amp; " publication"</f>
        <v>#REF!</v>
      </c>
      <c r="J46" s="23"/>
      <c r="K46" s="23"/>
      <c r="L46" s="5"/>
    </row>
    <row r="47" spans="2:29" ht="15" customHeight="1" x14ac:dyDescent="0.2">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L156" s="6"/>
    </row>
    <row r="157" spans="10:12" ht="15" customHeight="1" x14ac:dyDescent="0.2">
      <c r="J157" s="23"/>
      <c r="K157" s="23"/>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sheetData>
  <mergeCells count="1">
    <mergeCell ref="B1:J1"/>
  </mergeCells>
  <phoneticPr fontId="5" type="noConversion"/>
  <hyperlinks>
    <hyperlink ref="B42"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213</v>
      </c>
    </row>
    <row r="3" spans="1:22" ht="15.75" x14ac:dyDescent="0.25">
      <c r="B3" s="75" t="s">
        <v>214</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calculation!$A$28:$B$59, 2, 0)</f>
        <v>Scotland</v>
      </c>
      <c r="N8" s="82" t="e">
        <f ca="1">IF($M$8 = "Scotland", VLOOKUP(CONCATENATE(LEFT(N$7, 7), "Scotland", $M$8), [0]!data_range, 5, FALSE), VLOOKUP(CONCATENATE(LEFT(N$7, 7), "hscp", $M$8), [0]!data_range, 5, FALSE))</f>
        <v>#REF!</v>
      </c>
      <c r="O8" s="82" t="e">
        <f ca="1">IF($M$8 = "Scotland", VLOOKUP(CONCATENATE(LEFT(O$7, 7), "Scotland", $M$8), [0]!data_range, 5, FALSE), VLOOKUP(CONCATENATE(LEFT(O$7, 7), "hscp", $M$8), [0]!data_range, 5, FALSE))</f>
        <v>#REF!</v>
      </c>
      <c r="P8" s="82" t="e">
        <f ca="1">IF($M$8 = "Scotland", VLOOKUP(CONCATENATE(LEFT(P$7, 7), "Scotland", $M$8), [0]!data_range, 5, FALSE), VLOOKUP(CONCATENATE(LEFT(P$7, 7), "hscp", $M$8), [0]!data_range, 5, FALSE))</f>
        <v>#REF!</v>
      </c>
      <c r="Q8" s="82" t="e">
        <f ca="1">IF($M$8 = "Scotland", VLOOKUP(CONCATENATE(LEFT(Q$7, 7), "Scotland", $M$8), [0]!data_range, 5, FALSE), VLOOKUP(CONCATENATE(LEFT(Q$7, 7), "hscp", $M$8), [0]!data_range, 5, FALSE))</f>
        <v>#REF!</v>
      </c>
      <c r="R8" s="82" t="e">
        <f ca="1">IF($M$8 = "Scotland", VLOOKUP(CONCATENATE(LEFT(R$7, 7), "Scotland", $M$8), [0]!data_range, 5, FALSE), VLOOKUP(CONCATENATE(LEFT(R$7, 7), "hscp", $M$8), [0]!data_range, 5, FALSE))</f>
        <v>#REF!</v>
      </c>
      <c r="S8" s="82" t="e">
        <f ca="1">IF($M$8 = "Scotland", VLOOKUP(CONCATENATE(LEFT(S$7, 7), "Scotland", $M$8), [0]!data_range, 5, FALSE), VLOOKUP(CONCATENATE(LEFT(S$7, 7), "hscp", $M$8), [0]!data_range, 5, FALSE))</f>
        <v>#REF!</v>
      </c>
      <c r="T8" s="82" t="e">
        <f ca="1">IF($M$8 = "Scotland", VLOOKUP(CONCATENATE(LEFT(T$7, 7), "Scotland", $M$8), [0]!data_range, 5, FALSE), VLOOKUP(CONCATENATE(LEFT(T$7, 7), "hscp", $M$8), [0]!data_range, 5, FALSE))</f>
        <v>#REF!</v>
      </c>
      <c r="U8" s="82" t="e">
        <f ca="1">IF($M$8 = "Scotland", VLOOKUP(CONCATENATE(LEFT(U$7, 7), "Scotland", $M$8), [0]!data_range, 5, FALSE), VLOOKUP(CONCATENATE(LEFT(U$7, 7), "hscp", $M$8), [0]!data_range, 5, FALSE))</f>
        <v>#REF!</v>
      </c>
      <c r="V8" s="82" t="e">
        <f ca="1">IF($M$8 = "Scotland", VLOOKUP(CONCATENATE(LEFT(V$7, 7), "Scotland", $M$8), [0]!data_range, 5, FALSE), VLOOKUP(CONCATENATE(LEFT(V$7, 7), "hscp", $M$8), [0]!data_range, 5, FALSE))</f>
        <v>#REF!</v>
      </c>
    </row>
    <row r="31" spans="2:2" x14ac:dyDescent="0.2">
      <c r="B31" s="80" t="s">
        <v>219</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84" t="str">
        <f>Notes!B1:O1</f>
        <v/>
      </c>
      <c r="C1" s="84"/>
      <c r="D1" s="84"/>
      <c r="E1" s="84"/>
      <c r="F1" s="84"/>
      <c r="G1" s="84"/>
      <c r="H1" s="84"/>
      <c r="I1" s="84"/>
      <c r="J1" s="84"/>
    </row>
    <row r="2" spans="2:11" ht="15" customHeight="1" x14ac:dyDescent="0.25">
      <c r="B2" s="4" t="s">
        <v>137</v>
      </c>
      <c r="J2" s="23"/>
      <c r="K2" s="23"/>
    </row>
    <row r="3" spans="2:11" ht="15" customHeight="1" x14ac:dyDescent="0.25">
      <c r="B3" s="4" t="s">
        <v>206</v>
      </c>
      <c r="J3" s="23"/>
      <c r="K3" s="23"/>
    </row>
    <row r="4" spans="2:11" ht="15" customHeight="1" x14ac:dyDescent="0.25">
      <c r="B4" s="4"/>
      <c r="J4" s="23"/>
      <c r="K4" s="23"/>
    </row>
    <row r="5" spans="2:11" ht="15" customHeight="1" x14ac:dyDescent="0.2">
      <c r="G5" s="10" t="s">
        <v>163</v>
      </c>
      <c r="J5" s="23"/>
      <c r="K5" s="23"/>
    </row>
    <row r="6" spans="2:11" ht="15" customHeight="1" x14ac:dyDescent="0.2">
      <c r="C6" s="38"/>
      <c r="D6" s="38"/>
      <c r="E6" s="38"/>
      <c r="F6" s="38"/>
      <c r="G6" s="38"/>
      <c r="H6" s="38"/>
      <c r="I6" s="38"/>
      <c r="J6" s="38"/>
      <c r="K6" s="38"/>
    </row>
    <row r="7" spans="2:11" ht="15" customHeight="1" x14ac:dyDescent="0.2">
      <c r="B7" s="55" t="s">
        <v>207</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row>
    <row r="8" spans="2:11" ht="15" customHeight="1" x14ac:dyDescent="0.2">
      <c r="B8" s="23" t="s">
        <v>90</v>
      </c>
      <c r="C8" s="15" t="e">
        <f ca="1">VLOOKUP(CONCATENATE(LEFT(C$7, 7), "ca", $B8), [0]!data_range, 5, FALSE)</f>
        <v>#REF!</v>
      </c>
      <c r="D8" s="15" t="e">
        <f ca="1">VLOOKUP(CONCATENATE(LEFT(D$7, 7), "ca", $B8), [0]!data_range, 5, FALSE)</f>
        <v>#REF!</v>
      </c>
      <c r="E8" s="15" t="e">
        <f ca="1">VLOOKUP(CONCATENATE(LEFT(E$7, 7), "ca", $B8), [0]!data_range, 5, FALSE)</f>
        <v>#REF!</v>
      </c>
      <c r="F8" s="15" t="e">
        <f ca="1">VLOOKUP(CONCATENATE(LEFT(F$7, 7), "ca", $B8), [0]!data_range, 5, FALSE)</f>
        <v>#REF!</v>
      </c>
      <c r="G8" s="15" t="e">
        <f ca="1">VLOOKUP(CONCATENATE(LEFT(G$7, 7), "ca", $B8), [0]!data_range, 5, FALSE)</f>
        <v>#REF!</v>
      </c>
      <c r="H8" s="15" t="e">
        <f ca="1">VLOOKUP(CONCATENATE(LEFT(H$7, 7), "ca", $B8), [0]!data_range, 5, FALSE)</f>
        <v>#REF!</v>
      </c>
      <c r="I8" s="15" t="e">
        <f ca="1">VLOOKUP(CONCATENATE(LEFT(I$7, 7), "ca", $B8), [0]!data_range, 5, FALSE)</f>
        <v>#REF!</v>
      </c>
      <c r="J8" s="15" t="e">
        <f ca="1">VLOOKUP(CONCATENATE(LEFT(J$7, 7), "ca", $B8), [0]!data_range, 5, FALSE)</f>
        <v>#REF!</v>
      </c>
      <c r="K8" s="15" t="e">
        <f ca="1">VLOOKUP(CONCATENATE(LEFT(K$7, 7), "ca", $B8), [0]!data_range, 5, FALSE)</f>
        <v>#REF!</v>
      </c>
    </row>
    <row r="9" spans="2:11" ht="15" customHeight="1" x14ac:dyDescent="0.2">
      <c r="B9" s="23" t="s">
        <v>91</v>
      </c>
      <c r="C9" s="15" t="e">
        <f ca="1">VLOOKUP(CONCATENATE(LEFT(C$7, 7), "ca", $B9), [0]!data_range, 5, FALSE)</f>
        <v>#REF!</v>
      </c>
      <c r="D9" s="15" t="e">
        <f ca="1">VLOOKUP(CONCATENATE(LEFT(D$7, 7), "ca", $B9), [0]!data_range, 5, FALSE)</f>
        <v>#REF!</v>
      </c>
      <c r="E9" s="15" t="e">
        <f ca="1">VLOOKUP(CONCATENATE(LEFT(E$7, 7), "ca", $B9), [0]!data_range, 5, FALSE)</f>
        <v>#REF!</v>
      </c>
      <c r="F9" s="15" t="e">
        <f ca="1">VLOOKUP(CONCATENATE(LEFT(F$7, 7), "ca", $B9), [0]!data_range, 5, FALSE)</f>
        <v>#REF!</v>
      </c>
      <c r="G9" s="15" t="e">
        <f ca="1">VLOOKUP(CONCATENATE(LEFT(G$7, 7), "ca", $B9), [0]!data_range, 5, FALSE)</f>
        <v>#REF!</v>
      </c>
      <c r="H9" s="15" t="e">
        <f ca="1">VLOOKUP(CONCATENATE(LEFT(H$7, 7), "ca", $B9), [0]!data_range, 5, FALSE)</f>
        <v>#REF!</v>
      </c>
      <c r="I9" s="15" t="e">
        <f ca="1">VLOOKUP(CONCATENATE(LEFT(I$7, 7), "ca", $B9), [0]!data_range, 5, FALSE)</f>
        <v>#REF!</v>
      </c>
      <c r="J9" s="15" t="e">
        <f ca="1">VLOOKUP(CONCATENATE(LEFT(J$7, 7), "ca", $B9), [0]!data_range, 5, FALSE)</f>
        <v>#REF!</v>
      </c>
      <c r="K9" s="15" t="e">
        <f ca="1">VLOOKUP(CONCATENATE(LEFT(K$7, 7), "ca", $B9), [0]!data_range, 5, FALSE)</f>
        <v>#REF!</v>
      </c>
    </row>
    <row r="10" spans="2:11" ht="15" customHeight="1" x14ac:dyDescent="0.2">
      <c r="B10" s="23" t="s">
        <v>92</v>
      </c>
      <c r="C10" s="15" t="e">
        <f ca="1">VLOOKUP(CONCATENATE(LEFT(C$7, 7), "ca", $B10), [0]!data_range, 5, FALSE)</f>
        <v>#REF!</v>
      </c>
      <c r="D10" s="15" t="e">
        <f ca="1">VLOOKUP(CONCATENATE(LEFT(D$7, 7), "ca", $B10), [0]!data_range, 5, FALSE)</f>
        <v>#REF!</v>
      </c>
      <c r="E10" s="15" t="e">
        <f ca="1">VLOOKUP(CONCATENATE(LEFT(E$7, 7), "ca", $B10), [0]!data_range, 5, FALSE)</f>
        <v>#REF!</v>
      </c>
      <c r="F10" s="15" t="e">
        <f ca="1">VLOOKUP(CONCATENATE(LEFT(F$7, 7), "ca", $B10), [0]!data_range, 5, FALSE)</f>
        <v>#REF!</v>
      </c>
      <c r="G10" s="15" t="e">
        <f ca="1">VLOOKUP(CONCATENATE(LEFT(G$7, 7), "ca", $B10), [0]!data_range, 5, FALSE)</f>
        <v>#REF!</v>
      </c>
      <c r="H10" s="15" t="e">
        <f ca="1">VLOOKUP(CONCATENATE(LEFT(H$7, 7), "ca", $B10), [0]!data_range, 5, FALSE)</f>
        <v>#REF!</v>
      </c>
      <c r="I10" s="15" t="e">
        <f ca="1">VLOOKUP(CONCATENATE(LEFT(I$7, 7), "ca", $B10), [0]!data_range, 5, FALSE)</f>
        <v>#REF!</v>
      </c>
      <c r="J10" s="15" t="e">
        <f ca="1">VLOOKUP(CONCATENATE(LEFT(J$7, 7), "ca", $B10), [0]!data_range, 5, FALSE)</f>
        <v>#REF!</v>
      </c>
      <c r="K10" s="15" t="e">
        <f ca="1">VLOOKUP(CONCATENATE(LEFT(K$7, 7), "ca", $B10), [0]!data_range, 5, FALSE)</f>
        <v>#REF!</v>
      </c>
    </row>
    <row r="11" spans="2:11" ht="15" customHeight="1" x14ac:dyDescent="0.2">
      <c r="B11" s="23" t="s">
        <v>203</v>
      </c>
      <c r="C11" s="15" t="e">
        <f ca="1">VLOOKUP(CONCATENATE(LEFT(C$7, 7), "ca", $B11), [0]!data_range, 5, FALSE)</f>
        <v>#REF!</v>
      </c>
      <c r="D11" s="15" t="e">
        <f ca="1">VLOOKUP(CONCATENATE(LEFT(D$7, 7), "ca", $B11), [0]!data_range, 5, FALSE)</f>
        <v>#REF!</v>
      </c>
      <c r="E11" s="15" t="e">
        <f ca="1">VLOOKUP(CONCATENATE(LEFT(E$7, 7), "ca", $B11), [0]!data_range, 5, FALSE)</f>
        <v>#REF!</v>
      </c>
      <c r="F11" s="15" t="e">
        <f ca="1">VLOOKUP(CONCATENATE(LEFT(F$7, 7), "ca", $B11), [0]!data_range, 5, FALSE)</f>
        <v>#REF!</v>
      </c>
      <c r="G11" s="15" t="e">
        <f ca="1">VLOOKUP(CONCATENATE(LEFT(G$7, 7), "ca", $B11), [0]!data_range, 5, FALSE)</f>
        <v>#REF!</v>
      </c>
      <c r="H11" s="15" t="e">
        <f ca="1">VLOOKUP(CONCATENATE(LEFT(H$7, 7), "ca", $B11), [0]!data_range, 5, FALSE)</f>
        <v>#REF!</v>
      </c>
      <c r="I11" s="15" t="e">
        <f ca="1">VLOOKUP(CONCATENATE(LEFT(I$7, 7), "ca", $B11), [0]!data_range, 5, FALSE)</f>
        <v>#REF!</v>
      </c>
      <c r="J11" s="15" t="e">
        <f ca="1">VLOOKUP(CONCATENATE(LEFT(J$7, 7), "ca", $B11), [0]!data_range, 5, FALSE)</f>
        <v>#REF!</v>
      </c>
      <c r="K11" s="15" t="e">
        <f ca="1">VLOOKUP(CONCATENATE(LEFT(K$7, 7), "ca", $B11), [0]!data_range, 5, FALSE)</f>
        <v>#REF!</v>
      </c>
    </row>
    <row r="12" spans="2:11" ht="15" customHeight="1" x14ac:dyDescent="0.2">
      <c r="B12" s="23" t="s">
        <v>164</v>
      </c>
      <c r="C12" s="15" t="e">
        <f ca="1">VLOOKUP(CONCATENATE(LEFT(C$7, 7), "ca", $B12), [0]!data_range, 5, FALSE)</f>
        <v>#REF!</v>
      </c>
      <c r="D12" s="15" t="e">
        <f ca="1">VLOOKUP(CONCATENATE(LEFT(D$7, 7), "ca", $B12), [0]!data_range, 5, FALSE)</f>
        <v>#REF!</v>
      </c>
      <c r="E12" s="15" t="e">
        <f ca="1">VLOOKUP(CONCATENATE(LEFT(E$7, 7), "ca", $B12), [0]!data_range, 5, FALSE)</f>
        <v>#REF!</v>
      </c>
      <c r="F12" s="15" t="e">
        <f ca="1">VLOOKUP(CONCATENATE(LEFT(F$7, 7), "ca", $B12), [0]!data_range, 5, FALSE)</f>
        <v>#REF!</v>
      </c>
      <c r="G12" s="15" t="e">
        <f ca="1">VLOOKUP(CONCATENATE(LEFT(G$7, 7), "ca", $B12), [0]!data_range, 5, FALSE)</f>
        <v>#REF!</v>
      </c>
      <c r="H12" s="15" t="e">
        <f ca="1">VLOOKUP(CONCATENATE(LEFT(H$7, 7), "ca", $B12), [0]!data_range, 5, FALSE)</f>
        <v>#REF!</v>
      </c>
      <c r="I12" s="15" t="e">
        <f ca="1">VLOOKUP(CONCATENATE(LEFT(I$7, 7), "ca", $B12), [0]!data_range, 5, FALSE)</f>
        <v>#REF!</v>
      </c>
      <c r="J12" s="15" t="e">
        <f ca="1">VLOOKUP(CONCATENATE(LEFT(J$7, 7), "ca", $B12), [0]!data_range, 5, FALSE)</f>
        <v>#REF!</v>
      </c>
      <c r="K12" s="15" t="e">
        <f ca="1">VLOOKUP(CONCATENATE(LEFT(K$7, 7), "ca", $B12), [0]!data_range, 5, FALSE)</f>
        <v>#REF!</v>
      </c>
    </row>
    <row r="13" spans="2:11" ht="15" customHeight="1" x14ac:dyDescent="0.2">
      <c r="B13" s="23" t="s">
        <v>201</v>
      </c>
      <c r="C13" s="15" t="e">
        <f ca="1">VLOOKUP(CONCATENATE(LEFT(C$7, 7), "ca", $B13), [0]!data_range, 5, FALSE)</f>
        <v>#REF!</v>
      </c>
      <c r="D13" s="15" t="e">
        <f ca="1">VLOOKUP(CONCATENATE(LEFT(D$7, 7), "ca", $B13), [0]!data_range, 5, FALSE)</f>
        <v>#REF!</v>
      </c>
      <c r="E13" s="15" t="e">
        <f ca="1">VLOOKUP(CONCATENATE(LEFT(E$7, 7), "ca", $B13), [0]!data_range, 5, FALSE)</f>
        <v>#REF!</v>
      </c>
      <c r="F13" s="15" t="e">
        <f ca="1">VLOOKUP(CONCATENATE(LEFT(F$7, 7), "ca", $B13), [0]!data_range, 5, FALSE)</f>
        <v>#REF!</v>
      </c>
      <c r="G13" s="15" t="e">
        <f ca="1">VLOOKUP(CONCATENATE(LEFT(G$7, 7), "ca", $B13), [0]!data_range, 5, FALSE)</f>
        <v>#REF!</v>
      </c>
      <c r="H13" s="15" t="e">
        <f ca="1">VLOOKUP(CONCATENATE(LEFT(H$7, 7), "ca", $B13), [0]!data_range, 5, FALSE)</f>
        <v>#REF!</v>
      </c>
      <c r="I13" s="15" t="e">
        <f ca="1">VLOOKUP(CONCATENATE(LEFT(I$7, 7), "ca", $B13), [0]!data_range, 5, FALSE)</f>
        <v>#REF!</v>
      </c>
      <c r="J13" s="15" t="e">
        <f ca="1">VLOOKUP(CONCATENATE(LEFT(J$7, 7), "ca", $B13), [0]!data_range, 5, FALSE)</f>
        <v>#REF!</v>
      </c>
      <c r="K13" s="15" t="e">
        <f ca="1">VLOOKUP(CONCATENATE(LEFT(K$7, 7), "ca", $B13), [0]!data_range, 5, FALSE)</f>
        <v>#REF!</v>
      </c>
    </row>
    <row r="14" spans="2:11" ht="15" customHeight="1" x14ac:dyDescent="0.2">
      <c r="B14" s="23" t="s">
        <v>93</v>
      </c>
      <c r="C14" s="15" t="e">
        <f ca="1">VLOOKUP(CONCATENATE(LEFT(C$7, 7), "ca", $B14), [0]!data_range, 5, FALSE)</f>
        <v>#REF!</v>
      </c>
      <c r="D14" s="15" t="e">
        <f ca="1">VLOOKUP(CONCATENATE(LEFT(D$7, 7), "ca", $B14), [0]!data_range, 5, FALSE)</f>
        <v>#REF!</v>
      </c>
      <c r="E14" s="15" t="e">
        <f ca="1">VLOOKUP(CONCATENATE(LEFT(E$7, 7), "ca", $B14), [0]!data_range, 5, FALSE)</f>
        <v>#REF!</v>
      </c>
      <c r="F14" s="15" t="e">
        <f ca="1">VLOOKUP(CONCATENATE(LEFT(F$7, 7), "ca", $B14), [0]!data_range, 5, FALSE)</f>
        <v>#REF!</v>
      </c>
      <c r="G14" s="15" t="e">
        <f ca="1">VLOOKUP(CONCATENATE(LEFT(G$7, 7), "ca", $B14), [0]!data_range, 5, FALSE)</f>
        <v>#REF!</v>
      </c>
      <c r="H14" s="15" t="e">
        <f ca="1">VLOOKUP(CONCATENATE(LEFT(H$7, 7), "ca", $B14), [0]!data_range, 5, FALSE)</f>
        <v>#REF!</v>
      </c>
      <c r="I14" s="15" t="e">
        <f ca="1">VLOOKUP(CONCATENATE(LEFT(I$7, 7), "ca", $B14), [0]!data_range, 5, FALSE)</f>
        <v>#REF!</v>
      </c>
      <c r="J14" s="15" t="e">
        <f ca="1">VLOOKUP(CONCATENATE(LEFT(J$7, 7), "ca", $B14), [0]!data_range, 5, FALSE)</f>
        <v>#REF!</v>
      </c>
      <c r="K14" s="15" t="e">
        <f ca="1">VLOOKUP(CONCATENATE(LEFT(K$7, 7), "ca", $B14), [0]!data_range, 5, FALSE)</f>
        <v>#REF!</v>
      </c>
    </row>
    <row r="15" spans="2:11" ht="15" customHeight="1" x14ac:dyDescent="0.2">
      <c r="B15" s="23" t="s">
        <v>94</v>
      </c>
      <c r="C15" s="15" t="e">
        <f ca="1">VLOOKUP(CONCATENATE(LEFT(C$7, 7), "ca", $B15), [0]!data_range, 5, FALSE)</f>
        <v>#REF!</v>
      </c>
      <c r="D15" s="15" t="e">
        <f ca="1">VLOOKUP(CONCATENATE(LEFT(D$7, 7), "ca", $B15), [0]!data_range, 5, FALSE)</f>
        <v>#REF!</v>
      </c>
      <c r="E15" s="15" t="e">
        <f ca="1">VLOOKUP(CONCATENATE(LEFT(E$7, 7), "ca", $B15), [0]!data_range, 5, FALSE)</f>
        <v>#REF!</v>
      </c>
      <c r="F15" s="15" t="e">
        <f ca="1">VLOOKUP(CONCATENATE(LEFT(F$7, 7), "ca", $B15), [0]!data_range, 5, FALSE)</f>
        <v>#REF!</v>
      </c>
      <c r="G15" s="15" t="e">
        <f ca="1">VLOOKUP(CONCATENATE(LEFT(G$7, 7), "ca", $B15), [0]!data_range, 5, FALSE)</f>
        <v>#REF!</v>
      </c>
      <c r="H15" s="15" t="e">
        <f ca="1">VLOOKUP(CONCATENATE(LEFT(H$7, 7), "ca", $B15), [0]!data_range, 5, FALSE)</f>
        <v>#REF!</v>
      </c>
      <c r="I15" s="15" t="e">
        <f ca="1">VLOOKUP(CONCATENATE(LEFT(I$7, 7), "ca", $B15), [0]!data_range, 5, FALSE)</f>
        <v>#REF!</v>
      </c>
      <c r="J15" s="15" t="e">
        <f ca="1">VLOOKUP(CONCATENATE(LEFT(J$7, 7), "ca", $B15), [0]!data_range, 5, FALSE)</f>
        <v>#REF!</v>
      </c>
      <c r="K15" s="15" t="e">
        <f ca="1">VLOOKUP(CONCATENATE(LEFT(K$7, 7), "ca", $B15), [0]!data_range, 5, FALSE)</f>
        <v>#REF!</v>
      </c>
    </row>
    <row r="16" spans="2:11" ht="15" customHeight="1" x14ac:dyDescent="0.2">
      <c r="B16" s="23" t="s">
        <v>95</v>
      </c>
      <c r="C16" s="15" t="e">
        <f ca="1">VLOOKUP(CONCATENATE(LEFT(C$7, 7), "ca", $B16), [0]!data_range, 5, FALSE)</f>
        <v>#REF!</v>
      </c>
      <c r="D16" s="15" t="e">
        <f ca="1">VLOOKUP(CONCATENATE(LEFT(D$7, 7), "ca", $B16), [0]!data_range, 5, FALSE)</f>
        <v>#REF!</v>
      </c>
      <c r="E16" s="15" t="e">
        <f ca="1">VLOOKUP(CONCATENATE(LEFT(E$7, 7), "ca", $B16), [0]!data_range, 5, FALSE)</f>
        <v>#REF!</v>
      </c>
      <c r="F16" s="15" t="e">
        <f ca="1">VLOOKUP(CONCATENATE(LEFT(F$7, 7), "ca", $B16), [0]!data_range, 5, FALSE)</f>
        <v>#REF!</v>
      </c>
      <c r="G16" s="15" t="e">
        <f ca="1">VLOOKUP(CONCATENATE(LEFT(G$7, 7), "ca", $B16), [0]!data_range, 5, FALSE)</f>
        <v>#REF!</v>
      </c>
      <c r="H16" s="15" t="e">
        <f ca="1">VLOOKUP(CONCATENATE(LEFT(H$7, 7), "ca", $B16), [0]!data_range, 5, FALSE)</f>
        <v>#REF!</v>
      </c>
      <c r="I16" s="15" t="e">
        <f ca="1">VLOOKUP(CONCATENATE(LEFT(I$7, 7), "ca", $B16), [0]!data_range, 5, FALSE)</f>
        <v>#REF!</v>
      </c>
      <c r="J16" s="15" t="e">
        <f ca="1">VLOOKUP(CONCATENATE(LEFT(J$7, 7), "ca", $B16), [0]!data_range, 5, FALSE)</f>
        <v>#REF!</v>
      </c>
      <c r="K16" s="15" t="e">
        <f ca="1">VLOOKUP(CONCATENATE(LEFT(K$7, 7), "ca", $B16), [0]!data_range, 5, FALSE)</f>
        <v>#REF!</v>
      </c>
    </row>
    <row r="17" spans="2:11" ht="15" customHeight="1" x14ac:dyDescent="0.2">
      <c r="B17" s="23" t="s">
        <v>96</v>
      </c>
      <c r="C17" s="15" t="e">
        <f ca="1">VLOOKUP(CONCATENATE(LEFT(C$7, 7), "ca", $B17), [0]!data_range, 5, FALSE)</f>
        <v>#REF!</v>
      </c>
      <c r="D17" s="15" t="e">
        <f ca="1">VLOOKUP(CONCATENATE(LEFT(D$7, 7), "ca", $B17), [0]!data_range, 5, FALSE)</f>
        <v>#REF!</v>
      </c>
      <c r="E17" s="15" t="e">
        <f ca="1">VLOOKUP(CONCATENATE(LEFT(E$7, 7), "ca", $B17), [0]!data_range, 5, FALSE)</f>
        <v>#REF!</v>
      </c>
      <c r="F17" s="15" t="e">
        <f ca="1">VLOOKUP(CONCATENATE(LEFT(F$7, 7), "ca", $B17), [0]!data_range, 5, FALSE)</f>
        <v>#REF!</v>
      </c>
      <c r="G17" s="15" t="e">
        <f ca="1">VLOOKUP(CONCATENATE(LEFT(G$7, 7), "ca", $B17), [0]!data_range, 5, FALSE)</f>
        <v>#REF!</v>
      </c>
      <c r="H17" s="15" t="e">
        <f ca="1">VLOOKUP(CONCATENATE(LEFT(H$7, 7), "ca", $B17), [0]!data_range, 5, FALSE)</f>
        <v>#REF!</v>
      </c>
      <c r="I17" s="15" t="e">
        <f ca="1">VLOOKUP(CONCATENATE(LEFT(I$7, 7), "ca", $B17), [0]!data_range, 5, FALSE)</f>
        <v>#REF!</v>
      </c>
      <c r="J17" s="15" t="e">
        <f ca="1">VLOOKUP(CONCATENATE(LEFT(J$7, 7), "ca", $B17), [0]!data_range, 5, FALSE)</f>
        <v>#REF!</v>
      </c>
      <c r="K17" s="15" t="e">
        <f ca="1">VLOOKUP(CONCATENATE(LEFT(K$7, 7), "ca", $B17), [0]!data_range, 5, FALSE)</f>
        <v>#REF!</v>
      </c>
    </row>
    <row r="18" spans="2:11" ht="15" customHeight="1" x14ac:dyDescent="0.2">
      <c r="B18" s="23" t="s">
        <v>97</v>
      </c>
      <c r="C18" s="15" t="e">
        <f ca="1">VLOOKUP(CONCATENATE(LEFT(C$7, 7), "ca", $B18), [0]!data_range, 5, FALSE)</f>
        <v>#REF!</v>
      </c>
      <c r="D18" s="15" t="e">
        <f ca="1">VLOOKUP(CONCATENATE(LEFT(D$7, 7), "ca", $B18), [0]!data_range, 5, FALSE)</f>
        <v>#REF!</v>
      </c>
      <c r="E18" s="15" t="e">
        <f ca="1">VLOOKUP(CONCATENATE(LEFT(E$7, 7), "ca", $B18), [0]!data_range, 5, FALSE)</f>
        <v>#REF!</v>
      </c>
      <c r="F18" s="15" t="e">
        <f ca="1">VLOOKUP(CONCATENATE(LEFT(F$7, 7), "ca", $B18), [0]!data_range, 5, FALSE)</f>
        <v>#REF!</v>
      </c>
      <c r="G18" s="15" t="e">
        <f ca="1">VLOOKUP(CONCATENATE(LEFT(G$7, 7), "ca", $B18), [0]!data_range, 5, FALSE)</f>
        <v>#REF!</v>
      </c>
      <c r="H18" s="15" t="e">
        <f ca="1">VLOOKUP(CONCATENATE(LEFT(H$7, 7), "ca", $B18), [0]!data_range, 5, FALSE)</f>
        <v>#REF!</v>
      </c>
      <c r="I18" s="15" t="e">
        <f ca="1">VLOOKUP(CONCATENATE(LEFT(I$7, 7), "ca", $B18), [0]!data_range, 5, FALSE)</f>
        <v>#REF!</v>
      </c>
      <c r="J18" s="15" t="e">
        <f ca="1">VLOOKUP(CONCATENATE(LEFT(J$7, 7), "ca", $B18), [0]!data_range, 5, FALSE)</f>
        <v>#REF!</v>
      </c>
      <c r="K18" s="15" t="e">
        <f ca="1">VLOOKUP(CONCATENATE(LEFT(K$7, 7), "ca", $B18), [0]!data_range, 5, FALSE)</f>
        <v>#REF!</v>
      </c>
    </row>
    <row r="19" spans="2:11" ht="15" customHeight="1" x14ac:dyDescent="0.2">
      <c r="B19" s="23" t="s">
        <v>153</v>
      </c>
      <c r="C19" s="15" t="e">
        <f ca="1">VLOOKUP(CONCATENATE(LEFT(C$7, 7), "ca", $B19), [0]!data_range, 5, FALSE)</f>
        <v>#REF!</v>
      </c>
      <c r="D19" s="15" t="e">
        <f ca="1">VLOOKUP(CONCATENATE(LEFT(D$7, 7), "ca", $B19), [0]!data_range, 5, FALSE)</f>
        <v>#REF!</v>
      </c>
      <c r="E19" s="15" t="e">
        <f ca="1">VLOOKUP(CONCATENATE(LEFT(E$7, 7), "ca", $B19), [0]!data_range, 5, FALSE)</f>
        <v>#REF!</v>
      </c>
      <c r="F19" s="15" t="e">
        <f ca="1">VLOOKUP(CONCATENATE(LEFT(F$7, 7), "ca", $B19), [0]!data_range, 5, FALSE)</f>
        <v>#REF!</v>
      </c>
      <c r="G19" s="15" t="e">
        <f ca="1">VLOOKUP(CONCATENATE(LEFT(G$7, 7), "ca", $B19), [0]!data_range, 5, FALSE)</f>
        <v>#REF!</v>
      </c>
      <c r="H19" s="15" t="e">
        <f ca="1">VLOOKUP(CONCATENATE(LEFT(H$7, 7), "ca", $B19), [0]!data_range, 5, FALSE)</f>
        <v>#REF!</v>
      </c>
      <c r="I19" s="15" t="e">
        <f ca="1">VLOOKUP(CONCATENATE(LEFT(I$7, 7), "ca", $B19), [0]!data_range, 5, FALSE)</f>
        <v>#REF!</v>
      </c>
      <c r="J19" s="15" t="e">
        <f ca="1">VLOOKUP(CONCATENATE(LEFT(J$7, 7), "ca", $B19), [0]!data_range, 5, FALSE)</f>
        <v>#REF!</v>
      </c>
      <c r="K19" s="15" t="e">
        <f ca="1">VLOOKUP(CONCATENATE(LEFT(K$7, 7), "ca", $B19), [0]!data_range, 5, FALSE)</f>
        <v>#REF!</v>
      </c>
    </row>
    <row r="20" spans="2:11" ht="15" customHeight="1" x14ac:dyDescent="0.2">
      <c r="B20" s="23" t="s">
        <v>98</v>
      </c>
      <c r="C20" s="15" t="e">
        <f ca="1">VLOOKUP(CONCATENATE(LEFT(C$7, 7), "ca", $B20), [0]!data_range, 5, FALSE)</f>
        <v>#REF!</v>
      </c>
      <c r="D20" s="15" t="e">
        <f ca="1">VLOOKUP(CONCATENATE(LEFT(D$7, 7), "ca", $B20), [0]!data_range, 5, FALSE)</f>
        <v>#REF!</v>
      </c>
      <c r="E20" s="15" t="e">
        <f ca="1">VLOOKUP(CONCATENATE(LEFT(E$7, 7), "ca", $B20), [0]!data_range, 5, FALSE)</f>
        <v>#REF!</v>
      </c>
      <c r="F20" s="15" t="e">
        <f ca="1">VLOOKUP(CONCATENATE(LEFT(F$7, 7), "ca", $B20), [0]!data_range, 5, FALSE)</f>
        <v>#REF!</v>
      </c>
      <c r="G20" s="15" t="e">
        <f ca="1">VLOOKUP(CONCATENATE(LEFT(G$7, 7), "ca", $B20), [0]!data_range, 5, FALSE)</f>
        <v>#REF!</v>
      </c>
      <c r="H20" s="15" t="e">
        <f ca="1">VLOOKUP(CONCATENATE(LEFT(H$7, 7), "ca", $B20), [0]!data_range, 5, FALSE)</f>
        <v>#REF!</v>
      </c>
      <c r="I20" s="15" t="e">
        <f ca="1">VLOOKUP(CONCATENATE(LEFT(I$7, 7), "ca", $B20), [0]!data_range, 5, FALSE)</f>
        <v>#REF!</v>
      </c>
      <c r="J20" s="15" t="e">
        <f ca="1">VLOOKUP(CONCATENATE(LEFT(J$7, 7), "ca", $B20), [0]!data_range, 5, FALSE)</f>
        <v>#REF!</v>
      </c>
      <c r="K20" s="15" t="e">
        <f ca="1">VLOOKUP(CONCATENATE(LEFT(K$7, 7), "ca", $B20), [0]!data_range, 5, FALSE)</f>
        <v>#REF!</v>
      </c>
    </row>
    <row r="21" spans="2:11" ht="15" customHeight="1" x14ac:dyDescent="0.2">
      <c r="B21" s="23" t="s">
        <v>1</v>
      </c>
      <c r="C21" s="15" t="e">
        <f ca="1">VLOOKUP(CONCATENATE(LEFT(C$7, 7), "ca", $B21), [0]!data_range, 5, FALSE)</f>
        <v>#REF!</v>
      </c>
      <c r="D21" s="15" t="e">
        <f ca="1">VLOOKUP(CONCATENATE(LEFT(D$7, 7), "ca", $B21), [0]!data_range, 5, FALSE)</f>
        <v>#REF!</v>
      </c>
      <c r="E21" s="15" t="e">
        <f ca="1">VLOOKUP(CONCATENATE(LEFT(E$7, 7), "ca", $B21), [0]!data_range, 5, FALSE)</f>
        <v>#REF!</v>
      </c>
      <c r="F21" s="15" t="e">
        <f ca="1">VLOOKUP(CONCATENATE(LEFT(F$7, 7), "ca", $B21), [0]!data_range, 5, FALSE)</f>
        <v>#REF!</v>
      </c>
      <c r="G21" s="15" t="e">
        <f ca="1">VLOOKUP(CONCATENATE(LEFT(G$7, 7), "ca", $B21), [0]!data_range, 5, FALSE)</f>
        <v>#REF!</v>
      </c>
      <c r="H21" s="15" t="e">
        <f ca="1">VLOOKUP(CONCATENATE(LEFT(H$7, 7), "ca", $B21), [0]!data_range, 5, FALSE)</f>
        <v>#REF!</v>
      </c>
      <c r="I21" s="15" t="e">
        <f ca="1">VLOOKUP(CONCATENATE(LEFT(I$7, 7), "ca", $B21), [0]!data_range, 5, FALSE)</f>
        <v>#REF!</v>
      </c>
      <c r="J21" s="15" t="e">
        <f ca="1">VLOOKUP(CONCATENATE(LEFT(J$7, 7), "ca", $B21), [0]!data_range, 5, FALSE)</f>
        <v>#REF!</v>
      </c>
      <c r="K21" s="15" t="e">
        <f ca="1">VLOOKUP(CONCATENATE(LEFT(K$7, 7), "ca", $B21), [0]!data_range, 5, FALSE)</f>
        <v>#REF!</v>
      </c>
    </row>
    <row r="22" spans="2:11" ht="15" customHeight="1" x14ac:dyDescent="0.2">
      <c r="B22" s="23" t="s">
        <v>147</v>
      </c>
      <c r="C22" s="15" t="e">
        <f ca="1">VLOOKUP(CONCATENATE(LEFT(C$7, 7), "ca", $B22), [0]!data_range, 5, FALSE)</f>
        <v>#REF!</v>
      </c>
      <c r="D22" s="15" t="e">
        <f ca="1">VLOOKUP(CONCATENATE(LEFT(D$7, 7), "ca", $B22), [0]!data_range, 5, FALSE)</f>
        <v>#REF!</v>
      </c>
      <c r="E22" s="15" t="e">
        <f ca="1">VLOOKUP(CONCATENATE(LEFT(E$7, 7), "ca", $B22), [0]!data_range, 5, FALSE)</f>
        <v>#REF!</v>
      </c>
      <c r="F22" s="15" t="e">
        <f ca="1">VLOOKUP(CONCATENATE(LEFT(F$7, 7), "ca", $B22), [0]!data_range, 5, FALSE)</f>
        <v>#REF!</v>
      </c>
      <c r="G22" s="15" t="e">
        <f ca="1">VLOOKUP(CONCATENATE(LEFT(G$7, 7), "ca", $B22), [0]!data_range, 5, FALSE)</f>
        <v>#REF!</v>
      </c>
      <c r="H22" s="15" t="e">
        <f ca="1">VLOOKUP(CONCATENATE(LEFT(H$7, 7), "ca", $B22), [0]!data_range, 5, FALSE)</f>
        <v>#REF!</v>
      </c>
      <c r="I22" s="15" t="e">
        <f ca="1">VLOOKUP(CONCATENATE(LEFT(I$7, 7), "ca", $B22), [0]!data_range, 5, FALSE)</f>
        <v>#REF!</v>
      </c>
      <c r="J22" s="15" t="e">
        <f ca="1">VLOOKUP(CONCATENATE(LEFT(J$7, 7), "ca", $B22), [0]!data_range, 5, FALSE)</f>
        <v>#REF!</v>
      </c>
      <c r="K22" s="15" t="e">
        <f ca="1">VLOOKUP(CONCATENATE(LEFT(K$7, 7), "ca", $B22), [0]!data_range, 5, FALSE)</f>
        <v>#REF!</v>
      </c>
    </row>
    <row r="23" spans="2:11" ht="15" customHeight="1" x14ac:dyDescent="0.2">
      <c r="B23" s="23" t="s">
        <v>4</v>
      </c>
      <c r="C23" s="15" t="e">
        <f ca="1">VLOOKUP(CONCATENATE(LEFT(C$7, 7), "ca", $B23), [0]!data_range, 5, FALSE)</f>
        <v>#REF!</v>
      </c>
      <c r="D23" s="15" t="e">
        <f ca="1">VLOOKUP(CONCATENATE(LEFT(D$7, 7), "ca", $B23), [0]!data_range, 5, FALSE)</f>
        <v>#REF!</v>
      </c>
      <c r="E23" s="15" t="e">
        <f ca="1">VLOOKUP(CONCATENATE(LEFT(E$7, 7), "ca", $B23), [0]!data_range, 5, FALSE)</f>
        <v>#REF!</v>
      </c>
      <c r="F23" s="15" t="e">
        <f ca="1">VLOOKUP(CONCATENATE(LEFT(F$7, 7), "ca", $B23), [0]!data_range, 5, FALSE)</f>
        <v>#REF!</v>
      </c>
      <c r="G23" s="15" t="e">
        <f ca="1">VLOOKUP(CONCATENATE(LEFT(G$7, 7), "ca", $B23), [0]!data_range, 5, FALSE)</f>
        <v>#REF!</v>
      </c>
      <c r="H23" s="15" t="e">
        <f ca="1">VLOOKUP(CONCATENATE(LEFT(H$7, 7), "ca", $B23), [0]!data_range, 5, FALSE)</f>
        <v>#REF!</v>
      </c>
      <c r="I23" s="15" t="e">
        <f ca="1">VLOOKUP(CONCATENATE(LEFT(I$7, 7), "ca", $B23), [0]!data_range, 5, FALSE)</f>
        <v>#REF!</v>
      </c>
      <c r="J23" s="15" t="e">
        <f ca="1">VLOOKUP(CONCATENATE(LEFT(J$7, 7), "ca", $B23), [0]!data_range, 5, FALSE)</f>
        <v>#REF!</v>
      </c>
      <c r="K23" s="15" t="e">
        <f ca="1">VLOOKUP(CONCATENATE(LEFT(K$7, 7), "ca", $B23), [0]!data_range, 5, FALSE)</f>
        <v>#REF!</v>
      </c>
    </row>
    <row r="24" spans="2:11" ht="15" customHeight="1" x14ac:dyDescent="0.2">
      <c r="B24" s="23" t="s">
        <v>99</v>
      </c>
      <c r="C24" s="15" t="e">
        <f ca="1">VLOOKUP(CONCATENATE(LEFT(C$7, 7), "ca", $B24), [0]!data_range, 5, FALSE)</f>
        <v>#REF!</v>
      </c>
      <c r="D24" s="15" t="e">
        <f ca="1">VLOOKUP(CONCATENATE(LEFT(D$7, 7), "ca", $B24), [0]!data_range, 5, FALSE)</f>
        <v>#REF!</v>
      </c>
      <c r="E24" s="15" t="e">
        <f ca="1">VLOOKUP(CONCATENATE(LEFT(E$7, 7), "ca", $B24), [0]!data_range, 5, FALSE)</f>
        <v>#REF!</v>
      </c>
      <c r="F24" s="15" t="e">
        <f ca="1">VLOOKUP(CONCATENATE(LEFT(F$7, 7), "ca", $B24), [0]!data_range, 5, FALSE)</f>
        <v>#REF!</v>
      </c>
      <c r="G24" s="15" t="e">
        <f ca="1">VLOOKUP(CONCATENATE(LEFT(G$7, 7), "ca", $B24), [0]!data_range, 5, FALSE)</f>
        <v>#REF!</v>
      </c>
      <c r="H24" s="15" t="e">
        <f ca="1">VLOOKUP(CONCATENATE(LEFT(H$7, 7), "ca", $B24), [0]!data_range, 5, FALSE)</f>
        <v>#REF!</v>
      </c>
      <c r="I24" s="15" t="e">
        <f ca="1">VLOOKUP(CONCATENATE(LEFT(I$7, 7), "ca", $B24), [0]!data_range, 5, FALSE)</f>
        <v>#REF!</v>
      </c>
      <c r="J24" s="15" t="e">
        <f ca="1">VLOOKUP(CONCATENATE(LEFT(J$7, 7), "ca", $B24), [0]!data_range, 5, FALSE)</f>
        <v>#REF!</v>
      </c>
      <c r="K24" s="15" t="e">
        <f ca="1">VLOOKUP(CONCATENATE(LEFT(K$7, 7), "ca", $B24), [0]!data_range, 5, FALSE)</f>
        <v>#REF!</v>
      </c>
    </row>
    <row r="25" spans="2:11" ht="15" customHeight="1" x14ac:dyDescent="0.2">
      <c r="B25" s="23" t="s">
        <v>100</v>
      </c>
      <c r="C25" s="15" t="e">
        <f ca="1">VLOOKUP(CONCATENATE(LEFT(C$7, 7), "ca", $B25), [0]!data_range, 5, FALSE)</f>
        <v>#REF!</v>
      </c>
      <c r="D25" s="15" t="e">
        <f ca="1">VLOOKUP(CONCATENATE(LEFT(D$7, 7), "ca", $B25), [0]!data_range, 5, FALSE)</f>
        <v>#REF!</v>
      </c>
      <c r="E25" s="15" t="e">
        <f ca="1">VLOOKUP(CONCATENATE(LEFT(E$7, 7), "ca", $B25), [0]!data_range, 5, FALSE)</f>
        <v>#REF!</v>
      </c>
      <c r="F25" s="15" t="e">
        <f ca="1">VLOOKUP(CONCATENATE(LEFT(F$7, 7), "ca", $B25), [0]!data_range, 5, FALSE)</f>
        <v>#REF!</v>
      </c>
      <c r="G25" s="15" t="e">
        <f ca="1">VLOOKUP(CONCATENATE(LEFT(G$7, 7), "ca", $B25), [0]!data_range, 5, FALSE)</f>
        <v>#REF!</v>
      </c>
      <c r="H25" s="15" t="e">
        <f ca="1">VLOOKUP(CONCATENATE(LEFT(H$7, 7), "ca", $B25), [0]!data_range, 5, FALSE)</f>
        <v>#REF!</v>
      </c>
      <c r="I25" s="15" t="e">
        <f ca="1">VLOOKUP(CONCATENATE(LEFT(I$7, 7), "ca", $B25), [0]!data_range, 5, FALSE)</f>
        <v>#REF!</v>
      </c>
      <c r="J25" s="15" t="e">
        <f ca="1">VLOOKUP(CONCATENATE(LEFT(J$7, 7), "ca", $B25), [0]!data_range, 5, FALSE)</f>
        <v>#REF!</v>
      </c>
      <c r="K25" s="15" t="e">
        <f ca="1">VLOOKUP(CONCATENATE(LEFT(K$7, 7), "ca", $B25), [0]!data_range, 5, FALSE)</f>
        <v>#REF!</v>
      </c>
    </row>
    <row r="26" spans="2:11" ht="15" customHeight="1" x14ac:dyDescent="0.2">
      <c r="B26" s="23" t="s">
        <v>101</v>
      </c>
      <c r="C26" s="15" t="e">
        <f ca="1">VLOOKUP(CONCATENATE(LEFT(C$7, 7), "ca", $B26), [0]!data_range, 5, FALSE)</f>
        <v>#REF!</v>
      </c>
      <c r="D26" s="15" t="e">
        <f ca="1">VLOOKUP(CONCATENATE(LEFT(D$7, 7), "ca", $B26), [0]!data_range, 5, FALSE)</f>
        <v>#REF!</v>
      </c>
      <c r="E26" s="15" t="e">
        <f ca="1">VLOOKUP(CONCATENATE(LEFT(E$7, 7), "ca", $B26), [0]!data_range, 5, FALSE)</f>
        <v>#REF!</v>
      </c>
      <c r="F26" s="15" t="e">
        <f ca="1">VLOOKUP(CONCATENATE(LEFT(F$7, 7), "ca", $B26), [0]!data_range, 5, FALSE)</f>
        <v>#REF!</v>
      </c>
      <c r="G26" s="15" t="e">
        <f ca="1">VLOOKUP(CONCATENATE(LEFT(G$7, 7), "ca", $B26), [0]!data_range, 5, FALSE)</f>
        <v>#REF!</v>
      </c>
      <c r="H26" s="15" t="e">
        <f ca="1">VLOOKUP(CONCATENATE(LEFT(H$7, 7), "ca", $B26), [0]!data_range, 5, FALSE)</f>
        <v>#REF!</v>
      </c>
      <c r="I26" s="15" t="e">
        <f ca="1">VLOOKUP(CONCATENATE(LEFT(I$7, 7), "ca", $B26), [0]!data_range, 5, FALSE)</f>
        <v>#REF!</v>
      </c>
      <c r="J26" s="15" t="e">
        <f ca="1">VLOOKUP(CONCATENATE(LEFT(J$7, 7), "ca", $B26), [0]!data_range, 5, FALSE)</f>
        <v>#REF!</v>
      </c>
      <c r="K26" s="15" t="e">
        <f ca="1">VLOOKUP(CONCATENATE(LEFT(K$7, 7), "ca", $B26), [0]!data_range, 5, FALSE)</f>
        <v>#REF!</v>
      </c>
    </row>
    <row r="27" spans="2:11" ht="15" customHeight="1" x14ac:dyDescent="0.2">
      <c r="B27" s="23" t="s">
        <v>102</v>
      </c>
      <c r="C27" s="15" t="e">
        <f ca="1">VLOOKUP(CONCATENATE(LEFT(C$7, 7), "ca", $B27), [0]!data_range, 5, FALSE)</f>
        <v>#REF!</v>
      </c>
      <c r="D27" s="15" t="e">
        <f ca="1">VLOOKUP(CONCATENATE(LEFT(D$7, 7), "ca", $B27), [0]!data_range, 5, FALSE)</f>
        <v>#REF!</v>
      </c>
      <c r="E27" s="15" t="e">
        <f ca="1">VLOOKUP(CONCATENATE(LEFT(E$7, 7), "ca", $B27), [0]!data_range, 5, FALSE)</f>
        <v>#REF!</v>
      </c>
      <c r="F27" s="15" t="e">
        <f ca="1">VLOOKUP(CONCATENATE(LEFT(F$7, 7), "ca", $B27), [0]!data_range, 5, FALSE)</f>
        <v>#REF!</v>
      </c>
      <c r="G27" s="15" t="e">
        <f ca="1">VLOOKUP(CONCATENATE(LEFT(G$7, 7), "ca", $B27), [0]!data_range, 5, FALSE)</f>
        <v>#REF!</v>
      </c>
      <c r="H27" s="15" t="e">
        <f ca="1">VLOOKUP(CONCATENATE(LEFT(H$7, 7), "ca", $B27), [0]!data_range, 5, FALSE)</f>
        <v>#REF!</v>
      </c>
      <c r="I27" s="15" t="e">
        <f ca="1">VLOOKUP(CONCATENATE(LEFT(I$7, 7), "ca", $B27), [0]!data_range, 5, FALSE)</f>
        <v>#REF!</v>
      </c>
      <c r="J27" s="15" t="e">
        <f ca="1">VLOOKUP(CONCATENATE(LEFT(J$7, 7), "ca", $B27), [0]!data_range, 5, FALSE)</f>
        <v>#REF!</v>
      </c>
      <c r="K27" s="15" t="e">
        <f ca="1">VLOOKUP(CONCATENATE(LEFT(K$7, 7), "ca", $B27), [0]!data_range, 5, FALSE)</f>
        <v>#REF!</v>
      </c>
    </row>
    <row r="28" spans="2:11" ht="15" customHeight="1" x14ac:dyDescent="0.2">
      <c r="B28" s="23" t="s">
        <v>103</v>
      </c>
      <c r="C28" s="15" t="e">
        <f ca="1">VLOOKUP(CONCATENATE(LEFT(C$7, 7), "ca", $B28), [0]!data_range, 5, FALSE)</f>
        <v>#REF!</v>
      </c>
      <c r="D28" s="15" t="e">
        <f ca="1">VLOOKUP(CONCATENATE(LEFT(D$7, 7), "ca", $B28), [0]!data_range, 5, FALSE)</f>
        <v>#REF!</v>
      </c>
      <c r="E28" s="15" t="e">
        <f ca="1">VLOOKUP(CONCATENATE(LEFT(E$7, 7), "ca", $B28), [0]!data_range, 5, FALSE)</f>
        <v>#REF!</v>
      </c>
      <c r="F28" s="15" t="e">
        <f ca="1">VLOOKUP(CONCATENATE(LEFT(F$7, 7), "ca", $B28), [0]!data_range, 5, FALSE)</f>
        <v>#REF!</v>
      </c>
      <c r="G28" s="15" t="e">
        <f ca="1">VLOOKUP(CONCATENATE(LEFT(G$7, 7), "ca", $B28), [0]!data_range, 5, FALSE)</f>
        <v>#REF!</v>
      </c>
      <c r="H28" s="15" t="e">
        <f ca="1">VLOOKUP(CONCATENATE(LEFT(H$7, 7), "ca", $B28), [0]!data_range, 5, FALSE)</f>
        <v>#REF!</v>
      </c>
      <c r="I28" s="15" t="e">
        <f ca="1">VLOOKUP(CONCATENATE(LEFT(I$7, 7), "ca", $B28), [0]!data_range, 5, FALSE)</f>
        <v>#REF!</v>
      </c>
      <c r="J28" s="15" t="e">
        <f ca="1">VLOOKUP(CONCATENATE(LEFT(J$7, 7), "ca", $B28), [0]!data_range, 5, FALSE)</f>
        <v>#REF!</v>
      </c>
      <c r="K28" s="15" t="e">
        <f ca="1">VLOOKUP(CONCATENATE(LEFT(K$7, 7), "ca", $B28), [0]!data_range, 5, FALSE)</f>
        <v>#REF!</v>
      </c>
    </row>
    <row r="29" spans="2:11" ht="15" customHeight="1" x14ac:dyDescent="0.2">
      <c r="B29" s="23" t="s">
        <v>104</v>
      </c>
      <c r="C29" s="15" t="e">
        <f ca="1">VLOOKUP(CONCATENATE(LEFT(C$7, 7), "ca", $B29), [0]!data_range, 5, FALSE)</f>
        <v>#REF!</v>
      </c>
      <c r="D29" s="15" t="e">
        <f ca="1">VLOOKUP(CONCATENATE(LEFT(D$7, 7), "ca", $B29), [0]!data_range, 5, FALSE)</f>
        <v>#REF!</v>
      </c>
      <c r="E29" s="15" t="e">
        <f ca="1">VLOOKUP(CONCATENATE(LEFT(E$7, 7), "ca", $B29), [0]!data_range, 5, FALSE)</f>
        <v>#REF!</v>
      </c>
      <c r="F29" s="15" t="e">
        <f ca="1">VLOOKUP(CONCATENATE(LEFT(F$7, 7), "ca", $B29), [0]!data_range, 5, FALSE)</f>
        <v>#REF!</v>
      </c>
      <c r="G29" s="15" t="e">
        <f ca="1">VLOOKUP(CONCATENATE(LEFT(G$7, 7), "ca", $B29), [0]!data_range, 5, FALSE)</f>
        <v>#REF!</v>
      </c>
      <c r="H29" s="15" t="e">
        <f ca="1">VLOOKUP(CONCATENATE(LEFT(H$7, 7), "ca", $B29), [0]!data_range, 5, FALSE)</f>
        <v>#REF!</v>
      </c>
      <c r="I29" s="15" t="e">
        <f ca="1">VLOOKUP(CONCATENATE(LEFT(I$7, 7), "ca", $B29), [0]!data_range, 5, FALSE)</f>
        <v>#REF!</v>
      </c>
      <c r="J29" s="15" t="e">
        <f ca="1">VLOOKUP(CONCATENATE(LEFT(J$7, 7), "ca", $B29), [0]!data_range, 5, FALSE)</f>
        <v>#REF!</v>
      </c>
      <c r="K29" s="15" t="e">
        <f ca="1">VLOOKUP(CONCATENATE(LEFT(K$7, 7), "ca", $B29), [0]!data_range, 5, FALSE)</f>
        <v>#REF!</v>
      </c>
    </row>
    <row r="30" spans="2:11" ht="15" customHeight="1" x14ac:dyDescent="0.2">
      <c r="B30" s="23" t="s">
        <v>204</v>
      </c>
      <c r="C30" s="15" t="e">
        <f ca="1">VLOOKUP(CONCATENATE(LEFT(C$7, 7), "ca", $B30), [0]!data_range, 5, FALSE)</f>
        <v>#REF!</v>
      </c>
      <c r="D30" s="15" t="e">
        <f ca="1">VLOOKUP(CONCATENATE(LEFT(D$7, 7), "ca", $B30), [0]!data_range, 5, FALSE)</f>
        <v>#REF!</v>
      </c>
      <c r="E30" s="15" t="e">
        <f ca="1">VLOOKUP(CONCATENATE(LEFT(E$7, 7), "ca", $B30), [0]!data_range, 5, FALSE)</f>
        <v>#REF!</v>
      </c>
      <c r="F30" s="15" t="e">
        <f ca="1">VLOOKUP(CONCATENATE(LEFT(F$7, 7), "ca", $B30), [0]!data_range, 5, FALSE)</f>
        <v>#REF!</v>
      </c>
      <c r="G30" s="15" t="e">
        <f ca="1">VLOOKUP(CONCATENATE(LEFT(G$7, 7), "ca", $B30), [0]!data_range, 5, FALSE)</f>
        <v>#REF!</v>
      </c>
      <c r="H30" s="15" t="e">
        <f ca="1">VLOOKUP(CONCATENATE(LEFT(H$7, 7), "ca", $B30), [0]!data_range, 5, FALSE)</f>
        <v>#REF!</v>
      </c>
      <c r="I30" s="15" t="e">
        <f ca="1">VLOOKUP(CONCATENATE(LEFT(I$7, 7), "ca", $B30), [0]!data_range, 5, FALSE)</f>
        <v>#REF!</v>
      </c>
      <c r="J30" s="15" t="e">
        <f ca="1">VLOOKUP(CONCATENATE(LEFT(J$7, 7), "ca", $B30), [0]!data_range, 5, FALSE)</f>
        <v>#REF!</v>
      </c>
      <c r="K30" s="15" t="e">
        <f ca="1">VLOOKUP(CONCATENATE(LEFT(K$7, 7), "ca", $B30), [0]!data_range, 5, FALSE)</f>
        <v>#REF!</v>
      </c>
    </row>
    <row r="31" spans="2:11" ht="15" customHeight="1" x14ac:dyDescent="0.2">
      <c r="B31" s="23" t="s">
        <v>105</v>
      </c>
      <c r="C31" s="15" t="e">
        <f ca="1">VLOOKUP(CONCATENATE(LEFT(C$7, 7), "ca", $B31), [0]!data_range, 5, FALSE)</f>
        <v>#REF!</v>
      </c>
      <c r="D31" s="15" t="e">
        <f ca="1">VLOOKUP(CONCATENATE(LEFT(D$7, 7), "ca", $B31), [0]!data_range, 5, FALSE)</f>
        <v>#REF!</v>
      </c>
      <c r="E31" s="15" t="e">
        <f ca="1">VLOOKUP(CONCATENATE(LEFT(E$7, 7), "ca", $B31), [0]!data_range, 5, FALSE)</f>
        <v>#REF!</v>
      </c>
      <c r="F31" s="15" t="e">
        <f ca="1">VLOOKUP(CONCATENATE(LEFT(F$7, 7), "ca", $B31), [0]!data_range, 5, FALSE)</f>
        <v>#REF!</v>
      </c>
      <c r="G31" s="15" t="e">
        <f ca="1">VLOOKUP(CONCATENATE(LEFT(G$7, 7), "ca", $B31), [0]!data_range, 5, FALSE)</f>
        <v>#REF!</v>
      </c>
      <c r="H31" s="15" t="e">
        <f ca="1">VLOOKUP(CONCATENATE(LEFT(H$7, 7), "ca", $B31), [0]!data_range, 5, FALSE)</f>
        <v>#REF!</v>
      </c>
      <c r="I31" s="15" t="e">
        <f ca="1">VLOOKUP(CONCATENATE(LEFT(I$7, 7), "ca", $B31), [0]!data_range, 5, FALSE)</f>
        <v>#REF!</v>
      </c>
      <c r="J31" s="15" t="e">
        <f ca="1">VLOOKUP(CONCATENATE(LEFT(J$7, 7), "ca", $B31), [0]!data_range, 5, FALSE)</f>
        <v>#REF!</v>
      </c>
      <c r="K31" s="15" t="e">
        <f ca="1">VLOOKUP(CONCATENATE(LEFT(K$7, 7), "ca", $B31), [0]!data_range, 5, FALSE)</f>
        <v>#REF!</v>
      </c>
    </row>
    <row r="32" spans="2:11" ht="15" customHeight="1" x14ac:dyDescent="0.2">
      <c r="B32" s="23" t="s">
        <v>106</v>
      </c>
      <c r="C32" s="15" t="e">
        <f ca="1">VLOOKUP(CONCATENATE(LEFT(C$7, 7), "ca", $B32), [0]!data_range, 5, FALSE)</f>
        <v>#REF!</v>
      </c>
      <c r="D32" s="15" t="e">
        <f ca="1">VLOOKUP(CONCATENATE(LEFT(D$7, 7), "ca", $B32), [0]!data_range, 5, FALSE)</f>
        <v>#REF!</v>
      </c>
      <c r="E32" s="15" t="e">
        <f ca="1">VLOOKUP(CONCATENATE(LEFT(E$7, 7), "ca", $B32), [0]!data_range, 5, FALSE)</f>
        <v>#REF!</v>
      </c>
      <c r="F32" s="15" t="e">
        <f ca="1">VLOOKUP(CONCATENATE(LEFT(F$7, 7), "ca", $B32), [0]!data_range, 5, FALSE)</f>
        <v>#REF!</v>
      </c>
      <c r="G32" s="15" t="e">
        <f ca="1">VLOOKUP(CONCATENATE(LEFT(G$7, 7), "ca", $B32), [0]!data_range, 5, FALSE)</f>
        <v>#REF!</v>
      </c>
      <c r="H32" s="15" t="e">
        <f ca="1">VLOOKUP(CONCATENATE(LEFT(H$7, 7), "ca", $B32), [0]!data_range, 5, FALSE)</f>
        <v>#REF!</v>
      </c>
      <c r="I32" s="15" t="e">
        <f ca="1">VLOOKUP(CONCATENATE(LEFT(I$7, 7), "ca", $B32), [0]!data_range, 5, FALSE)</f>
        <v>#REF!</v>
      </c>
      <c r="J32" s="15" t="e">
        <f ca="1">VLOOKUP(CONCATENATE(LEFT(J$7, 7), "ca", $B32), [0]!data_range, 5, FALSE)</f>
        <v>#REF!</v>
      </c>
      <c r="K32" s="15" t="e">
        <f ca="1">VLOOKUP(CONCATENATE(LEFT(K$7, 7), "ca", $B32), [0]!data_range, 5, FALSE)</f>
        <v>#REF!</v>
      </c>
    </row>
    <row r="33" spans="2:11" ht="15" customHeight="1" x14ac:dyDescent="0.2">
      <c r="B33" s="23" t="s">
        <v>107</v>
      </c>
      <c r="C33" s="15" t="e">
        <f ca="1">VLOOKUP(CONCATENATE(LEFT(C$7, 7), "ca", $B33), [0]!data_range, 5, FALSE)</f>
        <v>#REF!</v>
      </c>
      <c r="D33" s="15" t="e">
        <f ca="1">VLOOKUP(CONCATENATE(LEFT(D$7, 7), "ca", $B33), [0]!data_range, 5, FALSE)</f>
        <v>#REF!</v>
      </c>
      <c r="E33" s="15" t="e">
        <f ca="1">VLOOKUP(CONCATENATE(LEFT(E$7, 7), "ca", $B33), [0]!data_range, 5, FALSE)</f>
        <v>#REF!</v>
      </c>
      <c r="F33" s="15" t="e">
        <f ca="1">VLOOKUP(CONCATENATE(LEFT(F$7, 7), "ca", $B33), [0]!data_range, 5, FALSE)</f>
        <v>#REF!</v>
      </c>
      <c r="G33" s="15" t="e">
        <f ca="1">VLOOKUP(CONCATENATE(LEFT(G$7, 7), "ca", $B33), [0]!data_range, 5, FALSE)</f>
        <v>#REF!</v>
      </c>
      <c r="H33" s="15" t="e">
        <f ca="1">VLOOKUP(CONCATENATE(LEFT(H$7, 7), "ca", $B33), [0]!data_range, 5, FALSE)</f>
        <v>#REF!</v>
      </c>
      <c r="I33" s="15" t="e">
        <f ca="1">VLOOKUP(CONCATENATE(LEFT(I$7, 7), "ca", $B33), [0]!data_range, 5, FALSE)</f>
        <v>#REF!</v>
      </c>
      <c r="J33" s="15" t="e">
        <f ca="1">VLOOKUP(CONCATENATE(LEFT(J$7, 7), "ca", $B33), [0]!data_range, 5, FALSE)</f>
        <v>#REF!</v>
      </c>
      <c r="K33" s="15" t="e">
        <f ca="1">VLOOKUP(CONCATENATE(LEFT(K$7, 7), "ca", $B33), [0]!data_range, 5, FALSE)</f>
        <v>#REF!</v>
      </c>
    </row>
    <row r="34" spans="2:11" ht="15" customHeight="1" x14ac:dyDescent="0.2">
      <c r="B34" s="23" t="s">
        <v>108</v>
      </c>
      <c r="C34" s="15" t="e">
        <f ca="1">VLOOKUP(CONCATENATE(LEFT(C$7, 7), "ca", $B34), [0]!data_range, 5, FALSE)</f>
        <v>#REF!</v>
      </c>
      <c r="D34" s="15" t="e">
        <f ca="1">VLOOKUP(CONCATENATE(LEFT(D$7, 7), "ca", $B34), [0]!data_range, 5, FALSE)</f>
        <v>#REF!</v>
      </c>
      <c r="E34" s="15" t="e">
        <f ca="1">VLOOKUP(CONCATENATE(LEFT(E$7, 7), "ca", $B34), [0]!data_range, 5, FALSE)</f>
        <v>#REF!</v>
      </c>
      <c r="F34" s="15" t="e">
        <f ca="1">VLOOKUP(CONCATENATE(LEFT(F$7, 7), "ca", $B34), [0]!data_range, 5, FALSE)</f>
        <v>#REF!</v>
      </c>
      <c r="G34" s="15" t="e">
        <f ca="1">VLOOKUP(CONCATENATE(LEFT(G$7, 7), "ca", $B34), [0]!data_range, 5, FALSE)</f>
        <v>#REF!</v>
      </c>
      <c r="H34" s="15" t="e">
        <f ca="1">VLOOKUP(CONCATENATE(LEFT(H$7, 7), "ca", $B34), [0]!data_range, 5, FALSE)</f>
        <v>#REF!</v>
      </c>
      <c r="I34" s="15" t="e">
        <f ca="1">VLOOKUP(CONCATENATE(LEFT(I$7, 7), "ca", $B34), [0]!data_range, 5, FALSE)</f>
        <v>#REF!</v>
      </c>
      <c r="J34" s="15" t="e">
        <f ca="1">VLOOKUP(CONCATENATE(LEFT(J$7, 7), "ca", $B34), [0]!data_range, 5, FALSE)</f>
        <v>#REF!</v>
      </c>
      <c r="K34" s="15" t="e">
        <f ca="1">VLOOKUP(CONCATENATE(LEFT(K$7, 7), "ca", $B34), [0]!data_range, 5, FALSE)</f>
        <v>#REF!</v>
      </c>
    </row>
    <row r="35" spans="2:11" ht="15" customHeight="1" x14ac:dyDescent="0.2">
      <c r="B35" s="23" t="s">
        <v>109</v>
      </c>
      <c r="C35" s="15" t="e">
        <f ca="1">VLOOKUP(CONCATENATE(LEFT(C$7, 7), "ca", $B35), [0]!data_range, 5, FALSE)</f>
        <v>#REF!</v>
      </c>
      <c r="D35" s="15" t="e">
        <f ca="1">VLOOKUP(CONCATENATE(LEFT(D$7, 7), "ca", $B35), [0]!data_range, 5, FALSE)</f>
        <v>#REF!</v>
      </c>
      <c r="E35" s="15" t="e">
        <f ca="1">VLOOKUP(CONCATENATE(LEFT(E$7, 7), "ca", $B35), [0]!data_range, 5, FALSE)</f>
        <v>#REF!</v>
      </c>
      <c r="F35" s="15" t="e">
        <f ca="1">VLOOKUP(CONCATENATE(LEFT(F$7, 7), "ca", $B35), [0]!data_range, 5, FALSE)</f>
        <v>#REF!</v>
      </c>
      <c r="G35" s="15" t="e">
        <f ca="1">VLOOKUP(CONCATENATE(LEFT(G$7, 7), "ca", $B35), [0]!data_range, 5, FALSE)</f>
        <v>#REF!</v>
      </c>
      <c r="H35" s="15" t="e">
        <f ca="1">VLOOKUP(CONCATENATE(LEFT(H$7, 7), "ca", $B35), [0]!data_range, 5, FALSE)</f>
        <v>#REF!</v>
      </c>
      <c r="I35" s="15" t="e">
        <f ca="1">VLOOKUP(CONCATENATE(LEFT(I$7, 7), "ca", $B35), [0]!data_range, 5, FALSE)</f>
        <v>#REF!</v>
      </c>
      <c r="J35" s="15" t="e">
        <f ca="1">VLOOKUP(CONCATENATE(LEFT(J$7, 7), "ca", $B35), [0]!data_range, 5, FALSE)</f>
        <v>#REF!</v>
      </c>
      <c r="K35" s="15" t="e">
        <f ca="1">VLOOKUP(CONCATENATE(LEFT(K$7, 7), "ca", $B35), [0]!data_range, 5, FALSE)</f>
        <v>#REF!</v>
      </c>
    </row>
    <row r="36" spans="2:11" ht="15" customHeight="1" x14ac:dyDescent="0.2">
      <c r="B36" s="23" t="s">
        <v>165</v>
      </c>
      <c r="C36" s="15" t="e">
        <f ca="1">VLOOKUP(CONCATENATE(LEFT(C$7, 7), "ca", $B36), [0]!data_range, 5, FALSE)</f>
        <v>#REF!</v>
      </c>
      <c r="D36" s="15" t="e">
        <f ca="1">VLOOKUP(CONCATENATE(LEFT(D$7, 7), "ca", $B36), [0]!data_range, 5, FALSE)</f>
        <v>#REF!</v>
      </c>
      <c r="E36" s="15" t="e">
        <f ca="1">VLOOKUP(CONCATENATE(LEFT(E$7, 7), "ca", $B36), [0]!data_range, 5, FALSE)</f>
        <v>#REF!</v>
      </c>
      <c r="F36" s="15" t="e">
        <f ca="1">VLOOKUP(CONCATENATE(LEFT(F$7, 7), "ca", $B36), [0]!data_range, 5, FALSE)</f>
        <v>#REF!</v>
      </c>
      <c r="G36" s="15" t="e">
        <f ca="1">VLOOKUP(CONCATENATE(LEFT(G$7, 7), "ca", $B36), [0]!data_range, 5, FALSE)</f>
        <v>#REF!</v>
      </c>
      <c r="H36" s="15" t="e">
        <f ca="1">VLOOKUP(CONCATENATE(LEFT(H$7, 7), "ca", $B36), [0]!data_range, 5, FALSE)</f>
        <v>#REF!</v>
      </c>
      <c r="I36" s="15" t="e">
        <f ca="1">VLOOKUP(CONCATENATE(LEFT(I$7, 7), "ca", $B36), [0]!data_range, 5, FALSE)</f>
        <v>#REF!</v>
      </c>
      <c r="J36" s="15" t="e">
        <f ca="1">VLOOKUP(CONCATENATE(LEFT(J$7, 7), "ca", $B36), [0]!data_range, 5, FALSE)</f>
        <v>#REF!</v>
      </c>
      <c r="K36" s="15" t="e">
        <f ca="1">VLOOKUP(CONCATENATE(LEFT(K$7, 7), "ca", $B36), [0]!data_range, 5, FALSE)</f>
        <v>#REF!</v>
      </c>
    </row>
    <row r="37" spans="2:11" ht="15" customHeight="1" x14ac:dyDescent="0.2">
      <c r="B37" s="23" t="s">
        <v>110</v>
      </c>
      <c r="C37" s="15" t="e">
        <f ca="1">VLOOKUP(CONCATENATE(LEFT(C$7, 7), "ca", $B37), [0]!data_range, 5, FALSE)</f>
        <v>#REF!</v>
      </c>
      <c r="D37" s="15" t="e">
        <f ca="1">VLOOKUP(CONCATENATE(LEFT(D$7, 7), "ca", $B37), [0]!data_range, 5, FALSE)</f>
        <v>#REF!</v>
      </c>
      <c r="E37" s="15" t="e">
        <f ca="1">VLOOKUP(CONCATENATE(LEFT(E$7, 7), "ca", $B37), [0]!data_range, 5, FALSE)</f>
        <v>#REF!</v>
      </c>
      <c r="F37" s="15" t="e">
        <f ca="1">VLOOKUP(CONCATENATE(LEFT(F$7, 7), "ca", $B37), [0]!data_range, 5, FALSE)</f>
        <v>#REF!</v>
      </c>
      <c r="G37" s="15" t="e">
        <f ca="1">VLOOKUP(CONCATENATE(LEFT(G$7, 7), "ca", $B37), [0]!data_range, 5, FALSE)</f>
        <v>#REF!</v>
      </c>
      <c r="H37" s="15" t="e">
        <f ca="1">VLOOKUP(CONCATENATE(LEFT(H$7, 7), "ca", $B37), [0]!data_range, 5, FALSE)</f>
        <v>#REF!</v>
      </c>
      <c r="I37" s="15" t="e">
        <f ca="1">VLOOKUP(CONCATENATE(LEFT(I$7, 7), "ca", $B37), [0]!data_range, 5, FALSE)</f>
        <v>#REF!</v>
      </c>
      <c r="J37" s="15" t="e">
        <f ca="1">VLOOKUP(CONCATENATE(LEFT(J$7, 7), "ca", $B37), [0]!data_range, 5, FALSE)</f>
        <v>#REF!</v>
      </c>
      <c r="K37" s="15" t="e">
        <f ca="1">VLOOKUP(CONCATENATE(LEFT(K$7, 7), "ca", $B37), [0]!data_range, 5, FALSE)</f>
        <v>#REF!</v>
      </c>
    </row>
    <row r="38" spans="2:11" ht="15" customHeight="1" x14ac:dyDescent="0.2">
      <c r="B38" s="23" t="s">
        <v>111</v>
      </c>
      <c r="C38" s="15" t="e">
        <f ca="1">VLOOKUP(CONCATENATE(LEFT(C$7, 7), "ca", $B38), [0]!data_range, 5, FALSE)</f>
        <v>#REF!</v>
      </c>
      <c r="D38" s="15" t="e">
        <f ca="1">VLOOKUP(CONCATENATE(LEFT(D$7, 7), "ca", $B38), [0]!data_range, 5, FALSE)</f>
        <v>#REF!</v>
      </c>
      <c r="E38" s="15" t="e">
        <f ca="1">VLOOKUP(CONCATENATE(LEFT(E$7, 7), "ca", $B38), [0]!data_range, 5, FALSE)</f>
        <v>#REF!</v>
      </c>
      <c r="F38" s="15" t="e">
        <f ca="1">VLOOKUP(CONCATENATE(LEFT(F$7, 7), "ca", $B38), [0]!data_range, 5, FALSE)</f>
        <v>#REF!</v>
      </c>
      <c r="G38" s="15" t="e">
        <f ca="1">VLOOKUP(CONCATENATE(LEFT(G$7, 7), "ca", $B38), [0]!data_range, 5, FALSE)</f>
        <v>#REF!</v>
      </c>
      <c r="H38" s="15" t="e">
        <f ca="1">VLOOKUP(CONCATENATE(LEFT(H$7, 7), "ca", $B38), [0]!data_range, 5, FALSE)</f>
        <v>#REF!</v>
      </c>
      <c r="I38" s="15" t="e">
        <f ca="1">VLOOKUP(CONCATENATE(LEFT(I$7, 7), "ca", $B38), [0]!data_range, 5, FALSE)</f>
        <v>#REF!</v>
      </c>
      <c r="J38" s="15" t="e">
        <f ca="1">VLOOKUP(CONCATENATE(LEFT(J$7, 7), "ca", $B38), [0]!data_range, 5, FALSE)</f>
        <v>#REF!</v>
      </c>
      <c r="K38" s="15" t="e">
        <f ca="1">VLOOKUP(CONCATENATE(LEFT(K$7, 7), "ca", $B38), [0]!data_range, 5, FALSE)</f>
        <v>#REF!</v>
      </c>
    </row>
    <row r="39" spans="2:11" ht="15" customHeight="1" x14ac:dyDescent="0.2">
      <c r="B39" s="23" t="s">
        <v>10</v>
      </c>
      <c r="C39" s="15" t="e">
        <f ca="1">VLOOKUP(CONCATENATE(LEFT(C$7, 7), "ca", $B39), [0]!data_range, 5, FALSE)</f>
        <v>#REF!</v>
      </c>
      <c r="D39" s="15" t="e">
        <f ca="1">VLOOKUP(CONCATENATE(LEFT(D$7, 7), "ca", $B39), [0]!data_range, 5, FALSE)</f>
        <v>#REF!</v>
      </c>
      <c r="E39" s="15" t="e">
        <f ca="1">VLOOKUP(CONCATENATE(LEFT(E$7, 7), "ca", $B39), [0]!data_range, 5, FALSE)</f>
        <v>#REF!</v>
      </c>
      <c r="F39" s="15" t="e">
        <f ca="1">VLOOKUP(CONCATENATE(LEFT(F$7, 7), "ca", $B39), [0]!data_range, 5, FALSE)</f>
        <v>#REF!</v>
      </c>
      <c r="G39" s="15" t="e">
        <f ca="1">VLOOKUP(CONCATENATE(LEFT(G$7, 7), "ca", $B39), [0]!data_range, 5, FALSE)</f>
        <v>#REF!</v>
      </c>
      <c r="H39" s="15" t="e">
        <f ca="1">VLOOKUP(CONCATENATE(LEFT(H$7, 7), "ca", $B39), [0]!data_range, 5, FALSE)</f>
        <v>#REF!</v>
      </c>
      <c r="I39" s="15" t="e">
        <f ca="1">VLOOKUP(CONCATENATE(LEFT(I$7, 7), "ca", $B39), [0]!data_range, 5, FALSE)</f>
        <v>#REF!</v>
      </c>
      <c r="J39" s="15" t="e">
        <f ca="1">VLOOKUP(CONCATENATE(LEFT(J$7, 7), "ca", $B39), [0]!data_range, 5, FALSE)</f>
        <v>#REF!</v>
      </c>
      <c r="K39" s="15" t="e">
        <f ca="1">VLOOKUP(CONCATENATE(LEFT(K$7, 7), "ca", $B39), [0]!data_range, 5, FALSE)</f>
        <v>#REF!</v>
      </c>
    </row>
    <row r="40" spans="2:11" ht="15" customHeight="1" x14ac:dyDescent="0.2">
      <c r="B40" s="36" t="s">
        <v>11</v>
      </c>
      <c r="C40" s="54" t="e">
        <f ca="1">VLOOKUP(CONCATENATE(LEFT(C$7, 7), "Scotland", $B40), [0]!data_range, 5, FALSE)</f>
        <v>#REF!</v>
      </c>
      <c r="D40" s="54" t="e">
        <f ca="1">VLOOKUP(CONCATENATE(LEFT(D$7, 7), "Scotland", $B40), [0]!data_range, 5, FALSE)</f>
        <v>#REF!</v>
      </c>
      <c r="E40" s="54" t="e">
        <f ca="1">VLOOKUP(CONCATENATE(LEFT(E$7, 7), "Scotland", $B40), [0]!data_range, 5, FALSE)</f>
        <v>#REF!</v>
      </c>
      <c r="F40" s="54" t="e">
        <f ca="1">VLOOKUP(CONCATENATE(LEFT(F$7, 7), "Scotland", $B40), [0]!data_range, 5, FALSE)</f>
        <v>#REF!</v>
      </c>
      <c r="G40" s="54" t="e">
        <f ca="1">VLOOKUP(CONCATENATE(LEFT(G$7, 7), "Scotland", $B40), [0]!data_range, 5, FALSE)</f>
        <v>#REF!</v>
      </c>
      <c r="H40" s="54" t="e">
        <f ca="1">VLOOKUP(CONCATENATE(LEFT(H$7, 7), "Scotland", $B40), [0]!data_range, 5, FALSE)</f>
        <v>#REF!</v>
      </c>
      <c r="I40" s="54" t="e">
        <f ca="1">VLOOKUP(CONCATENATE(LEFT(I$7, 7), "Scotland", $B40), [0]!data_range, 5, FALSE)</f>
        <v>#REF!</v>
      </c>
      <c r="J40" s="54" t="e">
        <f ca="1">VLOOKUP(CONCATENATE(LEFT(J$7, 7), "Scotland", $B40), [0]!data_range, 5, FALSE)</f>
        <v>#REF!</v>
      </c>
      <c r="K40" s="54" t="e">
        <f ca="1">VLOOKUP(CONCATENATE(LEFT(K$7, 7), "Scotland", $B40), [0]!data_range, 5, FALSE)</f>
        <v>#REF!</v>
      </c>
    </row>
    <row r="41" spans="2:11" ht="15" customHeight="1" x14ac:dyDescent="0.2">
      <c r="J41" s="23"/>
      <c r="K41" s="23"/>
    </row>
    <row r="42" spans="2:11" ht="15" customHeight="1" x14ac:dyDescent="0.2">
      <c r="C42" s="52"/>
      <c r="J42" s="23"/>
      <c r="K42" s="23"/>
    </row>
    <row r="43" spans="2:11" ht="15" customHeight="1" x14ac:dyDescent="0.2">
      <c r="B43" s="19" t="s">
        <v>15</v>
      </c>
      <c r="J43" s="23"/>
      <c r="K43" s="23"/>
    </row>
    <row r="44" spans="2:11" ht="15" customHeight="1" x14ac:dyDescent="0.2">
      <c r="J44" s="23"/>
      <c r="K44" s="23"/>
    </row>
    <row r="45" spans="2:11" ht="15" customHeight="1" x14ac:dyDescent="0.2">
      <c r="B45" s="21" t="s">
        <v>150</v>
      </c>
      <c r="J45" s="23"/>
      <c r="K45" s="23"/>
    </row>
    <row r="46" spans="2:11" ht="15" customHeight="1" x14ac:dyDescent="0.2">
      <c r="B46" s="21" t="s">
        <v>143</v>
      </c>
      <c r="J46" s="23"/>
      <c r="K46" s="23"/>
    </row>
    <row r="47" spans="2:11" ht="15" customHeight="1" x14ac:dyDescent="0.2">
      <c r="B47" s="21" t="e">
        <f ca="1">"    1. Data for " &amp; [0]!fy_max &amp;" are incomplete and will be revised in October 20" &amp; RIGHT([0]!fy_max, 2) &amp; " publication"</f>
        <v>#REF!</v>
      </c>
      <c r="J47" s="23"/>
      <c r="K47" s="23"/>
    </row>
    <row r="48" spans="2:11" ht="15" customHeight="1" x14ac:dyDescent="0.2">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8" spans="10:11" ht="15" customHeight="1" x14ac:dyDescent="0.2">
      <c r="J158" s="23"/>
      <c r="K158"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sheetData>
  <mergeCells count="1">
    <mergeCell ref="B1:J1"/>
  </mergeCells>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3"/>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84" t="str">
        <f>Notes!B1:O1</f>
        <v/>
      </c>
      <c r="C1" s="84"/>
      <c r="D1" s="84"/>
      <c r="E1" s="84"/>
      <c r="F1" s="84"/>
      <c r="G1" s="84"/>
      <c r="H1" s="84"/>
      <c r="I1" s="84"/>
      <c r="J1" s="84"/>
    </row>
    <row r="2" spans="2:12" ht="15" customHeight="1" x14ac:dyDescent="0.25">
      <c r="B2" s="4" t="s">
        <v>169</v>
      </c>
      <c r="J2" s="23"/>
      <c r="K2" s="23"/>
      <c r="L2" s="23"/>
    </row>
    <row r="3" spans="2:12" ht="15" customHeight="1" x14ac:dyDescent="0.25">
      <c r="B3" s="4" t="s">
        <v>141</v>
      </c>
      <c r="J3" s="23"/>
      <c r="K3" s="23"/>
      <c r="L3" s="23"/>
    </row>
    <row r="4" spans="2:12" ht="15" customHeight="1" x14ac:dyDescent="0.25">
      <c r="B4" s="4"/>
      <c r="J4" s="23"/>
      <c r="K4" s="23"/>
      <c r="L4" s="23"/>
    </row>
    <row r="5" spans="2:12" ht="15" customHeight="1" x14ac:dyDescent="0.25">
      <c r="B5" s="4"/>
      <c r="E5" s="10" t="s">
        <v>12</v>
      </c>
      <c r="I5" s="43"/>
      <c r="J5" s="23"/>
      <c r="K5" s="23"/>
      <c r="L5" s="23"/>
    </row>
    <row r="6" spans="2:12" ht="15" customHeight="1" x14ac:dyDescent="0.25">
      <c r="B6" s="4"/>
      <c r="D6" s="38"/>
      <c r="E6" s="38"/>
      <c r="F6" s="38"/>
      <c r="G6" s="38"/>
      <c r="H6" s="38"/>
      <c r="I6" s="38"/>
      <c r="J6" s="38"/>
      <c r="K6" s="38"/>
      <c r="L6" s="38"/>
    </row>
    <row r="7" spans="2:12" ht="15" customHeight="1" x14ac:dyDescent="0.2">
      <c r="B7" s="60" t="s">
        <v>122</v>
      </c>
      <c r="C7" s="55" t="s">
        <v>116</v>
      </c>
      <c r="D7" s="18" t="e">
        <f ca="1">calculation!B$10</f>
        <v>#REF!</v>
      </c>
      <c r="E7" s="18" t="e">
        <f ca="1">calculation!C$10</f>
        <v>#REF!</v>
      </c>
      <c r="F7" s="18" t="e">
        <f ca="1">calculation!D$10</f>
        <v>#REF!</v>
      </c>
      <c r="G7" s="18" t="e">
        <f ca="1">calculation!E$10</f>
        <v>#REF!</v>
      </c>
      <c r="H7" s="18" t="e">
        <f ca="1">calculation!F$10</f>
        <v>#REF!</v>
      </c>
      <c r="I7" s="18" t="e">
        <f ca="1">calculation!G$10</f>
        <v>#REF!</v>
      </c>
      <c r="J7" s="18" t="e">
        <f ca="1">calculation!H$10</f>
        <v>#REF!</v>
      </c>
      <c r="K7" s="18" t="e">
        <f ca="1">calculation!I$10</f>
        <v>#REF!</v>
      </c>
      <c r="L7" s="18" t="e">
        <f ca="1">calculation!J$10</f>
        <v>#REF!</v>
      </c>
    </row>
    <row r="8" spans="2:12" ht="15" customHeight="1" x14ac:dyDescent="0.2">
      <c r="B8" s="61" t="s">
        <v>124</v>
      </c>
      <c r="C8" s="39" t="s">
        <v>117</v>
      </c>
      <c r="D8" s="15" t="e">
        <f ca="1">VLOOKUP(CONCATENATE(LEFT(D$7, 7), "age/sex", $B$8, " ", $C8), [0]!data_range, 5, FALSE)</f>
        <v>#REF!</v>
      </c>
      <c r="E8" s="15" t="e">
        <f ca="1">VLOOKUP(CONCATENATE(LEFT(E$7, 7), "age/sex", $B$8, " ", $C8), [0]!data_range, 5, FALSE)</f>
        <v>#REF!</v>
      </c>
      <c r="F8" s="15" t="e">
        <f ca="1">VLOOKUP(CONCATENATE(LEFT(F$7, 7), "age/sex", $B$8, " ", $C8), [0]!data_range, 5, FALSE)</f>
        <v>#REF!</v>
      </c>
      <c r="G8" s="15" t="e">
        <f ca="1">VLOOKUP(CONCATENATE(LEFT(G$7, 7), "age/sex", $B$8, " ", $C8), [0]!data_range, 5, FALSE)</f>
        <v>#REF!</v>
      </c>
      <c r="H8" s="15" t="e">
        <f ca="1">VLOOKUP(CONCATENATE(LEFT(H$7, 7), "age/sex", $B$8, " ", $C8), [0]!data_range, 5, FALSE)</f>
        <v>#REF!</v>
      </c>
      <c r="I8" s="15" t="e">
        <f ca="1">VLOOKUP(CONCATENATE(LEFT(I$7, 7), "age/sex", $B$8, " ", $C8), [0]!data_range, 5, FALSE)</f>
        <v>#REF!</v>
      </c>
      <c r="J8" s="15" t="e">
        <f ca="1">VLOOKUP(CONCATENATE(LEFT(J$7, 7), "age/sex", $B$8, " ", $C8), [0]!data_range, 5, FALSE)</f>
        <v>#REF!</v>
      </c>
      <c r="K8" s="15" t="e">
        <f ca="1">VLOOKUP(CONCATENATE(LEFT(K$7, 7), "age/sex", $B$8, " ", $C8), [0]!data_range, 5, FALSE)</f>
        <v>#REF!</v>
      </c>
      <c r="L8" s="15" t="e">
        <f ca="1">VLOOKUP(CONCATENATE(LEFT(L$7, 7), "age/sex", $B$8, " ", $C8), [0]!data_range, 5, FALSE)</f>
        <v>#REF!</v>
      </c>
    </row>
    <row r="9" spans="2:12" ht="15" customHeight="1" x14ac:dyDescent="0.2">
      <c r="B9" s="9"/>
      <c r="C9" s="39" t="s">
        <v>194</v>
      </c>
      <c r="D9" s="15" t="e">
        <f ca="1">VLOOKUP(CONCATENATE(LEFT(D$7, 7), "age/sex", $B$8, " ", $C9), [0]!data_range, 5, FALSE)</f>
        <v>#REF!</v>
      </c>
      <c r="E9" s="15" t="e">
        <f ca="1">VLOOKUP(CONCATENATE(LEFT(E$7, 7), "age/sex", $B$8, " ", $C9), [0]!data_range, 5, FALSE)</f>
        <v>#REF!</v>
      </c>
      <c r="F9" s="15" t="e">
        <f ca="1">VLOOKUP(CONCATENATE(LEFT(F$7, 7), "age/sex", $B$8, " ", $C9), [0]!data_range, 5, FALSE)</f>
        <v>#REF!</v>
      </c>
      <c r="G9" s="15" t="e">
        <f ca="1">VLOOKUP(CONCATENATE(LEFT(G$7, 7), "age/sex", $B$8, " ", $C9), [0]!data_range, 5, FALSE)</f>
        <v>#REF!</v>
      </c>
      <c r="H9" s="15" t="e">
        <f ca="1">VLOOKUP(CONCATENATE(LEFT(H$7, 7), "age/sex", $B$8, " ", $C9), [0]!data_range, 5, FALSE)</f>
        <v>#REF!</v>
      </c>
      <c r="I9" s="15" t="e">
        <f ca="1">VLOOKUP(CONCATENATE(LEFT(I$7, 7), "age/sex", $B$8, " ", $C9), [0]!data_range, 5, FALSE)</f>
        <v>#REF!</v>
      </c>
      <c r="J9" s="15" t="e">
        <f ca="1">VLOOKUP(CONCATENATE(LEFT(J$7, 7), "age/sex", $B$8, " ", $C9), [0]!data_range, 5, FALSE)</f>
        <v>#REF!</v>
      </c>
      <c r="K9" s="15" t="e">
        <f ca="1">VLOOKUP(CONCATENATE(LEFT(K$7, 7), "age/sex", $B$8, " ", $C9), [0]!data_range, 5, FALSE)</f>
        <v>#REF!</v>
      </c>
      <c r="L9" s="15" t="e">
        <f ca="1">VLOOKUP(CONCATENATE(LEFT(L$7, 7), "age/sex", $B$8, " ", $C9), [0]!data_range, 5, FALSE)</f>
        <v>#REF!</v>
      </c>
    </row>
    <row r="10" spans="2:12" ht="15" customHeight="1" x14ac:dyDescent="0.2">
      <c r="B10" s="9"/>
      <c r="C10" s="3" t="s">
        <v>125</v>
      </c>
      <c r="D10" s="15" t="e">
        <f ca="1">VLOOKUP(CONCATENATE(LEFT(D$7, 7), "age/sex", $B$8, " ", $C10), [0]!data_range, 5, FALSE)</f>
        <v>#REF!</v>
      </c>
      <c r="E10" s="15" t="e">
        <f ca="1">VLOOKUP(CONCATENATE(LEFT(E$7, 7), "age/sex", $B$8, " ", $C10), [0]!data_range, 5, FALSE)</f>
        <v>#REF!</v>
      </c>
      <c r="F10" s="15" t="e">
        <f ca="1">VLOOKUP(CONCATENATE(LEFT(F$7, 7), "age/sex", $B$8, " ", $C10), [0]!data_range, 5, FALSE)</f>
        <v>#REF!</v>
      </c>
      <c r="G10" s="15" t="e">
        <f ca="1">VLOOKUP(CONCATENATE(LEFT(G$7, 7), "age/sex", $B$8, " ", $C10), [0]!data_range, 5, FALSE)</f>
        <v>#REF!</v>
      </c>
      <c r="H10" s="15" t="e">
        <f ca="1">VLOOKUP(CONCATENATE(LEFT(H$7, 7), "age/sex", $B$8, " ", $C10), [0]!data_range, 5, FALSE)</f>
        <v>#REF!</v>
      </c>
      <c r="I10" s="15" t="e">
        <f ca="1">VLOOKUP(CONCATENATE(LEFT(I$7, 7), "age/sex", $B$8, " ", $C10), [0]!data_range, 5, FALSE)</f>
        <v>#REF!</v>
      </c>
      <c r="J10" s="15" t="e">
        <f ca="1">VLOOKUP(CONCATENATE(LEFT(J$7, 7), "age/sex", $B$8, " ", $C10), [0]!data_range, 5, FALSE)</f>
        <v>#REF!</v>
      </c>
      <c r="K10" s="15" t="e">
        <f ca="1">VLOOKUP(CONCATENATE(LEFT(K$7, 7), "age/sex", $B$8, " ", $C10), [0]!data_range, 5, FALSE)</f>
        <v>#REF!</v>
      </c>
      <c r="L10" s="15" t="e">
        <f ca="1">VLOOKUP(CONCATENATE(LEFT(L$7, 7), "age/sex", $B$8, " ", $C10), [0]!data_range, 5, FALSE)</f>
        <v>#REF!</v>
      </c>
    </row>
    <row r="11" spans="2:12" ht="15" customHeight="1" x14ac:dyDescent="0.2">
      <c r="B11" s="9" t="s">
        <v>126</v>
      </c>
      <c r="C11" s="3" t="s">
        <v>117</v>
      </c>
      <c r="D11" s="15" t="e">
        <f ca="1">VLOOKUP(CONCATENATE(LEFT(D$7, 7), "age/sex", $B$8, " ", $C11), [0]!data_range, 5, FALSE)</f>
        <v>#REF!</v>
      </c>
      <c r="E11" s="15" t="e">
        <f ca="1">VLOOKUP(CONCATENATE(LEFT(E$7, 7), "age/sex", $B$8, " ", $C11), [0]!data_range, 5, FALSE)</f>
        <v>#REF!</v>
      </c>
      <c r="F11" s="15" t="e">
        <f ca="1">VLOOKUP(CONCATENATE(LEFT(F$7, 7), "age/sex", $B$8, " ", $C11), [0]!data_range, 5, FALSE)</f>
        <v>#REF!</v>
      </c>
      <c r="G11" s="15" t="e">
        <f ca="1">VLOOKUP(CONCATENATE(LEFT(G$7, 7), "age/sex", $B$8, " ", $C11), [0]!data_range, 5, FALSE)</f>
        <v>#REF!</v>
      </c>
      <c r="H11" s="15" t="e">
        <f ca="1">VLOOKUP(CONCATENATE(LEFT(H$7, 7), "age/sex", $B$8, " ", $C11), [0]!data_range, 5, FALSE)</f>
        <v>#REF!</v>
      </c>
      <c r="I11" s="15" t="e">
        <f ca="1">VLOOKUP(CONCATENATE(LEFT(I$7, 7), "age/sex", $B$8, " ", $C11), [0]!data_range, 5, FALSE)</f>
        <v>#REF!</v>
      </c>
      <c r="J11" s="15" t="e">
        <f ca="1">VLOOKUP(CONCATENATE(LEFT(J$7, 7), "age/sex", $B$8, " ", $C11), [0]!data_range, 5, FALSE)</f>
        <v>#REF!</v>
      </c>
      <c r="K11" s="15" t="e">
        <f ca="1">VLOOKUP(CONCATENATE(LEFT(K$7, 7), "age/sex", $B$8, " ", $C11), [0]!data_range, 5, FALSE)</f>
        <v>#REF!</v>
      </c>
      <c r="L11" s="15" t="e">
        <f ca="1">VLOOKUP(CONCATENATE(LEFT(L$7, 7), "age/sex", $B$8, " ", $C11), [0]!data_range, 5, FALSE)</f>
        <v>#REF!</v>
      </c>
    </row>
    <row r="12" spans="2:12" ht="15" customHeight="1" x14ac:dyDescent="0.2">
      <c r="C12" s="39" t="s">
        <v>194</v>
      </c>
      <c r="D12" s="15" t="e">
        <f ca="1">VLOOKUP(CONCATENATE(LEFT(D$7, 7), "age/sex", $B$8, " ", $C12), [0]!data_range, 5, FALSE)</f>
        <v>#REF!</v>
      </c>
      <c r="E12" s="15" t="e">
        <f ca="1">VLOOKUP(CONCATENATE(LEFT(E$7, 7), "age/sex", $B$8, " ", $C12), [0]!data_range, 5, FALSE)</f>
        <v>#REF!</v>
      </c>
      <c r="F12" s="15" t="e">
        <f ca="1">VLOOKUP(CONCATENATE(LEFT(F$7, 7), "age/sex", $B$8, " ", $C12), [0]!data_range, 5, FALSE)</f>
        <v>#REF!</v>
      </c>
      <c r="G12" s="15" t="e">
        <f ca="1">VLOOKUP(CONCATENATE(LEFT(G$7, 7), "age/sex", $B$8, " ", $C12), [0]!data_range, 5, FALSE)</f>
        <v>#REF!</v>
      </c>
      <c r="H12" s="15" t="e">
        <f ca="1">VLOOKUP(CONCATENATE(LEFT(H$7, 7), "age/sex", $B$8, " ", $C12), [0]!data_range, 5, FALSE)</f>
        <v>#REF!</v>
      </c>
      <c r="I12" s="15" t="e">
        <f ca="1">VLOOKUP(CONCATENATE(LEFT(I$7, 7), "age/sex", $B$8, " ", $C12), [0]!data_range, 5, FALSE)</f>
        <v>#REF!</v>
      </c>
      <c r="J12" s="15" t="e">
        <f ca="1">VLOOKUP(CONCATENATE(LEFT(J$7, 7), "age/sex", $B$8, " ", $C12), [0]!data_range, 5, FALSE)</f>
        <v>#REF!</v>
      </c>
      <c r="K12" s="15" t="e">
        <f ca="1">VLOOKUP(CONCATENATE(LEFT(K$7, 7), "age/sex", $B$8, " ", $C12), [0]!data_range, 5, FALSE)</f>
        <v>#REF!</v>
      </c>
      <c r="L12" s="15" t="e">
        <f ca="1">VLOOKUP(CONCATENATE(LEFT(L$7, 7), "age/sex", $B$8, " ", $C12), [0]!data_range, 5, FALSE)</f>
        <v>#REF!</v>
      </c>
    </row>
    <row r="13" spans="2:12" ht="15" customHeight="1" x14ac:dyDescent="0.2">
      <c r="C13" s="3" t="s">
        <v>125</v>
      </c>
      <c r="D13" s="15" t="e">
        <f ca="1">VLOOKUP(CONCATENATE(LEFT(D$7, 7), "age/sex", $B$8, " ", $C13), [0]!data_range, 5, FALSE)</f>
        <v>#REF!</v>
      </c>
      <c r="E13" s="15" t="e">
        <f ca="1">VLOOKUP(CONCATENATE(LEFT(E$7, 7), "age/sex", $B$8, " ", $C13), [0]!data_range, 5, FALSE)</f>
        <v>#REF!</v>
      </c>
      <c r="F13" s="15" t="e">
        <f ca="1">VLOOKUP(CONCATENATE(LEFT(F$7, 7), "age/sex", $B$8, " ", $C13), [0]!data_range, 5, FALSE)</f>
        <v>#REF!</v>
      </c>
      <c r="G13" s="15" t="e">
        <f ca="1">VLOOKUP(CONCATENATE(LEFT(G$7, 7), "age/sex", $B$8, " ", $C13), [0]!data_range, 5, FALSE)</f>
        <v>#REF!</v>
      </c>
      <c r="H13" s="15" t="e">
        <f ca="1">VLOOKUP(CONCATENATE(LEFT(H$7, 7), "age/sex", $B$8, " ", $C13), [0]!data_range, 5, FALSE)</f>
        <v>#REF!</v>
      </c>
      <c r="I13" s="15" t="e">
        <f ca="1">VLOOKUP(CONCATENATE(LEFT(I$7, 7), "age/sex", $B$8, " ", $C13), [0]!data_range, 5, FALSE)</f>
        <v>#REF!</v>
      </c>
      <c r="J13" s="15" t="e">
        <f ca="1">VLOOKUP(CONCATENATE(LEFT(J$7, 7), "age/sex", $B$8, " ", $C13), [0]!data_range, 5, FALSE)</f>
        <v>#REF!</v>
      </c>
      <c r="K13" s="15" t="e">
        <f ca="1">VLOOKUP(CONCATENATE(LEFT(K$7, 7), "age/sex", $B$8, " ", $C13), [0]!data_range, 5, FALSE)</f>
        <v>#REF!</v>
      </c>
      <c r="L13" s="15" t="e">
        <f ca="1">VLOOKUP(CONCATENATE(LEFT(L$7, 7), "age/sex", $B$8, " ", $C13), [0]!data_range, 5, FALSE)</f>
        <v>#REF!</v>
      </c>
    </row>
    <row r="14" spans="2:12" ht="15" customHeight="1" x14ac:dyDescent="0.2">
      <c r="B14" s="9" t="s">
        <v>123</v>
      </c>
      <c r="C14" s="3" t="s">
        <v>117</v>
      </c>
      <c r="D14" s="15" t="e">
        <f ca="1">VLOOKUP(CONCATENATE(LEFT(D$7, 7), "age/sex", $B$8, " ", $C14), [0]!data_range, 5, FALSE)</f>
        <v>#REF!</v>
      </c>
      <c r="E14" s="15" t="e">
        <f ca="1">VLOOKUP(CONCATENATE(LEFT(E$7, 7), "age/sex", $B$8, " ", $C14), [0]!data_range, 5, FALSE)</f>
        <v>#REF!</v>
      </c>
      <c r="F14" s="15" t="e">
        <f ca="1">VLOOKUP(CONCATENATE(LEFT(F$7, 7), "age/sex", $B$8, " ", $C14), [0]!data_range, 5, FALSE)</f>
        <v>#REF!</v>
      </c>
      <c r="G14" s="15" t="e">
        <f ca="1">VLOOKUP(CONCATENATE(LEFT(G$7, 7), "age/sex", $B$8, " ", $C14), [0]!data_range, 5, FALSE)</f>
        <v>#REF!</v>
      </c>
      <c r="H14" s="15" t="e">
        <f ca="1">VLOOKUP(CONCATENATE(LEFT(H$7, 7), "age/sex", $B$8, " ", $C14), [0]!data_range, 5, FALSE)</f>
        <v>#REF!</v>
      </c>
      <c r="I14" s="15" t="e">
        <f ca="1">VLOOKUP(CONCATENATE(LEFT(I$7, 7), "age/sex", $B$8, " ", $C14), [0]!data_range, 5, FALSE)</f>
        <v>#REF!</v>
      </c>
      <c r="J14" s="15" t="e">
        <f ca="1">VLOOKUP(CONCATENATE(LEFT(J$7, 7), "age/sex", $B$8, " ", $C14), [0]!data_range, 5, FALSE)</f>
        <v>#REF!</v>
      </c>
      <c r="K14" s="15" t="e">
        <f ca="1">VLOOKUP(CONCATENATE(LEFT(K$7, 7), "age/sex", $B$8, " ", $C14), [0]!data_range, 5, FALSE)</f>
        <v>#REF!</v>
      </c>
      <c r="L14" s="15" t="e">
        <f ca="1">VLOOKUP(CONCATENATE(LEFT(L$7, 7), "age/sex", $B$8, " ", $C14), [0]!data_range, 5, FALSE)</f>
        <v>#REF!</v>
      </c>
    </row>
    <row r="15" spans="2:12" ht="15" customHeight="1" x14ac:dyDescent="0.2">
      <c r="C15" s="39" t="s">
        <v>194</v>
      </c>
      <c r="D15" s="15" t="e">
        <f ca="1">VLOOKUP(CONCATENATE(LEFT(D$7, 7), "age/sex", $B$8, " ", $C15), [0]!data_range, 5, FALSE)</f>
        <v>#REF!</v>
      </c>
      <c r="E15" s="15" t="e">
        <f ca="1">VLOOKUP(CONCATENATE(LEFT(E$7, 7), "age/sex", $B$8, " ", $C15), [0]!data_range, 5, FALSE)</f>
        <v>#REF!</v>
      </c>
      <c r="F15" s="15" t="e">
        <f ca="1">VLOOKUP(CONCATENATE(LEFT(F$7, 7), "age/sex", $B$8, " ", $C15), [0]!data_range, 5, FALSE)</f>
        <v>#REF!</v>
      </c>
      <c r="G15" s="15" t="e">
        <f ca="1">VLOOKUP(CONCATENATE(LEFT(G$7, 7), "age/sex", $B$8, " ", $C15), [0]!data_range, 5, FALSE)</f>
        <v>#REF!</v>
      </c>
      <c r="H15" s="15" t="e">
        <f ca="1">VLOOKUP(CONCATENATE(LEFT(H$7, 7), "age/sex", $B$8, " ", $C15), [0]!data_range, 5, FALSE)</f>
        <v>#REF!</v>
      </c>
      <c r="I15" s="15" t="e">
        <f ca="1">VLOOKUP(CONCATENATE(LEFT(I$7, 7), "age/sex", $B$8, " ", $C15), [0]!data_range, 5, FALSE)</f>
        <v>#REF!</v>
      </c>
      <c r="J15" s="15" t="e">
        <f ca="1">VLOOKUP(CONCATENATE(LEFT(J$7, 7), "age/sex", $B$8, " ", $C15), [0]!data_range, 5, FALSE)</f>
        <v>#REF!</v>
      </c>
      <c r="K15" s="15" t="e">
        <f ca="1">VLOOKUP(CONCATENATE(LEFT(K$7, 7), "age/sex", $B$8, " ", $C15), [0]!data_range, 5, FALSE)</f>
        <v>#REF!</v>
      </c>
      <c r="L15" s="15" t="e">
        <f ca="1">VLOOKUP(CONCATENATE(LEFT(L$7, 7), "age/sex", $B$8, " ", $C15), [0]!data_range, 5, FALSE)</f>
        <v>#REF!</v>
      </c>
    </row>
    <row r="16" spans="2:12" ht="15" customHeight="1" x14ac:dyDescent="0.2">
      <c r="C16" s="39" t="s">
        <v>125</v>
      </c>
      <c r="D16" s="15" t="e">
        <f ca="1">VLOOKUP(CONCATENATE(LEFT(D$7, 7), "age/sex", $B$8, " ", $C16), [0]!data_range, 5, FALSE)</f>
        <v>#REF!</v>
      </c>
      <c r="E16" s="15" t="e">
        <f ca="1">VLOOKUP(CONCATENATE(LEFT(E$7, 7), "age/sex", $B$8, " ", $C16), [0]!data_range, 5, FALSE)</f>
        <v>#REF!</v>
      </c>
      <c r="F16" s="15" t="e">
        <f ca="1">VLOOKUP(CONCATENATE(LEFT(F$7, 7), "age/sex", $B$8, " ", $C16), [0]!data_range, 5, FALSE)</f>
        <v>#REF!</v>
      </c>
      <c r="G16" s="15" t="e">
        <f ca="1">VLOOKUP(CONCATENATE(LEFT(G$7, 7), "age/sex", $B$8, " ", $C16), [0]!data_range, 5, FALSE)</f>
        <v>#REF!</v>
      </c>
      <c r="H16" s="15" t="e">
        <f ca="1">VLOOKUP(CONCATENATE(LEFT(H$7, 7), "age/sex", $B$8, " ", $C16), [0]!data_range, 5, FALSE)</f>
        <v>#REF!</v>
      </c>
      <c r="I16" s="15" t="e">
        <f ca="1">VLOOKUP(CONCATENATE(LEFT(I$7, 7), "age/sex", $B$8, " ", $C16), [0]!data_range, 5, FALSE)</f>
        <v>#REF!</v>
      </c>
      <c r="J16" s="15" t="e">
        <f ca="1">VLOOKUP(CONCATENATE(LEFT(J$7, 7), "age/sex", $B$8, " ", $C16), [0]!data_range, 5, FALSE)</f>
        <v>#REF!</v>
      </c>
      <c r="K16" s="15" t="e">
        <f ca="1">VLOOKUP(CONCATENATE(LEFT(K$7, 7), "age/sex", $B$8, " ", $C16), [0]!data_range, 5, FALSE)</f>
        <v>#REF!</v>
      </c>
      <c r="L16" s="15" t="e">
        <f ca="1">VLOOKUP(CONCATENATE(LEFT(L$7, 7), "age/sex", $B$8, " ", $C16), [0]!data_range, 5, FALSE)</f>
        <v>#REF!</v>
      </c>
    </row>
    <row r="17" spans="2:12" ht="15" customHeight="1" x14ac:dyDescent="0.2">
      <c r="B17" s="9" t="s">
        <v>127</v>
      </c>
      <c r="C17" s="3" t="s">
        <v>117</v>
      </c>
      <c r="D17" s="15" t="e">
        <f ca="1">VLOOKUP(CONCATENATE(LEFT(D$7, 7), "age/sex", $B$8, " ", $C17), [0]!data_range, 5, FALSE)</f>
        <v>#REF!</v>
      </c>
      <c r="E17" s="15" t="e">
        <f ca="1">VLOOKUP(CONCATENATE(LEFT(E$7, 7), "age/sex", $B$8, " ", $C17), [0]!data_range, 5, FALSE)</f>
        <v>#REF!</v>
      </c>
      <c r="F17" s="15" t="e">
        <f ca="1">VLOOKUP(CONCATENATE(LEFT(F$7, 7), "age/sex", $B$8, " ", $C17), [0]!data_range, 5, FALSE)</f>
        <v>#REF!</v>
      </c>
      <c r="G17" s="15" t="e">
        <f ca="1">VLOOKUP(CONCATENATE(LEFT(G$7, 7), "age/sex", $B$8, " ", $C17), [0]!data_range, 5, FALSE)</f>
        <v>#REF!</v>
      </c>
      <c r="H17" s="15" t="e">
        <f ca="1">VLOOKUP(CONCATENATE(LEFT(H$7, 7), "age/sex", $B$8, " ", $C17), [0]!data_range, 5, FALSE)</f>
        <v>#REF!</v>
      </c>
      <c r="I17" s="15" t="e">
        <f ca="1">VLOOKUP(CONCATENATE(LEFT(I$7, 7), "age/sex", $B$8, " ", $C17), [0]!data_range, 5, FALSE)</f>
        <v>#REF!</v>
      </c>
      <c r="J17" s="15" t="e">
        <f ca="1">VLOOKUP(CONCATENATE(LEFT(J$7, 7), "age/sex", $B$8, " ", $C17), [0]!data_range, 5, FALSE)</f>
        <v>#REF!</v>
      </c>
      <c r="K17" s="15" t="e">
        <f ca="1">VLOOKUP(CONCATENATE(LEFT(K$7, 7), "age/sex", $B$8, " ", $C17), [0]!data_range, 5, FALSE)</f>
        <v>#REF!</v>
      </c>
      <c r="L17" s="15" t="e">
        <f ca="1">VLOOKUP(CONCATENATE(LEFT(L$7, 7), "age/sex", $B$8, " ", $C17), [0]!data_range, 5, FALSE)</f>
        <v>#REF!</v>
      </c>
    </row>
    <row r="18" spans="2:12" ht="15" customHeight="1" x14ac:dyDescent="0.2">
      <c r="C18" s="39" t="s">
        <v>194</v>
      </c>
      <c r="D18" s="15" t="e">
        <f ca="1">VLOOKUP(CONCATENATE(LEFT(D$7, 7), "age/sex", $B$8, " ", $C18), [0]!data_range, 5, FALSE)</f>
        <v>#REF!</v>
      </c>
      <c r="E18" s="15" t="e">
        <f ca="1">VLOOKUP(CONCATENATE(LEFT(E$7, 7), "age/sex", $B$8, " ", $C18), [0]!data_range, 5, FALSE)</f>
        <v>#REF!</v>
      </c>
      <c r="F18" s="15" t="e">
        <f ca="1">VLOOKUP(CONCATENATE(LEFT(F$7, 7), "age/sex", $B$8, " ", $C18), [0]!data_range, 5, FALSE)</f>
        <v>#REF!</v>
      </c>
      <c r="G18" s="15" t="e">
        <f ca="1">VLOOKUP(CONCATENATE(LEFT(G$7, 7), "age/sex", $B$8, " ", $C18), [0]!data_range, 5, FALSE)</f>
        <v>#REF!</v>
      </c>
      <c r="H18" s="15" t="e">
        <f ca="1">VLOOKUP(CONCATENATE(LEFT(H$7, 7), "age/sex", $B$8, " ", $C18), [0]!data_range, 5, FALSE)</f>
        <v>#REF!</v>
      </c>
      <c r="I18" s="15" t="e">
        <f ca="1">VLOOKUP(CONCATENATE(LEFT(I$7, 7), "age/sex", $B$8, " ", $C18), [0]!data_range, 5, FALSE)</f>
        <v>#REF!</v>
      </c>
      <c r="J18" s="15" t="e">
        <f ca="1">VLOOKUP(CONCATENATE(LEFT(J$7, 7), "age/sex", $B$8, " ", $C18), [0]!data_range, 5, FALSE)</f>
        <v>#REF!</v>
      </c>
      <c r="K18" s="15" t="e">
        <f ca="1">VLOOKUP(CONCATENATE(LEFT(K$7, 7), "age/sex", $B$8, " ", $C18), [0]!data_range, 5, FALSE)</f>
        <v>#REF!</v>
      </c>
      <c r="L18" s="15" t="e">
        <f ca="1">VLOOKUP(CONCATENATE(LEFT(L$7, 7), "age/sex", $B$8, " ", $C18), [0]!data_range, 5, FALSE)</f>
        <v>#REF!</v>
      </c>
    </row>
    <row r="19" spans="2:12" ht="15" customHeight="1" x14ac:dyDescent="0.2">
      <c r="C19" s="3" t="s">
        <v>125</v>
      </c>
      <c r="D19" s="15" t="e">
        <f ca="1">VLOOKUP(CONCATENATE(LEFT(D$7, 7), "age/sex", $B$8, " ", $C19), [0]!data_range, 5, FALSE)</f>
        <v>#REF!</v>
      </c>
      <c r="E19" s="15" t="e">
        <f ca="1">VLOOKUP(CONCATENATE(LEFT(E$7, 7), "age/sex", $B$8, " ", $C19), [0]!data_range, 5, FALSE)</f>
        <v>#REF!</v>
      </c>
      <c r="F19" s="15" t="e">
        <f ca="1">VLOOKUP(CONCATENATE(LEFT(F$7, 7), "age/sex", $B$8, " ", $C19), [0]!data_range, 5, FALSE)</f>
        <v>#REF!</v>
      </c>
      <c r="G19" s="15" t="e">
        <f ca="1">VLOOKUP(CONCATENATE(LEFT(G$7, 7), "age/sex", $B$8, " ", $C19), [0]!data_range, 5, FALSE)</f>
        <v>#REF!</v>
      </c>
      <c r="H19" s="15" t="e">
        <f ca="1">VLOOKUP(CONCATENATE(LEFT(H$7, 7), "age/sex", $B$8, " ", $C19), [0]!data_range, 5, FALSE)</f>
        <v>#REF!</v>
      </c>
      <c r="I19" s="15" t="e">
        <f ca="1">VLOOKUP(CONCATENATE(LEFT(I$7, 7), "age/sex", $B$8, " ", $C19), [0]!data_range, 5, FALSE)</f>
        <v>#REF!</v>
      </c>
      <c r="J19" s="15" t="e">
        <f ca="1">VLOOKUP(CONCATENATE(LEFT(J$7, 7), "age/sex", $B$8, " ", $C19), [0]!data_range, 5, FALSE)</f>
        <v>#REF!</v>
      </c>
      <c r="K19" s="15" t="e">
        <f ca="1">VLOOKUP(CONCATENATE(LEFT(K$7, 7), "age/sex", $B$8, " ", $C19), [0]!data_range, 5, FALSE)</f>
        <v>#REF!</v>
      </c>
      <c r="L19" s="15" t="e">
        <f ca="1">VLOOKUP(CONCATENATE(LEFT(L$7, 7), "age/sex", $B$8, " ", $C19), [0]!data_range, 5, FALSE)</f>
        <v>#REF!</v>
      </c>
    </row>
    <row r="20" spans="2:12" ht="15" customHeight="1" x14ac:dyDescent="0.2">
      <c r="B20" s="9" t="s">
        <v>128</v>
      </c>
      <c r="C20" s="3" t="s">
        <v>117</v>
      </c>
      <c r="D20" s="15" t="e">
        <f ca="1">VLOOKUP(CONCATENATE(LEFT(D$7, 7), "age/sex", $B$8, " ", $C20), [0]!data_range, 5, FALSE)</f>
        <v>#REF!</v>
      </c>
      <c r="E20" s="15" t="e">
        <f ca="1">VLOOKUP(CONCATENATE(LEFT(E$7, 7), "age/sex", $B$8, " ", $C20), [0]!data_range, 5, FALSE)</f>
        <v>#REF!</v>
      </c>
      <c r="F20" s="15" t="e">
        <f ca="1">VLOOKUP(CONCATENATE(LEFT(F$7, 7), "age/sex", $B$8, " ", $C20), [0]!data_range, 5, FALSE)</f>
        <v>#REF!</v>
      </c>
      <c r="G20" s="15" t="e">
        <f ca="1">VLOOKUP(CONCATENATE(LEFT(G$7, 7), "age/sex", $B$8, " ", $C20), [0]!data_range, 5, FALSE)</f>
        <v>#REF!</v>
      </c>
      <c r="H20" s="15" t="e">
        <f ca="1">VLOOKUP(CONCATENATE(LEFT(H$7, 7), "age/sex", $B$8, " ", $C20), [0]!data_range, 5, FALSE)</f>
        <v>#REF!</v>
      </c>
      <c r="I20" s="15" t="e">
        <f ca="1">VLOOKUP(CONCATENATE(LEFT(I$7, 7), "age/sex", $B$8, " ", $C20), [0]!data_range, 5, FALSE)</f>
        <v>#REF!</v>
      </c>
      <c r="J20" s="15" t="e">
        <f ca="1">VLOOKUP(CONCATENATE(LEFT(J$7, 7), "age/sex", $B$8, " ", $C20), [0]!data_range, 5, FALSE)</f>
        <v>#REF!</v>
      </c>
      <c r="K20" s="15" t="e">
        <f ca="1">VLOOKUP(CONCATENATE(LEFT(K$7, 7), "age/sex", $B$8, " ", $C20), [0]!data_range, 5, FALSE)</f>
        <v>#REF!</v>
      </c>
      <c r="L20" s="15" t="e">
        <f ca="1">VLOOKUP(CONCATENATE(LEFT(L$7, 7), "age/sex", $B$8, " ", $C20), [0]!data_range, 5, FALSE)</f>
        <v>#REF!</v>
      </c>
    </row>
    <row r="21" spans="2:12" ht="15" customHeight="1" x14ac:dyDescent="0.2">
      <c r="C21" s="39" t="s">
        <v>194</v>
      </c>
      <c r="D21" s="15" t="e">
        <f ca="1">VLOOKUP(CONCATENATE(LEFT(D$7, 7), "age/sex", $B$8, " ", $C21), [0]!data_range, 5, FALSE)</f>
        <v>#REF!</v>
      </c>
      <c r="E21" s="15" t="e">
        <f ca="1">VLOOKUP(CONCATENATE(LEFT(E$7, 7), "age/sex", $B$8, " ", $C21), [0]!data_range, 5, FALSE)</f>
        <v>#REF!</v>
      </c>
      <c r="F21" s="15" t="e">
        <f ca="1">VLOOKUP(CONCATENATE(LEFT(F$7, 7), "age/sex", $B$8, " ", $C21), [0]!data_range, 5, FALSE)</f>
        <v>#REF!</v>
      </c>
      <c r="G21" s="15" t="e">
        <f ca="1">VLOOKUP(CONCATENATE(LEFT(G$7, 7), "age/sex", $B$8, " ", $C21), [0]!data_range, 5, FALSE)</f>
        <v>#REF!</v>
      </c>
      <c r="H21" s="15" t="e">
        <f ca="1">VLOOKUP(CONCATENATE(LEFT(H$7, 7), "age/sex", $B$8, " ", $C21), [0]!data_range, 5, FALSE)</f>
        <v>#REF!</v>
      </c>
      <c r="I21" s="15" t="e">
        <f ca="1">VLOOKUP(CONCATENATE(LEFT(I$7, 7), "age/sex", $B$8, " ", $C21), [0]!data_range, 5, FALSE)</f>
        <v>#REF!</v>
      </c>
      <c r="J21" s="15" t="e">
        <f ca="1">VLOOKUP(CONCATENATE(LEFT(J$7, 7), "age/sex", $B$8, " ", $C21), [0]!data_range, 5, FALSE)</f>
        <v>#REF!</v>
      </c>
      <c r="K21" s="15" t="e">
        <f ca="1">VLOOKUP(CONCATENATE(LEFT(K$7, 7), "age/sex", $B$8, " ", $C21), [0]!data_range, 5, FALSE)</f>
        <v>#REF!</v>
      </c>
      <c r="L21" s="15" t="e">
        <f ca="1">VLOOKUP(CONCATENATE(LEFT(L$7, 7), "age/sex", $B$8, " ", $C21), [0]!data_range, 5, FALSE)</f>
        <v>#REF!</v>
      </c>
    </row>
    <row r="22" spans="2:12" ht="15" customHeight="1" x14ac:dyDescent="0.2">
      <c r="C22" s="3" t="s">
        <v>125</v>
      </c>
      <c r="D22" s="15" t="e">
        <f ca="1">VLOOKUP(CONCATENATE(LEFT(D$7, 7), "age/sex", $B$8, " ", $C22), [0]!data_range, 5, FALSE)</f>
        <v>#REF!</v>
      </c>
      <c r="E22" s="15" t="e">
        <f ca="1">VLOOKUP(CONCATENATE(LEFT(E$7, 7), "age/sex", $B$8, " ", $C22), [0]!data_range, 5, FALSE)</f>
        <v>#REF!</v>
      </c>
      <c r="F22" s="15" t="e">
        <f ca="1">VLOOKUP(CONCATENATE(LEFT(F$7, 7), "age/sex", $B$8, " ", $C22), [0]!data_range, 5, FALSE)</f>
        <v>#REF!</v>
      </c>
      <c r="G22" s="15" t="e">
        <f ca="1">VLOOKUP(CONCATENATE(LEFT(G$7, 7), "age/sex", $B$8, " ", $C22), [0]!data_range, 5, FALSE)</f>
        <v>#REF!</v>
      </c>
      <c r="H22" s="15" t="e">
        <f ca="1">VLOOKUP(CONCATENATE(LEFT(H$7, 7), "age/sex", $B$8, " ", $C22), [0]!data_range, 5, FALSE)</f>
        <v>#REF!</v>
      </c>
      <c r="I22" s="15" t="e">
        <f ca="1">VLOOKUP(CONCATENATE(LEFT(I$7, 7), "age/sex", $B$8, " ", $C22), [0]!data_range, 5, FALSE)</f>
        <v>#REF!</v>
      </c>
      <c r="J22" s="15" t="e">
        <f ca="1">VLOOKUP(CONCATENATE(LEFT(J$7, 7), "age/sex", $B$8, " ", $C22), [0]!data_range, 5, FALSE)</f>
        <v>#REF!</v>
      </c>
      <c r="K22" s="15" t="e">
        <f ca="1">VLOOKUP(CONCATENATE(LEFT(K$7, 7), "age/sex", $B$8, " ", $C22), [0]!data_range, 5, FALSE)</f>
        <v>#REF!</v>
      </c>
      <c r="L22" s="15" t="e">
        <f ca="1">VLOOKUP(CONCATENATE(LEFT(L$7, 7), "age/sex", $B$8, " ", $C22), [0]!data_range, 5, FALSE)</f>
        <v>#REF!</v>
      </c>
    </row>
    <row r="23" spans="2:12" ht="15" customHeight="1" x14ac:dyDescent="0.2">
      <c r="B23" s="3" t="s">
        <v>129</v>
      </c>
      <c r="C23" s="9" t="s">
        <v>117</v>
      </c>
      <c r="D23" s="15" t="e">
        <f ca="1">VLOOKUP(CONCATENATE(LEFT(D$7, 7), "age/sex", $B$8, " ", $C23), [0]!data_range, 5, FALSE)</f>
        <v>#REF!</v>
      </c>
      <c r="E23" s="15" t="e">
        <f ca="1">VLOOKUP(CONCATENATE(LEFT(E$7, 7), "age/sex", $B$8, " ", $C23), [0]!data_range, 5, FALSE)</f>
        <v>#REF!</v>
      </c>
      <c r="F23" s="15" t="e">
        <f ca="1">VLOOKUP(CONCATENATE(LEFT(F$7, 7), "age/sex", $B$8, " ", $C23), [0]!data_range, 5, FALSE)</f>
        <v>#REF!</v>
      </c>
      <c r="G23" s="15" t="e">
        <f ca="1">VLOOKUP(CONCATENATE(LEFT(G$7, 7), "age/sex", $B$8, " ", $C23), [0]!data_range, 5, FALSE)</f>
        <v>#REF!</v>
      </c>
      <c r="H23" s="15" t="e">
        <f ca="1">VLOOKUP(CONCATENATE(LEFT(H$7, 7), "age/sex", $B$8, " ", $C23), [0]!data_range, 5, FALSE)</f>
        <v>#REF!</v>
      </c>
      <c r="I23" s="15" t="e">
        <f ca="1">VLOOKUP(CONCATENATE(LEFT(I$7, 7), "age/sex", $B$8, " ", $C23), [0]!data_range, 5, FALSE)</f>
        <v>#REF!</v>
      </c>
      <c r="J23" s="15" t="e">
        <f ca="1">VLOOKUP(CONCATENATE(LEFT(J$7, 7), "age/sex", $B$8, " ", $C23), [0]!data_range, 5, FALSE)</f>
        <v>#REF!</v>
      </c>
      <c r="K23" s="15" t="e">
        <f ca="1">VLOOKUP(CONCATENATE(LEFT(K$7, 7), "age/sex", $B$8, " ", $C23), [0]!data_range, 5, FALSE)</f>
        <v>#REF!</v>
      </c>
      <c r="L23" s="15" t="e">
        <f ca="1">VLOOKUP(CONCATENATE(LEFT(L$7, 7), "age/sex", $B$8, " ", $C23), [0]!data_range, 5, FALSE)</f>
        <v>#REF!</v>
      </c>
    </row>
    <row r="24" spans="2:12" ht="15" customHeight="1" x14ac:dyDescent="0.2">
      <c r="C24" s="26" t="s">
        <v>194</v>
      </c>
      <c r="D24" s="15" t="e">
        <f ca="1">VLOOKUP(CONCATENATE(LEFT(D$7, 7), "age/sex", $B$8, " ", $C24), [0]!data_range, 5, FALSE)</f>
        <v>#REF!</v>
      </c>
      <c r="E24" s="15" t="e">
        <f ca="1">VLOOKUP(CONCATENATE(LEFT(E$7, 7), "age/sex", $B$8, " ", $C24), [0]!data_range, 5, FALSE)</f>
        <v>#REF!</v>
      </c>
      <c r="F24" s="15" t="e">
        <f ca="1">VLOOKUP(CONCATENATE(LEFT(F$7, 7), "age/sex", $B$8, " ", $C24), [0]!data_range, 5, FALSE)</f>
        <v>#REF!</v>
      </c>
      <c r="G24" s="15" t="e">
        <f ca="1">VLOOKUP(CONCATENATE(LEFT(G$7, 7), "age/sex", $B$8, " ", $C24), [0]!data_range, 5, FALSE)</f>
        <v>#REF!</v>
      </c>
      <c r="H24" s="15" t="e">
        <f ca="1">VLOOKUP(CONCATENATE(LEFT(H$7, 7), "age/sex", $B$8, " ", $C24), [0]!data_range, 5, FALSE)</f>
        <v>#REF!</v>
      </c>
      <c r="I24" s="15" t="e">
        <f ca="1">VLOOKUP(CONCATENATE(LEFT(I$7, 7), "age/sex", $B$8, " ", $C24), [0]!data_range, 5, FALSE)</f>
        <v>#REF!</v>
      </c>
      <c r="J24" s="15" t="e">
        <f ca="1">VLOOKUP(CONCATENATE(LEFT(J$7, 7), "age/sex", $B$8, " ", $C24), [0]!data_range, 5, FALSE)</f>
        <v>#REF!</v>
      </c>
      <c r="K24" s="15" t="e">
        <f ca="1">VLOOKUP(CONCATENATE(LEFT(K$7, 7), "age/sex", $B$8, " ", $C24), [0]!data_range, 5, FALSE)</f>
        <v>#REF!</v>
      </c>
      <c r="L24" s="15" t="e">
        <f ca="1">VLOOKUP(CONCATENATE(LEFT(L$7, 7), "age/sex", $B$8, " ", $C24), [0]!data_range, 5, FALSE)</f>
        <v>#REF!</v>
      </c>
    </row>
    <row r="25" spans="2:12" ht="15" customHeight="1" x14ac:dyDescent="0.2">
      <c r="B25" s="62"/>
      <c r="C25" s="62" t="s">
        <v>125</v>
      </c>
      <c r="D25" s="16" t="e">
        <f ca="1">VLOOKUP(CONCATENATE(LEFT(D$7, 7), "age/sex", $B$8, " ", $C25), [0]!data_range, 5, FALSE)</f>
        <v>#REF!</v>
      </c>
      <c r="E25" s="16" t="e">
        <f ca="1">VLOOKUP(CONCATENATE(LEFT(E$7, 7), "age/sex", $B$8, " ", $C25), [0]!data_range, 5, FALSE)</f>
        <v>#REF!</v>
      </c>
      <c r="F25" s="16" t="e">
        <f ca="1">VLOOKUP(CONCATENATE(LEFT(F$7, 7), "age/sex", $B$8, " ", $C25), [0]!data_range, 5, FALSE)</f>
        <v>#REF!</v>
      </c>
      <c r="G25" s="16" t="e">
        <f ca="1">VLOOKUP(CONCATENATE(LEFT(G$7, 7), "age/sex", $B$8, " ", $C25), [0]!data_range, 5, FALSE)</f>
        <v>#REF!</v>
      </c>
      <c r="H25" s="16" t="e">
        <f ca="1">VLOOKUP(CONCATENATE(LEFT(H$7, 7), "age/sex", $B$8, " ", $C25), [0]!data_range, 5, FALSE)</f>
        <v>#REF!</v>
      </c>
      <c r="I25" s="16" t="e">
        <f ca="1">VLOOKUP(CONCATENATE(LEFT(I$7, 7), "age/sex", $B$8, " ", $C25), [0]!data_range, 5, FALSE)</f>
        <v>#REF!</v>
      </c>
      <c r="J25" s="16" t="e">
        <f ca="1">VLOOKUP(CONCATENATE(LEFT(J$7, 7), "age/sex", $B$8, " ", $C25), [0]!data_range, 5, FALSE)</f>
        <v>#REF!</v>
      </c>
      <c r="K25" s="16" t="e">
        <f ca="1">VLOOKUP(CONCATENATE(LEFT(K$7, 7), "age/sex", $B$8, " ", $C25), [0]!data_range, 5, FALSE)</f>
        <v>#REF!</v>
      </c>
      <c r="L25" s="16"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B28" s="19" t="s">
        <v>15</v>
      </c>
      <c r="I28" s="9"/>
      <c r="J28" s="23"/>
      <c r="K28" s="23"/>
      <c r="L28" s="23"/>
    </row>
    <row r="29" spans="2:12" ht="15" customHeight="1" x14ac:dyDescent="0.2">
      <c r="B29" s="19"/>
      <c r="I29" s="9"/>
      <c r="J29" s="23"/>
      <c r="K29" s="23"/>
      <c r="L29" s="23"/>
    </row>
    <row r="30" spans="2:12" ht="21.75" customHeight="1" x14ac:dyDescent="0.2">
      <c r="B30" s="85" t="s">
        <v>133</v>
      </c>
      <c r="C30" s="85"/>
      <c r="D30" s="85"/>
      <c r="E30" s="85"/>
      <c r="F30" s="85"/>
      <c r="G30" s="85"/>
      <c r="H30" s="85"/>
      <c r="J30" s="23"/>
      <c r="K30" s="23"/>
      <c r="L30" s="23"/>
    </row>
    <row r="31" spans="2:12" ht="15" customHeight="1" x14ac:dyDescent="0.2">
      <c r="B31" s="63"/>
      <c r="C31" s="63"/>
      <c r="D31" s="63"/>
      <c r="E31" s="63"/>
      <c r="F31" s="63"/>
      <c r="G31" s="63"/>
      <c r="H31" s="63"/>
      <c r="J31" s="23"/>
      <c r="K31" s="23"/>
      <c r="L31" s="23"/>
    </row>
    <row r="32" spans="2:12" ht="15" customHeight="1" x14ac:dyDescent="0.2">
      <c r="B32" s="21" t="s">
        <v>150</v>
      </c>
    </row>
    <row r="33" spans="2:8" ht="15" customHeight="1" x14ac:dyDescent="0.2">
      <c r="B33" s="21" t="s">
        <v>143</v>
      </c>
    </row>
    <row r="34" spans="2:8" ht="15" customHeight="1" x14ac:dyDescent="0.2">
      <c r="B34" s="21" t="e">
        <f ca="1">"    1. Data for " &amp; [0]!fy_max &amp;" are incomplete and will be revised in October 20" &amp; RIGHT([0]!fy_max, 2) &amp; " publication"</f>
        <v>#REF!</v>
      </c>
      <c r="D34" s="23"/>
      <c r="E34" s="23"/>
      <c r="F34" s="6"/>
      <c r="G34" s="6"/>
      <c r="H34" s="6"/>
    </row>
    <row r="35" spans="2:8" ht="15" customHeight="1" x14ac:dyDescent="0.2">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sheetData>
  <mergeCells count="2">
    <mergeCell ref="B30:H30"/>
    <mergeCell ref="B1:J1"/>
  </mergeCells>
  <phoneticPr fontId="5" type="noConversion"/>
  <hyperlinks>
    <hyperlink ref="B28"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38"/>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84" t="str">
        <f>Notes!B1:O1</f>
        <v/>
      </c>
      <c r="C1" s="84"/>
      <c r="D1" s="84"/>
      <c r="E1" s="84"/>
      <c r="F1" s="84"/>
      <c r="G1" s="84"/>
      <c r="H1" s="84"/>
      <c r="I1" s="84"/>
    </row>
    <row r="2" spans="2:18" ht="15" customHeight="1" x14ac:dyDescent="0.25">
      <c r="B2" s="4" t="s">
        <v>195</v>
      </c>
      <c r="J2" s="39"/>
      <c r="L2" s="6"/>
    </row>
    <row r="3" spans="2:18" ht="15" customHeight="1" x14ac:dyDescent="0.25">
      <c r="B3" s="4" t="s">
        <v>155</v>
      </c>
      <c r="I3" s="23"/>
      <c r="J3" s="23"/>
      <c r="K3" s="23"/>
      <c r="L3" s="6"/>
    </row>
    <row r="4" spans="2:18" ht="15" customHeight="1" x14ac:dyDescent="0.25">
      <c r="B4" s="4"/>
      <c r="I4" s="23"/>
      <c r="J4" s="23"/>
      <c r="K4" s="23"/>
      <c r="L4" s="6"/>
    </row>
    <row r="5" spans="2:18" ht="15" customHeight="1" x14ac:dyDescent="0.2">
      <c r="D5" s="10" t="s">
        <v>12</v>
      </c>
      <c r="H5" s="64"/>
      <c r="I5" s="23"/>
      <c r="J5" s="23"/>
      <c r="K5" s="23"/>
      <c r="L5" s="6"/>
    </row>
    <row r="6" spans="2:18" ht="15" customHeight="1" x14ac:dyDescent="0.2">
      <c r="I6" s="23"/>
      <c r="J6" s="23"/>
      <c r="K6" s="23"/>
      <c r="L6" s="8"/>
      <c r="M6" s="9"/>
      <c r="N6" s="9"/>
      <c r="O6" s="9"/>
      <c r="P6" s="9"/>
      <c r="Q6" s="9"/>
      <c r="R6" s="9"/>
    </row>
    <row r="7" spans="2:18" ht="15" customHeight="1" x14ac:dyDescent="0.2">
      <c r="B7" s="9"/>
      <c r="C7" s="65"/>
      <c r="D7" s="65"/>
      <c r="E7" s="65"/>
      <c r="F7" s="65"/>
      <c r="G7" s="65"/>
      <c r="H7" s="65"/>
      <c r="I7" s="65"/>
      <c r="J7" s="65"/>
      <c r="K7" s="65"/>
      <c r="L7" s="9"/>
      <c r="M7" s="9"/>
      <c r="N7" s="9"/>
      <c r="O7" s="9"/>
      <c r="P7" s="9"/>
      <c r="Q7" s="9"/>
      <c r="R7" s="9"/>
    </row>
    <row r="8" spans="2:18" ht="15" customHeight="1" x14ac:dyDescent="0.2">
      <c r="B8" s="55" t="s">
        <v>157</v>
      </c>
      <c r="C8" s="18" t="e">
        <f ca="1">calculation!B$10</f>
        <v>#REF!</v>
      </c>
      <c r="D8" s="18" t="e">
        <f ca="1">calculation!C$10</f>
        <v>#REF!</v>
      </c>
      <c r="E8" s="18" t="e">
        <f ca="1">calculation!D$10</f>
        <v>#REF!</v>
      </c>
      <c r="F8" s="18" t="e">
        <f ca="1">calculation!E$10</f>
        <v>#REF!</v>
      </c>
      <c r="G8" s="18" t="e">
        <f ca="1">calculation!F$10</f>
        <v>#REF!</v>
      </c>
      <c r="H8" s="18" t="e">
        <f ca="1">calculation!G$10</f>
        <v>#REF!</v>
      </c>
      <c r="I8" s="18" t="e">
        <f ca="1">calculation!H$10</f>
        <v>#REF!</v>
      </c>
      <c r="J8" s="18" t="e">
        <f ca="1">calculation!I$10</f>
        <v>#REF!</v>
      </c>
      <c r="K8" s="18" t="e">
        <f ca="1">calculation!J$10</f>
        <v>#REF!</v>
      </c>
      <c r="L8" s="12"/>
      <c r="M8" s="12"/>
      <c r="N8" s="12"/>
      <c r="O8" s="12"/>
      <c r="P8" s="12"/>
      <c r="Q8" s="12"/>
      <c r="R8" s="12"/>
    </row>
    <row r="9" spans="2:18" ht="15" customHeight="1" x14ac:dyDescent="0.25">
      <c r="B9" s="66" t="s">
        <v>181</v>
      </c>
      <c r="C9" s="15" t="e">
        <f ca="1">VLOOKUP(CONCATENATE(LEFT(C$8, 7), "simd quintile", $B9), [0]!data_range, 5, FALSE)</f>
        <v>#REF!</v>
      </c>
      <c r="D9" s="15" t="e">
        <f ca="1">VLOOKUP(CONCATENATE(LEFT(D$8, 7), "simd quintile", $B9), [0]!data_range, 5, FALSE)</f>
        <v>#REF!</v>
      </c>
      <c r="E9" s="15" t="e">
        <f ca="1">VLOOKUP(CONCATENATE(LEFT(E$8, 7), "simd quintile", $B9), [0]!data_range, 5, FALSE)</f>
        <v>#REF!</v>
      </c>
      <c r="F9" s="15" t="e">
        <f ca="1">VLOOKUP(CONCATENATE(LEFT(F$8, 7), "simd quintile", $B9), [0]!data_range, 5, FALSE)</f>
        <v>#REF!</v>
      </c>
      <c r="G9" s="15" t="e">
        <f ca="1">VLOOKUP(CONCATENATE(LEFT(G$8, 7), "simd quintile", $B9), [0]!data_range, 5, FALSE)</f>
        <v>#REF!</v>
      </c>
      <c r="H9" s="15" t="e">
        <f ca="1">VLOOKUP(CONCATENATE(LEFT(H$8, 7), "simd quintile", $B9), [0]!data_range, 5, FALSE)</f>
        <v>#REF!</v>
      </c>
      <c r="I9" s="15" t="e">
        <f ca="1">VLOOKUP(CONCATENATE(LEFT(I$8, 7), "simd quintile", $B9), [0]!data_range, 5, FALSE)</f>
        <v>#REF!</v>
      </c>
      <c r="J9" s="15" t="e">
        <f ca="1">VLOOKUP(CONCATENATE(LEFT(J$8, 7), "simd quintile", $B9), [0]!data_range, 5, FALSE)</f>
        <v>#REF!</v>
      </c>
      <c r="K9" s="15" t="e">
        <f ca="1">VLOOKUP(CONCATENATE(LEFT(K$8, 7), "simd quintile", $B9), [0]!data_range, 5, FALSE)</f>
        <v>#REF!</v>
      </c>
      <c r="L9" s="14"/>
      <c r="M9" s="14"/>
      <c r="N9" s="14"/>
      <c r="O9" s="14"/>
      <c r="P9" s="14"/>
      <c r="Q9" s="1"/>
      <c r="R9" s="1"/>
    </row>
    <row r="10" spans="2:18" ht="15" customHeight="1" x14ac:dyDescent="0.25">
      <c r="B10" s="67">
        <v>2</v>
      </c>
      <c r="C10" s="15" t="e">
        <f ca="1">VLOOKUP(CONCATENATE(LEFT(C$8, 7), "simd quintile", $B10), [0]!data_range, 5, FALSE)</f>
        <v>#REF!</v>
      </c>
      <c r="D10" s="15" t="e">
        <f ca="1">VLOOKUP(CONCATENATE(LEFT(D$8, 7), "simd quintile", $B10), [0]!data_range, 5, FALSE)</f>
        <v>#REF!</v>
      </c>
      <c r="E10" s="15" t="e">
        <f ca="1">VLOOKUP(CONCATENATE(LEFT(E$8, 7), "simd quintile", $B10), [0]!data_range, 5, FALSE)</f>
        <v>#REF!</v>
      </c>
      <c r="F10" s="15" t="e">
        <f ca="1">VLOOKUP(CONCATENATE(LEFT(F$8, 7), "simd quintile", $B10), [0]!data_range, 5, FALSE)</f>
        <v>#REF!</v>
      </c>
      <c r="G10" s="15" t="e">
        <f ca="1">VLOOKUP(CONCATENATE(LEFT(G$8, 7), "simd quintile", $B10), [0]!data_range, 5, FALSE)</f>
        <v>#REF!</v>
      </c>
      <c r="H10" s="15" t="e">
        <f ca="1">VLOOKUP(CONCATENATE(LEFT(H$8, 7), "simd quintile", $B10), [0]!data_range, 5, FALSE)</f>
        <v>#REF!</v>
      </c>
      <c r="I10" s="15" t="e">
        <f ca="1">VLOOKUP(CONCATENATE(LEFT(I$8, 7), "simd quintile", $B10), [0]!data_range, 5, FALSE)</f>
        <v>#REF!</v>
      </c>
      <c r="J10" s="15" t="e">
        <f ca="1">VLOOKUP(CONCATENATE(LEFT(J$8, 7), "simd quintile", $B10), [0]!data_range, 5, FALSE)</f>
        <v>#REF!</v>
      </c>
      <c r="K10" s="15" t="e">
        <f ca="1">VLOOKUP(CONCATENATE(LEFT(K$8, 7), "simd quintile", $B10), [0]!data_range, 5, FALSE)</f>
        <v>#REF!</v>
      </c>
      <c r="L10" s="14"/>
      <c r="M10" s="14"/>
      <c r="N10" s="14"/>
      <c r="O10" s="14"/>
      <c r="P10" s="14"/>
      <c r="Q10" s="1"/>
      <c r="R10" s="1"/>
    </row>
    <row r="11" spans="2:18" ht="15" customHeight="1" x14ac:dyDescent="0.25">
      <c r="B11" s="67">
        <v>3</v>
      </c>
      <c r="C11" s="15" t="e">
        <f ca="1">VLOOKUP(CONCATENATE(LEFT(C$8, 7), "simd quintile", $B11), [0]!data_range, 5, FALSE)</f>
        <v>#REF!</v>
      </c>
      <c r="D11" s="15" t="e">
        <f ca="1">VLOOKUP(CONCATENATE(LEFT(D$8, 7), "simd quintile", $B11), [0]!data_range, 5, FALSE)</f>
        <v>#REF!</v>
      </c>
      <c r="E11" s="15" t="e">
        <f ca="1">VLOOKUP(CONCATENATE(LEFT(E$8, 7), "simd quintile", $B11), [0]!data_range, 5, FALSE)</f>
        <v>#REF!</v>
      </c>
      <c r="F11" s="15" t="e">
        <f ca="1">VLOOKUP(CONCATENATE(LEFT(F$8, 7), "simd quintile", $B11), [0]!data_range, 5, FALSE)</f>
        <v>#REF!</v>
      </c>
      <c r="G11" s="15" t="e">
        <f ca="1">VLOOKUP(CONCATENATE(LEFT(G$8, 7), "simd quintile", $B11), [0]!data_range, 5, FALSE)</f>
        <v>#REF!</v>
      </c>
      <c r="H11" s="15" t="e">
        <f ca="1">VLOOKUP(CONCATENATE(LEFT(H$8, 7), "simd quintile", $B11), [0]!data_range, 5, FALSE)</f>
        <v>#REF!</v>
      </c>
      <c r="I11" s="15" t="e">
        <f ca="1">VLOOKUP(CONCATENATE(LEFT(I$8, 7), "simd quintile", $B11), [0]!data_range, 5, FALSE)</f>
        <v>#REF!</v>
      </c>
      <c r="J11" s="15" t="e">
        <f ca="1">VLOOKUP(CONCATENATE(LEFT(J$8, 7), "simd quintile", $B11), [0]!data_range, 5, FALSE)</f>
        <v>#REF!</v>
      </c>
      <c r="K11" s="15" t="e">
        <f ca="1">VLOOKUP(CONCATENATE(LEFT(K$8, 7), "simd quintile", $B11), [0]!data_range, 5, FALSE)</f>
        <v>#REF!</v>
      </c>
      <c r="L11" s="14"/>
      <c r="M11" s="14"/>
      <c r="N11" s="14"/>
      <c r="O11" s="14"/>
      <c r="P11" s="14"/>
      <c r="Q11" s="1"/>
      <c r="R11" s="1"/>
    </row>
    <row r="12" spans="2:18" ht="15" customHeight="1" x14ac:dyDescent="0.25">
      <c r="B12" s="67">
        <v>4</v>
      </c>
      <c r="C12" s="15" t="e">
        <f ca="1">VLOOKUP(CONCATENATE(LEFT(C$8, 7), "simd quintile", $B12), [0]!data_range, 5, FALSE)</f>
        <v>#REF!</v>
      </c>
      <c r="D12" s="15" t="e">
        <f ca="1">VLOOKUP(CONCATENATE(LEFT(D$8, 7), "simd quintile", $B12), [0]!data_range, 5, FALSE)</f>
        <v>#REF!</v>
      </c>
      <c r="E12" s="15" t="e">
        <f ca="1">VLOOKUP(CONCATENATE(LEFT(E$8, 7), "simd quintile", $B12), [0]!data_range, 5, FALSE)</f>
        <v>#REF!</v>
      </c>
      <c r="F12" s="15" t="e">
        <f ca="1">VLOOKUP(CONCATENATE(LEFT(F$8, 7), "simd quintile", $B12), [0]!data_range, 5, FALSE)</f>
        <v>#REF!</v>
      </c>
      <c r="G12" s="15" t="e">
        <f ca="1">VLOOKUP(CONCATENATE(LEFT(G$8, 7), "simd quintile", $B12), [0]!data_range, 5, FALSE)</f>
        <v>#REF!</v>
      </c>
      <c r="H12" s="15" t="e">
        <f ca="1">VLOOKUP(CONCATENATE(LEFT(H$8, 7), "simd quintile", $B12), [0]!data_range, 5, FALSE)</f>
        <v>#REF!</v>
      </c>
      <c r="I12" s="15" t="e">
        <f ca="1">VLOOKUP(CONCATENATE(LEFT(I$8, 7), "simd quintile", $B12), [0]!data_range, 5, FALSE)</f>
        <v>#REF!</v>
      </c>
      <c r="J12" s="15" t="e">
        <f ca="1">VLOOKUP(CONCATENATE(LEFT(J$8, 7), "simd quintile", $B12), [0]!data_range, 5, FALSE)</f>
        <v>#REF!</v>
      </c>
      <c r="K12" s="15" t="e">
        <f ca="1">VLOOKUP(CONCATENATE(LEFT(K$8, 7), "simd quintile", $B12), [0]!data_range, 5, FALSE)</f>
        <v>#REF!</v>
      </c>
      <c r="L12" s="14"/>
      <c r="M12" s="14"/>
      <c r="N12" s="14"/>
      <c r="O12" s="14"/>
      <c r="P12" s="14"/>
      <c r="Q12" s="1"/>
      <c r="R12" s="1"/>
    </row>
    <row r="13" spans="2:18" ht="15" customHeight="1" x14ac:dyDescent="0.25">
      <c r="B13" s="68" t="s">
        <v>182</v>
      </c>
      <c r="C13" s="16" t="e">
        <f ca="1">VLOOKUP(CONCATENATE(LEFT(C$8, 7), "simd quintile", $B13), [0]!data_range, 5, FALSE)</f>
        <v>#REF!</v>
      </c>
      <c r="D13" s="16" t="e">
        <f ca="1">VLOOKUP(CONCATENATE(LEFT(D$8, 7), "simd quintile", $B13), [0]!data_range, 5, FALSE)</f>
        <v>#REF!</v>
      </c>
      <c r="E13" s="16" t="e">
        <f ca="1">VLOOKUP(CONCATENATE(LEFT(E$8, 7), "simd quintile", $B13), [0]!data_range, 5, FALSE)</f>
        <v>#REF!</v>
      </c>
      <c r="F13" s="16" t="e">
        <f ca="1">VLOOKUP(CONCATENATE(LEFT(F$8, 7), "simd quintile", $B13), [0]!data_range, 5, FALSE)</f>
        <v>#REF!</v>
      </c>
      <c r="G13" s="16" t="e">
        <f ca="1">VLOOKUP(CONCATENATE(LEFT(G$8, 7), "simd quintile", $B13), [0]!data_range, 5, FALSE)</f>
        <v>#REF!</v>
      </c>
      <c r="H13" s="16" t="e">
        <f ca="1">VLOOKUP(CONCATENATE(LEFT(H$8, 7), "simd quintile", $B13), [0]!data_range, 5, FALSE)</f>
        <v>#REF!</v>
      </c>
      <c r="I13" s="16" t="e">
        <f ca="1">VLOOKUP(CONCATENATE(LEFT(I$8, 7), "simd quintile", $B13), [0]!data_range, 5, FALSE)</f>
        <v>#REF!</v>
      </c>
      <c r="J13" s="16" t="e">
        <f ca="1">VLOOKUP(CONCATENATE(LEFT(J$8, 7), "simd quintile", $B13), [0]!data_range, 5, FALSE)</f>
        <v>#REF!</v>
      </c>
      <c r="K13" s="16" t="e">
        <f ca="1">VLOOKUP(CONCATENATE(LEFT(K$8, 7), "simd quintile", $B13), [0]!data_range, 5, FALSE)</f>
        <v>#REF!</v>
      </c>
      <c r="L13" s="14"/>
      <c r="M13" s="14"/>
      <c r="N13" s="14"/>
      <c r="O13" s="14"/>
      <c r="P13" s="14"/>
      <c r="Q13" s="1"/>
      <c r="R13" s="1"/>
    </row>
    <row r="14" spans="2:18" ht="15" customHeight="1" x14ac:dyDescent="0.25">
      <c r="B14" s="9"/>
      <c r="C14" s="15"/>
      <c r="D14" s="52"/>
      <c r="E14" s="52"/>
      <c r="F14" s="52"/>
      <c r="G14" s="52"/>
      <c r="H14" s="52"/>
      <c r="I14" s="52"/>
      <c r="J14" s="52"/>
      <c r="K14" s="52"/>
      <c r="L14" s="1"/>
      <c r="M14" s="1"/>
      <c r="N14" s="1"/>
      <c r="O14" s="1"/>
      <c r="P14" s="1"/>
      <c r="Q14" s="17"/>
      <c r="R14" s="17"/>
    </row>
    <row r="15" spans="2:18" ht="15" customHeight="1" x14ac:dyDescent="0.25">
      <c r="B15" s="9"/>
      <c r="C15" s="15"/>
      <c r="D15" s="52"/>
      <c r="E15" s="52"/>
      <c r="F15" s="52"/>
      <c r="G15" s="52"/>
      <c r="H15" s="52"/>
      <c r="I15" s="52"/>
      <c r="J15" s="52"/>
      <c r="K15" s="52"/>
      <c r="L15" s="1"/>
      <c r="M15" s="1"/>
      <c r="N15" s="1"/>
      <c r="O15" s="1"/>
      <c r="P15" s="1"/>
      <c r="Q15" s="17"/>
      <c r="R15" s="17"/>
    </row>
    <row r="16" spans="2:18" ht="15" customHeight="1" x14ac:dyDescent="0.2">
      <c r="B16" s="55" t="s">
        <v>156</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2"/>
      <c r="M16" s="12"/>
      <c r="N16" s="12"/>
      <c r="O16" s="12"/>
      <c r="P16" s="12"/>
      <c r="Q16" s="12"/>
      <c r="R16" s="12"/>
    </row>
    <row r="17" spans="2:18" ht="15" customHeight="1" x14ac:dyDescent="0.25">
      <c r="B17" s="9" t="s">
        <v>118</v>
      </c>
      <c r="C17" s="15" t="e">
        <f ca="1">VLOOKUP(CONCATENATE(LEFT(C$16, 7), "simd 15", $B17), [0]!data_range, 5, FALSE)</f>
        <v>#REF!</v>
      </c>
      <c r="D17" s="15" t="e">
        <f ca="1">VLOOKUP(CONCATENATE(LEFT(D$16, 7), "simd 15", $B17), [0]!data_range, 5, FALSE)</f>
        <v>#REF!</v>
      </c>
      <c r="E17" s="15" t="e">
        <f ca="1">VLOOKUP(CONCATENATE(LEFT(E$16, 7), "simd 15", $B17), [0]!data_range, 5, FALSE)</f>
        <v>#REF!</v>
      </c>
      <c r="F17" s="15" t="e">
        <f ca="1">VLOOKUP(CONCATENATE(LEFT(F$16, 7), "simd 15", $B17), [0]!data_range, 5, FALSE)</f>
        <v>#REF!</v>
      </c>
      <c r="G17" s="15" t="e">
        <f ca="1">VLOOKUP(CONCATENATE(LEFT(G$16, 7), "simd 15", $B17), [0]!data_range, 5, FALSE)</f>
        <v>#REF!</v>
      </c>
      <c r="H17" s="15" t="e">
        <f ca="1">VLOOKUP(CONCATENATE(LEFT(H$16, 7), "simd 15", $B17), [0]!data_range, 5, FALSE)</f>
        <v>#REF!</v>
      </c>
      <c r="I17" s="15" t="e">
        <f ca="1">VLOOKUP(CONCATENATE(LEFT(I$16, 7), "simd 15", $B17), [0]!data_range, 5, FALSE)</f>
        <v>#REF!</v>
      </c>
      <c r="J17" s="15" t="e">
        <f ca="1">VLOOKUP(CONCATENATE(LEFT(J$16, 7), "simd 15", $B17), [0]!data_range, 5, FALSE)</f>
        <v>#REF!</v>
      </c>
      <c r="K17" s="15" t="e">
        <f ca="1">VLOOKUP(CONCATENATE(LEFT(K$16, 7), "simd 15", $B17), [0]!data_range, 5, FALSE)</f>
        <v>#REF!</v>
      </c>
      <c r="L17" s="14"/>
      <c r="M17" s="14"/>
      <c r="N17" s="14"/>
      <c r="O17" s="14"/>
      <c r="P17" s="14"/>
      <c r="Q17" s="1"/>
      <c r="R17" s="1"/>
    </row>
    <row r="18" spans="2:18" ht="15" customHeight="1" x14ac:dyDescent="0.25">
      <c r="B18" s="62" t="s">
        <v>119</v>
      </c>
      <c r="C18" s="16" t="e">
        <f ca="1">VLOOKUP(CONCATENATE(LEFT(C$16, 7), "simd 15", $B18), [0]!data_range, 5, FALSE)</f>
        <v>#REF!</v>
      </c>
      <c r="D18" s="16" t="e">
        <f ca="1">VLOOKUP(CONCATENATE(LEFT(D$16, 7), "simd 15", $B18), [0]!data_range, 5, FALSE)</f>
        <v>#REF!</v>
      </c>
      <c r="E18" s="16" t="e">
        <f ca="1">VLOOKUP(CONCATENATE(LEFT(E$16, 7), "simd 15", $B18), [0]!data_range, 5, FALSE)</f>
        <v>#REF!</v>
      </c>
      <c r="F18" s="16" t="e">
        <f ca="1">VLOOKUP(CONCATENATE(LEFT(F$16, 7), "simd 15", $B18), [0]!data_range, 5, FALSE)</f>
        <v>#REF!</v>
      </c>
      <c r="G18" s="16" t="e">
        <f ca="1">VLOOKUP(CONCATENATE(LEFT(G$16, 7), "simd 15", $B18), [0]!data_range, 5, FALSE)</f>
        <v>#REF!</v>
      </c>
      <c r="H18" s="16" t="e">
        <f ca="1">VLOOKUP(CONCATENATE(LEFT(H$16, 7), "simd 15", $B18), [0]!data_range, 5, FALSE)</f>
        <v>#REF!</v>
      </c>
      <c r="I18" s="16" t="e">
        <f ca="1">VLOOKUP(CONCATENATE(LEFT(I$16, 7), "simd 15", $B18), [0]!data_range, 5, FALSE)</f>
        <v>#REF!</v>
      </c>
      <c r="J18" s="16" t="e">
        <f ca="1">VLOOKUP(CONCATENATE(LEFT(J$16, 7), "simd 15", $B18), [0]!data_range, 5, FALSE)</f>
        <v>#REF!</v>
      </c>
      <c r="K18" s="16" t="e">
        <f ca="1">VLOOKUP(CONCATENATE(LEFT(K$16, 7), "simd 15", $B18), [0]!data_range, 5, FALSE)</f>
        <v>#REF!</v>
      </c>
      <c r="L18" s="14"/>
      <c r="M18" s="14"/>
      <c r="N18" s="14"/>
      <c r="O18" s="14"/>
      <c r="P18" s="14"/>
      <c r="Q18" s="1"/>
      <c r="R18" s="1"/>
    </row>
    <row r="19" spans="2:18" ht="15" customHeight="1" x14ac:dyDescent="0.2">
      <c r="B19" s="9"/>
      <c r="C19" s="52"/>
      <c r="D19" s="52"/>
      <c r="E19" s="52"/>
      <c r="F19" s="52"/>
      <c r="G19" s="52"/>
      <c r="H19" s="9"/>
      <c r="I19" s="23"/>
      <c r="J19" s="23"/>
      <c r="K19" s="23"/>
      <c r="L19" s="8"/>
      <c r="M19" s="9"/>
      <c r="N19" s="9"/>
      <c r="O19" s="9"/>
      <c r="P19" s="9"/>
      <c r="Q19" s="9"/>
      <c r="R19" s="9"/>
    </row>
    <row r="20" spans="2:18" ht="15" customHeight="1" x14ac:dyDescent="0.2">
      <c r="I20" s="23"/>
      <c r="J20" s="23"/>
      <c r="K20" s="23"/>
      <c r="L20" s="6"/>
    </row>
    <row r="21" spans="2:18" ht="15" customHeight="1" x14ac:dyDescent="0.2">
      <c r="B21" s="19" t="s">
        <v>15</v>
      </c>
      <c r="I21" s="23"/>
      <c r="J21" s="23"/>
      <c r="K21" s="23"/>
      <c r="L21" s="6"/>
    </row>
    <row r="23" spans="2:18" ht="15" customHeight="1" x14ac:dyDescent="0.2">
      <c r="B23" s="21" t="s">
        <v>150</v>
      </c>
    </row>
    <row r="24" spans="2:18" ht="15" customHeight="1" x14ac:dyDescent="0.2">
      <c r="B24" s="21" t="s">
        <v>143</v>
      </c>
    </row>
    <row r="25" spans="2:18" s="107" customFormat="1" ht="15" customHeight="1" x14ac:dyDescent="0.2">
      <c r="B25" s="106" t="e">
        <f ca="1">"1. Data for " &amp; [0]!fy_max &amp;" are incomplete and will be revised in October 20" &amp; RIGHT([0]!fy_max, 2) &amp; " publication"</f>
        <v>#REF!</v>
      </c>
    </row>
    <row r="26" spans="2:18" s="107" customFormat="1" ht="24" customHeight="1" x14ac:dyDescent="0.2">
      <c r="B26" s="108" t="s">
        <v>158</v>
      </c>
      <c r="C26" s="108"/>
      <c r="D26" s="108"/>
      <c r="E26" s="108"/>
      <c r="F26" s="108"/>
      <c r="G26" s="108"/>
      <c r="H26" s="108"/>
      <c r="I26" s="108"/>
      <c r="J26" s="108"/>
      <c r="K26" s="108"/>
      <c r="L26" s="106"/>
      <c r="M26" s="106"/>
    </row>
    <row r="27" spans="2:18" s="107" customFormat="1" ht="15" customHeight="1" x14ac:dyDescent="0.2">
      <c r="B27" s="109" t="s">
        <v>132</v>
      </c>
      <c r="D27" s="110" t="s">
        <v>131</v>
      </c>
    </row>
    <row r="28" spans="2:18" s="107" customFormat="1" ht="15" customHeight="1" x14ac:dyDescent="0.2">
      <c r="B28" s="106" t="s">
        <v>159</v>
      </c>
      <c r="C28" s="111"/>
      <c r="D28" s="112"/>
      <c r="E28" s="112"/>
      <c r="F28" s="112"/>
    </row>
    <row r="29" spans="2:18" ht="15" customHeight="1" x14ac:dyDescent="0.2">
      <c r="B29" s="23"/>
      <c r="C29" s="20"/>
      <c r="D29" s="6"/>
      <c r="E29" s="6"/>
      <c r="F29" s="6"/>
    </row>
    <row r="30" spans="2:18" ht="15" customHeight="1" x14ac:dyDescent="0.2">
      <c r="B30" s="23"/>
      <c r="C30" s="20"/>
      <c r="D30" s="6"/>
      <c r="E30" s="6"/>
      <c r="F30" s="6"/>
    </row>
    <row r="31" spans="2:18" ht="15" customHeight="1" x14ac:dyDescent="0.2">
      <c r="B31" s="23"/>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sheetData>
  <mergeCells count="2">
    <mergeCell ref="B1:I1"/>
    <mergeCell ref="B26:K26"/>
  </mergeCells>
  <phoneticPr fontId="5" type="noConversion"/>
  <hyperlinks>
    <hyperlink ref="B21" location="'External Causes of Deaths'!A1" display="External causes of death excluded from analysis"/>
    <hyperlink ref="D27"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2:V39"/>
  <sheetViews>
    <sheetView showGridLines="0" workbookViewId="0"/>
  </sheetViews>
  <sheetFormatPr defaultRowHeight="12.75" x14ac:dyDescent="0.2"/>
  <cols>
    <col min="1" max="1" width="1.7109375" style="2" customWidth="1"/>
    <col min="2" max="12" width="9.140625" style="2"/>
    <col min="13" max="13" width="15.5703125" style="2" bestFit="1" customWidth="1"/>
    <col min="14" max="16384" width="9.140625" style="2"/>
  </cols>
  <sheetData>
    <row r="2" spans="1:22" ht="15.75" x14ac:dyDescent="0.25">
      <c r="B2" s="75" t="s">
        <v>215</v>
      </c>
    </row>
    <row r="3" spans="1:22" ht="18.75" x14ac:dyDescent="0.25">
      <c r="B3" s="75" t="s">
        <v>216</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calculation!$A$61:$B$65, 2, 0)</f>
        <v>1 - Most Deprived</v>
      </c>
      <c r="N8" s="82" t="e">
        <f ca="1">VLOOKUP(CONCATENATE(LEFT(N$7, 7), "simd quintile", $M$8), [0]!data_range, 5, FALSE)</f>
        <v>#REF!</v>
      </c>
      <c r="O8" s="82" t="e">
        <f ca="1">VLOOKUP(CONCATENATE(LEFT(O$7, 7), "simd quintile", $M$8), [0]!data_range, 5, FALSE)</f>
        <v>#REF!</v>
      </c>
      <c r="P8" s="82" t="e">
        <f ca="1">VLOOKUP(CONCATENATE(LEFT(P$7, 7), "simd quintile", $M$8), [0]!data_range, 5, FALSE)</f>
        <v>#REF!</v>
      </c>
      <c r="Q8" s="82" t="e">
        <f ca="1">VLOOKUP(CONCATENATE(LEFT(Q$7, 7), "simd quintile", $M$8), [0]!data_range, 5, FALSE)</f>
        <v>#REF!</v>
      </c>
      <c r="R8" s="82" t="e">
        <f ca="1">VLOOKUP(CONCATENATE(LEFT(R$7, 7), "simd quintile", $M$8), [0]!data_range, 5, FALSE)</f>
        <v>#REF!</v>
      </c>
      <c r="S8" s="82" t="e">
        <f ca="1">VLOOKUP(CONCATENATE(LEFT(S$7, 7), "simd quintile", $M$8), [0]!data_range, 5, FALSE)</f>
        <v>#REF!</v>
      </c>
      <c r="T8" s="82" t="e">
        <f ca="1">VLOOKUP(CONCATENATE(LEFT(T$7, 7), "simd quintile", $M$8), [0]!data_range, 5, FALSE)</f>
        <v>#REF!</v>
      </c>
      <c r="U8" s="82" t="e">
        <f ca="1">VLOOKUP(CONCATENATE(LEFT(U$7, 7), "simd quintile", $M$8), [0]!data_range, 5, FALSE)</f>
        <v>#REF!</v>
      </c>
      <c r="V8" s="82" t="e">
        <f ca="1">VLOOKUP(CONCATENATE(LEFT(V$7, 7), "simd quintile", $M$8), [0]!data_range, 5, FALSE)</f>
        <v>#REF!</v>
      </c>
    </row>
    <row r="31" spans="2:2" x14ac:dyDescent="0.2">
      <c r="B31" s="80" t="s">
        <v>219</v>
      </c>
    </row>
    <row r="33" spans="2:10" x14ac:dyDescent="0.2">
      <c r="B33" s="19" t="s">
        <v>15</v>
      </c>
    </row>
    <row r="34" spans="2:10" x14ac:dyDescent="0.2">
      <c r="B34" s="78"/>
    </row>
    <row r="35" spans="2:10" x14ac:dyDescent="0.2">
      <c r="B35" s="76" t="s">
        <v>150</v>
      </c>
      <c r="F35" s="83"/>
      <c r="G35" s="83"/>
      <c r="H35" s="83"/>
      <c r="I35" s="83"/>
      <c r="J35" s="83"/>
    </row>
    <row r="36" spans="2:10" x14ac:dyDescent="0.2">
      <c r="B36" s="77" t="s">
        <v>143</v>
      </c>
      <c r="F36"/>
      <c r="G36"/>
      <c r="H36"/>
      <c r="I36"/>
      <c r="J36"/>
    </row>
    <row r="37" spans="2:10" x14ac:dyDescent="0.2">
      <c r="B37" s="113" t="e">
        <f ca="1">"1. Data for " &amp; [0]!fy_max &amp;" are incomplete and will be revised in October 20" &amp; RIGHT([0]!fy_max, 2) &amp; " publication"</f>
        <v>#REF!</v>
      </c>
      <c r="C37" s="114"/>
      <c r="D37" s="114"/>
      <c r="E37" s="114"/>
      <c r="F37" s="114"/>
      <c r="G37" s="114"/>
      <c r="H37" s="114"/>
      <c r="I37" s="114"/>
      <c r="J37" s="114"/>
    </row>
    <row r="38" spans="2:10" ht="36" customHeight="1" x14ac:dyDescent="0.2">
      <c r="B38" s="115" t="s">
        <v>158</v>
      </c>
      <c r="C38" s="115"/>
      <c r="D38" s="115"/>
      <c r="E38" s="115"/>
      <c r="F38" s="115"/>
      <c r="G38" s="115"/>
      <c r="H38" s="115"/>
      <c r="I38" s="115"/>
      <c r="J38" s="115"/>
    </row>
    <row r="39" spans="2:10" x14ac:dyDescent="0.2">
      <c r="B39" s="116" t="s">
        <v>132</v>
      </c>
      <c r="C39" s="117"/>
      <c r="D39" s="117"/>
      <c r="E39" s="118" t="s">
        <v>131</v>
      </c>
      <c r="F39" s="114"/>
      <c r="G39" s="114"/>
      <c r="H39" s="114"/>
      <c r="I39" s="114"/>
      <c r="J39" s="114"/>
    </row>
  </sheetData>
  <mergeCells count="1">
    <mergeCell ref="B38:J38"/>
  </mergeCells>
  <hyperlinks>
    <hyperlink ref="B33" location="'External Causes of Deaths'!A1" display="External causes of death excluded from analysis"/>
    <hyperlink ref="E39"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5"/>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84" t="str">
        <f>Notes!B1:O1</f>
        <v/>
      </c>
      <c r="C1" s="84"/>
      <c r="D1" s="84"/>
      <c r="E1" s="84"/>
      <c r="F1" s="84"/>
      <c r="G1" s="84"/>
      <c r="H1" s="84"/>
      <c r="I1" s="84"/>
      <c r="J1" s="84"/>
    </row>
    <row r="2" spans="2:29" ht="15" customHeight="1" x14ac:dyDescent="0.25">
      <c r="B2" s="4" t="s">
        <v>170</v>
      </c>
      <c r="L2" s="5"/>
      <c r="M2" s="6"/>
      <c r="N2" s="6"/>
    </row>
    <row r="3" spans="2:29" ht="15" customHeight="1" x14ac:dyDescent="0.25">
      <c r="B3" s="4" t="s">
        <v>142</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c r="D6" s="38"/>
      <c r="E6" s="38"/>
      <c r="F6" s="38"/>
      <c r="G6" s="38"/>
      <c r="H6" s="38"/>
      <c r="I6" s="38"/>
      <c r="J6" s="38"/>
      <c r="K6" s="38"/>
      <c r="L6" s="7"/>
      <c r="M6" s="8"/>
      <c r="N6" s="8"/>
      <c r="O6" s="9"/>
      <c r="P6" s="9"/>
      <c r="Q6" s="9"/>
      <c r="R6" s="9"/>
      <c r="S6" s="9"/>
      <c r="T6" s="9"/>
      <c r="U6" s="9"/>
      <c r="V6" s="9"/>
      <c r="W6" s="9"/>
      <c r="X6" s="9"/>
      <c r="Y6" s="9"/>
      <c r="Z6" s="9"/>
      <c r="AA6" s="9"/>
      <c r="AB6" s="9"/>
      <c r="AC6" s="9"/>
    </row>
    <row r="7" spans="2:29" ht="15" customHeight="1" x14ac:dyDescent="0.2">
      <c r="B7" s="36" t="s">
        <v>120</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11"/>
      <c r="M7" s="12"/>
      <c r="N7" s="12"/>
      <c r="O7" s="12"/>
      <c r="P7" s="12"/>
      <c r="Q7" s="12"/>
      <c r="R7" s="12"/>
      <c r="S7" s="12"/>
      <c r="T7" s="9"/>
      <c r="U7" s="9"/>
      <c r="V7" s="9"/>
      <c r="W7" s="9"/>
      <c r="X7" s="9"/>
      <c r="Y7" s="9"/>
      <c r="Z7" s="9"/>
      <c r="AA7" s="9"/>
      <c r="AB7" s="9"/>
      <c r="AC7" s="9"/>
    </row>
    <row r="8" spans="2:29" ht="15" customHeight="1" x14ac:dyDescent="0.25">
      <c r="B8" s="25" t="s">
        <v>183</v>
      </c>
      <c r="C8" s="15" t="e">
        <f ca="1">VLOOKUP(CONCATENATE(LEFT(C$7, 7), "urban rural 6", $B8), [0]!data_range, 5, FALSE)</f>
        <v>#REF!</v>
      </c>
      <c r="D8" s="15" t="e">
        <f ca="1">VLOOKUP(CONCATENATE(LEFT(D$7, 7), "urban rural 6", $B8), [0]!data_range, 5, FALSE)</f>
        <v>#REF!</v>
      </c>
      <c r="E8" s="15" t="e">
        <f ca="1">VLOOKUP(CONCATENATE(LEFT(E$7, 7), "urban rural 6", $B8), [0]!data_range, 5, FALSE)</f>
        <v>#REF!</v>
      </c>
      <c r="F8" s="15" t="e">
        <f ca="1">VLOOKUP(CONCATENATE(LEFT(F$7, 7), "urban rural 6", $B8), [0]!data_range, 5, FALSE)</f>
        <v>#REF!</v>
      </c>
      <c r="G8" s="15" t="e">
        <f ca="1">VLOOKUP(CONCATENATE(LEFT(G$7, 7), "urban rural 6", $B8), [0]!data_range, 5, FALSE)</f>
        <v>#REF!</v>
      </c>
      <c r="H8" s="15" t="e">
        <f ca="1">VLOOKUP(CONCATENATE(LEFT(H$7, 7), "urban rural 6", $B8), [0]!data_range, 5, FALSE)</f>
        <v>#REF!</v>
      </c>
      <c r="I8" s="15" t="e">
        <f ca="1">VLOOKUP(CONCATENATE(LEFT(I$7, 7), "urban rural 6", $B8), [0]!data_range, 5, FALSE)</f>
        <v>#REF!</v>
      </c>
      <c r="J8" s="15" t="e">
        <f ca="1">VLOOKUP(CONCATENATE(LEFT(J$7, 7), "urban rural 6", $B8), [0]!data_range, 5, FALSE)</f>
        <v>#REF!</v>
      </c>
      <c r="K8" s="15"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184</v>
      </c>
      <c r="C9" s="15" t="e">
        <f ca="1">VLOOKUP(CONCATENATE(LEFT(C$7, 7), "urban rural 6", $B9), [0]!data_range, 5, FALSE)</f>
        <v>#REF!</v>
      </c>
      <c r="D9" s="15" t="e">
        <f ca="1">VLOOKUP(CONCATENATE(LEFT(D$7, 7), "urban rural 6", $B9), [0]!data_range, 5, FALSE)</f>
        <v>#REF!</v>
      </c>
      <c r="E9" s="15" t="e">
        <f ca="1">VLOOKUP(CONCATENATE(LEFT(E$7, 7), "urban rural 6", $B9), [0]!data_range, 5, FALSE)</f>
        <v>#REF!</v>
      </c>
      <c r="F9" s="15" t="e">
        <f ca="1">VLOOKUP(CONCATENATE(LEFT(F$7, 7), "urban rural 6", $B9), [0]!data_range, 5, FALSE)</f>
        <v>#REF!</v>
      </c>
      <c r="G9" s="15" t="e">
        <f ca="1">VLOOKUP(CONCATENATE(LEFT(G$7, 7), "urban rural 6", $B9), [0]!data_range, 5, FALSE)</f>
        <v>#REF!</v>
      </c>
      <c r="H9" s="15" t="e">
        <f ca="1">VLOOKUP(CONCATENATE(LEFT(H$7, 7), "urban rural 6", $B9), [0]!data_range, 5, FALSE)</f>
        <v>#REF!</v>
      </c>
      <c r="I9" s="15" t="e">
        <f ca="1">VLOOKUP(CONCATENATE(LEFT(I$7, 7), "urban rural 6", $B9), [0]!data_range, 5, FALSE)</f>
        <v>#REF!</v>
      </c>
      <c r="J9" s="15" t="e">
        <f ca="1">VLOOKUP(CONCATENATE(LEFT(J$7, 7), "urban rural 6", $B9), [0]!data_range, 5, FALSE)</f>
        <v>#REF!</v>
      </c>
      <c r="K9" s="15"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185</v>
      </c>
      <c r="C10" s="15" t="e">
        <f ca="1">VLOOKUP(CONCATENATE(LEFT(C$7, 7), "urban rural 6", $B10), [0]!data_range, 5, FALSE)</f>
        <v>#REF!</v>
      </c>
      <c r="D10" s="15" t="e">
        <f ca="1">VLOOKUP(CONCATENATE(LEFT(D$7, 7), "urban rural 6", $B10), [0]!data_range, 5, FALSE)</f>
        <v>#REF!</v>
      </c>
      <c r="E10" s="15" t="e">
        <f ca="1">VLOOKUP(CONCATENATE(LEFT(E$7, 7), "urban rural 6", $B10), [0]!data_range, 5, FALSE)</f>
        <v>#REF!</v>
      </c>
      <c r="F10" s="15" t="e">
        <f ca="1">VLOOKUP(CONCATENATE(LEFT(F$7, 7), "urban rural 6", $B10), [0]!data_range, 5, FALSE)</f>
        <v>#REF!</v>
      </c>
      <c r="G10" s="15" t="e">
        <f ca="1">VLOOKUP(CONCATENATE(LEFT(G$7, 7), "urban rural 6", $B10), [0]!data_range, 5, FALSE)</f>
        <v>#REF!</v>
      </c>
      <c r="H10" s="15" t="e">
        <f ca="1">VLOOKUP(CONCATENATE(LEFT(H$7, 7), "urban rural 6", $B10), [0]!data_range, 5, FALSE)</f>
        <v>#REF!</v>
      </c>
      <c r="I10" s="15" t="e">
        <f ca="1">VLOOKUP(CONCATENATE(LEFT(I$7, 7), "urban rural 6", $B10), [0]!data_range, 5, FALSE)</f>
        <v>#REF!</v>
      </c>
      <c r="J10" s="15" t="e">
        <f ca="1">VLOOKUP(CONCATENATE(LEFT(J$7, 7), "urban rural 6", $B10), [0]!data_range, 5, FALSE)</f>
        <v>#REF!</v>
      </c>
      <c r="K10" s="15"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186</v>
      </c>
      <c r="C11" s="15" t="e">
        <f ca="1">VLOOKUP(CONCATENATE(LEFT(C$7, 7), "urban rural 6", $B11), [0]!data_range, 5, FALSE)</f>
        <v>#REF!</v>
      </c>
      <c r="D11" s="15" t="e">
        <f ca="1">VLOOKUP(CONCATENATE(LEFT(D$7, 7), "urban rural 6", $B11), [0]!data_range, 5, FALSE)</f>
        <v>#REF!</v>
      </c>
      <c r="E11" s="15" t="e">
        <f ca="1">VLOOKUP(CONCATENATE(LEFT(E$7, 7), "urban rural 6", $B11), [0]!data_range, 5, FALSE)</f>
        <v>#REF!</v>
      </c>
      <c r="F11" s="15" t="e">
        <f ca="1">VLOOKUP(CONCATENATE(LEFT(F$7, 7), "urban rural 6", $B11), [0]!data_range, 5, FALSE)</f>
        <v>#REF!</v>
      </c>
      <c r="G11" s="15" t="e">
        <f ca="1">VLOOKUP(CONCATENATE(LEFT(G$7, 7), "urban rural 6", $B11), [0]!data_range, 5, FALSE)</f>
        <v>#REF!</v>
      </c>
      <c r="H11" s="15" t="e">
        <f ca="1">VLOOKUP(CONCATENATE(LEFT(H$7, 7), "urban rural 6", $B11), [0]!data_range, 5, FALSE)</f>
        <v>#REF!</v>
      </c>
      <c r="I11" s="15" t="e">
        <f ca="1">VLOOKUP(CONCATENATE(LEFT(I$7, 7), "urban rural 6", $B11), [0]!data_range, 5, FALSE)</f>
        <v>#REF!</v>
      </c>
      <c r="J11" s="15" t="e">
        <f ca="1">VLOOKUP(CONCATENATE(LEFT(J$7, 7), "urban rural 6", $B11), [0]!data_range, 5, FALSE)</f>
        <v>#REF!</v>
      </c>
      <c r="K11" s="15"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187</v>
      </c>
      <c r="C12" s="15" t="e">
        <f ca="1">VLOOKUP(CONCATENATE(LEFT(C$7, 7), "urban rural 6", $B12), [0]!data_range, 5, FALSE)</f>
        <v>#REF!</v>
      </c>
      <c r="D12" s="15" t="e">
        <f ca="1">VLOOKUP(CONCATENATE(LEFT(D$7, 7), "urban rural 6", $B12), [0]!data_range, 5, FALSE)</f>
        <v>#REF!</v>
      </c>
      <c r="E12" s="15" t="e">
        <f ca="1">VLOOKUP(CONCATENATE(LEFT(E$7, 7), "urban rural 6", $B12), [0]!data_range, 5, FALSE)</f>
        <v>#REF!</v>
      </c>
      <c r="F12" s="15" t="e">
        <f ca="1">VLOOKUP(CONCATENATE(LEFT(F$7, 7), "urban rural 6", $B12), [0]!data_range, 5, FALSE)</f>
        <v>#REF!</v>
      </c>
      <c r="G12" s="15" t="e">
        <f ca="1">VLOOKUP(CONCATENATE(LEFT(G$7, 7), "urban rural 6", $B12), [0]!data_range, 5, FALSE)</f>
        <v>#REF!</v>
      </c>
      <c r="H12" s="15" t="e">
        <f ca="1">VLOOKUP(CONCATENATE(LEFT(H$7, 7), "urban rural 6", $B12), [0]!data_range, 5, FALSE)</f>
        <v>#REF!</v>
      </c>
      <c r="I12" s="15" t="e">
        <f ca="1">VLOOKUP(CONCATENATE(LEFT(I$7, 7), "urban rural 6", $B12), [0]!data_range, 5, FALSE)</f>
        <v>#REF!</v>
      </c>
      <c r="J12" s="15" t="e">
        <f ca="1">VLOOKUP(CONCATENATE(LEFT(J$7, 7), "urban rural 6", $B12), [0]!data_range, 5, FALSE)</f>
        <v>#REF!</v>
      </c>
      <c r="K12" s="15"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188</v>
      </c>
      <c r="C13" s="16" t="e">
        <f ca="1">VLOOKUP(CONCATENATE(LEFT(C$7, 7), "urban rural 6", $B13), [0]!data_range, 5, FALSE)</f>
        <v>#REF!</v>
      </c>
      <c r="D13" s="16" t="e">
        <f ca="1">VLOOKUP(CONCATENATE(LEFT(D$7, 7), "urban rural 6", $B13), [0]!data_range, 5, FALSE)</f>
        <v>#REF!</v>
      </c>
      <c r="E13" s="16" t="e">
        <f ca="1">VLOOKUP(CONCATENATE(LEFT(E$7, 7), "urban rural 6", $B13), [0]!data_range, 5, FALSE)</f>
        <v>#REF!</v>
      </c>
      <c r="F13" s="16" t="e">
        <f ca="1">VLOOKUP(CONCATENATE(LEFT(F$7, 7), "urban rural 6", $B13), [0]!data_range, 5, FALSE)</f>
        <v>#REF!</v>
      </c>
      <c r="G13" s="16" t="e">
        <f ca="1">VLOOKUP(CONCATENATE(LEFT(G$7, 7), "urban rural 6", $B13), [0]!data_range, 5, FALSE)</f>
        <v>#REF!</v>
      </c>
      <c r="H13" s="16" t="e">
        <f ca="1">VLOOKUP(CONCATENATE(LEFT(H$7, 7), "urban rural 6", $B13), [0]!data_range, 5, FALSE)</f>
        <v>#REF!</v>
      </c>
      <c r="I13" s="16" t="e">
        <f ca="1">VLOOKUP(CONCATENATE(LEFT(I$7, 7), "urban rural 6", $B13), [0]!data_range, 5, FALSE)</f>
        <v>#REF!</v>
      </c>
      <c r="J13" s="16" t="e">
        <f ca="1">VLOOKUP(CONCATENATE(LEFT(J$7, 7), "urban rural 6", $B13), [0]!data_range, 5, FALSE)</f>
        <v>#REF!</v>
      </c>
      <c r="K13" s="16"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L14" s="17"/>
      <c r="M14" s="17"/>
      <c r="N14" s="17"/>
      <c r="O14" s="17"/>
      <c r="P14" s="17"/>
      <c r="Q14" s="17"/>
      <c r="R14" s="17"/>
      <c r="S14" s="17"/>
      <c r="T14" s="9"/>
      <c r="U14" s="9"/>
      <c r="V14" s="9"/>
      <c r="W14" s="9"/>
      <c r="X14" s="9"/>
      <c r="Y14" s="9"/>
      <c r="Z14" s="9"/>
      <c r="AA14" s="9"/>
      <c r="AB14" s="9"/>
      <c r="AC14" s="9"/>
    </row>
    <row r="15" spans="2:29" ht="15" customHeight="1" x14ac:dyDescent="0.2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1"/>
      <c r="M16" s="12"/>
      <c r="N16" s="12"/>
      <c r="O16" s="12"/>
      <c r="P16" s="12"/>
      <c r="Q16" s="12"/>
      <c r="R16" s="12"/>
      <c r="S16" s="12"/>
      <c r="T16" s="9"/>
      <c r="U16" s="9"/>
      <c r="V16" s="9"/>
      <c r="W16" s="9"/>
      <c r="X16" s="9"/>
      <c r="Y16" s="9"/>
      <c r="Z16" s="9"/>
      <c r="AA16" s="9"/>
      <c r="AB16" s="9"/>
      <c r="AC16" s="9"/>
    </row>
    <row r="17" spans="2:29" ht="15" customHeight="1" x14ac:dyDescent="0.25">
      <c r="B17" s="26" t="s">
        <v>189</v>
      </c>
      <c r="C17" s="15" t="e">
        <f ca="1">VLOOKUP(CONCATENATE(LEFT(C$16, 7), "urban rural 2", $B17), [0]!data_range, 5, FALSE)</f>
        <v>#REF!</v>
      </c>
      <c r="D17" s="15" t="e">
        <f ca="1">VLOOKUP(CONCATENATE(LEFT(D$16, 7), "urban rural 2", $B17), [0]!data_range, 5, FALSE)</f>
        <v>#REF!</v>
      </c>
      <c r="E17" s="15" t="e">
        <f ca="1">VLOOKUP(CONCATENATE(LEFT(E$16, 7), "urban rural 2", $B17), [0]!data_range, 5, FALSE)</f>
        <v>#REF!</v>
      </c>
      <c r="F17" s="15" t="e">
        <f ca="1">VLOOKUP(CONCATENATE(LEFT(F$16, 7), "urban rural 2", $B17), [0]!data_range, 5, FALSE)</f>
        <v>#REF!</v>
      </c>
      <c r="G17" s="15" t="e">
        <f ca="1">VLOOKUP(CONCATENATE(LEFT(G$16, 7), "urban rural 2", $B17), [0]!data_range, 5, FALSE)</f>
        <v>#REF!</v>
      </c>
      <c r="H17" s="15" t="e">
        <f ca="1">VLOOKUP(CONCATENATE(LEFT(H$16, 7), "urban rural 2", $B17), [0]!data_range, 5, FALSE)</f>
        <v>#REF!</v>
      </c>
      <c r="I17" s="15" t="e">
        <f ca="1">VLOOKUP(CONCATENATE(LEFT(I$16, 7), "urban rural 2", $B17), [0]!data_range, 5, FALSE)</f>
        <v>#REF!</v>
      </c>
      <c r="J17" s="15" t="e">
        <f ca="1">VLOOKUP(CONCATENATE(LEFT(J$16, 7), "urban rural 2", $B17), [0]!data_range, 5, FALSE)</f>
        <v>#REF!</v>
      </c>
      <c r="K17" s="15"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190</v>
      </c>
      <c r="C18" s="16" t="e">
        <f ca="1">VLOOKUP(CONCATENATE(LEFT(C$16, 7), "urban rural 2", $B18), [0]!data_range, 5, FALSE)</f>
        <v>#REF!</v>
      </c>
      <c r="D18" s="16" t="e">
        <f ca="1">VLOOKUP(CONCATENATE(LEFT(D$16, 7), "urban rural 2", $B18), [0]!data_range, 5, FALSE)</f>
        <v>#REF!</v>
      </c>
      <c r="E18" s="16" t="e">
        <f ca="1">VLOOKUP(CONCATENATE(LEFT(E$16, 7), "urban rural 2", $B18), [0]!data_range, 5, FALSE)</f>
        <v>#REF!</v>
      </c>
      <c r="F18" s="16" t="e">
        <f ca="1">VLOOKUP(CONCATENATE(LEFT(F$16, 7), "urban rural 2", $B18), [0]!data_range, 5, FALSE)</f>
        <v>#REF!</v>
      </c>
      <c r="G18" s="16" t="e">
        <f ca="1">VLOOKUP(CONCATENATE(LEFT(G$16, 7), "urban rural 2", $B18), [0]!data_range, 5, FALSE)</f>
        <v>#REF!</v>
      </c>
      <c r="H18" s="16" t="e">
        <f ca="1">VLOOKUP(CONCATENATE(LEFT(H$16, 7), "urban rural 2", $B18), [0]!data_range, 5, FALSE)</f>
        <v>#REF!</v>
      </c>
      <c r="I18" s="16" t="e">
        <f ca="1">VLOOKUP(CONCATENATE(LEFT(I$16, 7), "urban rural 2", $B18), [0]!data_range, 5, FALSE)</f>
        <v>#REF!</v>
      </c>
      <c r="J18" s="16" t="e">
        <f ca="1">VLOOKUP(CONCATENATE(LEFT(J$16, 7), "urban rural 2", $B18), [0]!data_range, 5, FALSE)</f>
        <v>#REF!</v>
      </c>
      <c r="K18" s="16"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B21" s="19" t="s">
        <v>15</v>
      </c>
      <c r="L21" s="5"/>
      <c r="M21" s="6"/>
      <c r="N21" s="6"/>
    </row>
    <row r="22" spans="2:29" ht="15" customHeight="1" x14ac:dyDescent="0.2">
      <c r="B22" s="19"/>
      <c r="L22" s="5"/>
      <c r="M22" s="6"/>
      <c r="N22" s="6"/>
    </row>
    <row r="23" spans="2:29" ht="25.5" customHeight="1" x14ac:dyDescent="0.2">
      <c r="B23" s="86" t="s">
        <v>140</v>
      </c>
      <c r="C23" s="87"/>
      <c r="D23" s="87"/>
      <c r="E23" s="87"/>
      <c r="F23" s="87"/>
      <c r="G23" s="87"/>
      <c r="H23" s="87"/>
      <c r="I23" s="87"/>
      <c r="J23" s="87"/>
      <c r="K23" s="20"/>
      <c r="L23" s="5"/>
      <c r="M23" s="6"/>
      <c r="N23" s="6"/>
    </row>
    <row r="24" spans="2:29" ht="15" customHeight="1" x14ac:dyDescent="0.2">
      <c r="B24" s="3" t="s">
        <v>130</v>
      </c>
      <c r="D24" s="19" t="s">
        <v>139</v>
      </c>
      <c r="E24" s="19"/>
      <c r="F24" s="19"/>
      <c r="G24" s="19"/>
      <c r="H24" s="19"/>
      <c r="I24" s="19"/>
      <c r="J24" s="19"/>
      <c r="K24" s="19"/>
      <c r="L24" s="5"/>
      <c r="M24" s="6"/>
      <c r="N24" s="6"/>
    </row>
    <row r="25" spans="2:29" ht="15" customHeight="1" x14ac:dyDescent="0.2">
      <c r="L25" s="5"/>
      <c r="M25" s="6"/>
      <c r="N25" s="6"/>
    </row>
    <row r="26" spans="2:29" ht="15" customHeight="1" x14ac:dyDescent="0.2">
      <c r="B26" s="21" t="s">
        <v>150</v>
      </c>
      <c r="L26" s="5"/>
      <c r="M26" s="6"/>
      <c r="N26" s="6"/>
    </row>
    <row r="27" spans="2:29" ht="15" customHeight="1" x14ac:dyDescent="0.2">
      <c r="B27" s="21" t="s">
        <v>143</v>
      </c>
      <c r="L27" s="5"/>
      <c r="M27" s="6"/>
      <c r="N27" s="6"/>
    </row>
    <row r="28" spans="2:29" ht="15" customHeight="1" x14ac:dyDescent="0.2">
      <c r="B28" s="21" t="e">
        <f ca="1">"    1. Data for " &amp; [0]!fy_max &amp;" are incomplete and will be revised in October 20" &amp; RIGHT([0]!fy_max, 2) &amp; " publication"</f>
        <v>#REF!</v>
      </c>
      <c r="C28" s="6"/>
      <c r="D28" s="6"/>
      <c r="E28" s="6"/>
      <c r="F28" s="6"/>
      <c r="G28" s="22"/>
    </row>
    <row r="29" spans="2:29" ht="15" customHeight="1" x14ac:dyDescent="0.2">
      <c r="B29" s="23"/>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4"/>
    </row>
    <row r="35" spans="2:7" ht="15" customHeight="1" x14ac:dyDescent="0.2">
      <c r="B35" s="23"/>
      <c r="C35" s="6"/>
      <c r="D35" s="6"/>
      <c r="E35" s="6"/>
      <c r="F35" s="6"/>
    </row>
    <row r="36" spans="2:7" ht="15" customHeight="1" x14ac:dyDescent="0.2">
      <c r="B36" s="23"/>
      <c r="C36" s="20"/>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sheetData>
  <mergeCells count="2">
    <mergeCell ref="B23:J23"/>
    <mergeCell ref="B1:J1"/>
  </mergeCells>
  <phoneticPr fontId="5" type="noConversion"/>
  <hyperlinks>
    <hyperlink ref="B21" location="'External Causes of Deaths'!A1" display="External causes of death excluded from analysis"/>
    <hyperlink ref="D24" r:id="rId1"/>
    <hyperlink ref="D24:J24" location="'Table 5 - Urban Rural'!A1" display="http://www.gov.scot/Topics/Statistics/About/Methodology/UrbanRuralClassification"/>
    <hyperlink ref="D24:K24" r:id="rId2" display="http://www.gov.scot/Topics/Statistics/About/Methodology/UrbanRuralClassification"/>
    <hyperlink ref="J24" r:id="rId3" display="http://www.gov.scot/Topics/Statistics/About/Methodology/UrbanRuralClassification"/>
    <hyperlink ref="K24"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217</v>
      </c>
    </row>
    <row r="3" spans="1:22" ht="15.75" x14ac:dyDescent="0.25">
      <c r="B3" s="75" t="s">
        <v>218</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calculation!$A$67:$B$72, 2, 0)</f>
        <v>1 Large Urban Areas</v>
      </c>
      <c r="N8" s="82" t="e">
        <f ca="1">VLOOKUP(CONCATENATE(LEFT(N$7, 7), "urban rural 6", $M$8), [0]!data_range, 5, FALSE)</f>
        <v>#REF!</v>
      </c>
      <c r="O8" s="82" t="e">
        <f ca="1">VLOOKUP(CONCATENATE(LEFT(O$7, 7), "urban rural 6", $M$8), [0]!data_range, 5, FALSE)</f>
        <v>#REF!</v>
      </c>
      <c r="P8" s="82" t="e">
        <f ca="1">VLOOKUP(CONCATENATE(LEFT(P$7, 7), "urban rural 6", $M$8), [0]!data_range, 5, FALSE)</f>
        <v>#REF!</v>
      </c>
      <c r="Q8" s="82" t="e">
        <f ca="1">VLOOKUP(CONCATENATE(LEFT(Q$7, 7), "urban rural 6", $M$8), [0]!data_range, 5, FALSE)</f>
        <v>#REF!</v>
      </c>
      <c r="R8" s="82" t="e">
        <f ca="1">VLOOKUP(CONCATENATE(LEFT(R$7, 7), "urban rural 6", $M$8), [0]!data_range, 5, FALSE)</f>
        <v>#REF!</v>
      </c>
      <c r="S8" s="82" t="e">
        <f ca="1">VLOOKUP(CONCATENATE(LEFT(S$7, 7), "urban rural 6", $M$8), [0]!data_range, 5, FALSE)</f>
        <v>#REF!</v>
      </c>
      <c r="T8" s="82" t="e">
        <f ca="1">VLOOKUP(CONCATENATE(LEFT(T$7, 7), "urban rural 6", $M$8), [0]!data_range, 5, FALSE)</f>
        <v>#REF!</v>
      </c>
      <c r="U8" s="82" t="e">
        <f ca="1">VLOOKUP(CONCATENATE(LEFT(U$7, 7), "urban rural 6", $M$8), [0]!data_range, 5, FALSE)</f>
        <v>#REF!</v>
      </c>
      <c r="V8" s="82" t="e">
        <f ca="1">VLOOKUP(CONCATENATE(LEFT(V$7, 7), "urban rural 6", $M$8), [0]!data_range, 5, FALSE)</f>
        <v>#REF!</v>
      </c>
    </row>
    <row r="31" spans="2:2" x14ac:dyDescent="0.2">
      <c r="B31" s="80" t="s">
        <v>219</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G54"/>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7" ht="15.75" x14ac:dyDescent="0.25">
      <c r="B2" s="4" t="s">
        <v>15</v>
      </c>
    </row>
    <row r="3" spans="2:7" ht="15.75" x14ac:dyDescent="0.25">
      <c r="B3" s="4"/>
    </row>
    <row r="5" spans="2:7" ht="15" x14ac:dyDescent="0.25">
      <c r="B5" s="69" t="s">
        <v>16</v>
      </c>
      <c r="C5" s="69" t="s">
        <v>17</v>
      </c>
    </row>
    <row r="6" spans="2:7" x14ac:dyDescent="0.2">
      <c r="B6" s="70"/>
      <c r="C6" s="71"/>
      <c r="D6" s="71"/>
      <c r="E6" s="71"/>
      <c r="F6" s="71"/>
      <c r="G6" s="71"/>
    </row>
    <row r="7" spans="2:7" ht="12.75" customHeight="1" x14ac:dyDescent="0.2">
      <c r="B7" s="72" t="s">
        <v>18</v>
      </c>
      <c r="C7" s="71"/>
      <c r="D7" s="71"/>
      <c r="E7" s="71"/>
      <c r="F7" s="71"/>
      <c r="G7" s="71"/>
    </row>
    <row r="8" spans="2:7" ht="12.75" customHeight="1" x14ac:dyDescent="0.2">
      <c r="B8" s="72"/>
      <c r="C8" s="71"/>
      <c r="D8" s="71"/>
      <c r="E8" s="71"/>
      <c r="F8" s="71"/>
      <c r="G8" s="71"/>
    </row>
    <row r="9" spans="2:7" ht="12.75" customHeight="1" x14ac:dyDescent="0.2">
      <c r="B9" s="73" t="s">
        <v>19</v>
      </c>
      <c r="C9" s="74" t="s">
        <v>20</v>
      </c>
      <c r="D9" s="71"/>
      <c r="E9" s="71"/>
      <c r="F9" s="71"/>
      <c r="G9" s="71"/>
    </row>
    <row r="10" spans="2:7" ht="12.75" customHeight="1" x14ac:dyDescent="0.2">
      <c r="B10" s="73" t="s">
        <v>21</v>
      </c>
      <c r="C10" s="74" t="s">
        <v>22</v>
      </c>
      <c r="D10" s="71"/>
      <c r="E10" s="71"/>
      <c r="F10" s="71"/>
      <c r="G10" s="71"/>
    </row>
    <row r="11" spans="2:7" ht="12.75" customHeight="1" x14ac:dyDescent="0.2">
      <c r="B11" s="73" t="s">
        <v>23</v>
      </c>
      <c r="C11" s="74" t="s">
        <v>24</v>
      </c>
      <c r="D11" s="71"/>
      <c r="E11" s="71"/>
      <c r="F11" s="71"/>
      <c r="G11" s="71"/>
    </row>
    <row r="12" spans="2:7" ht="12.75" customHeight="1" x14ac:dyDescent="0.2">
      <c r="B12" s="73" t="s">
        <v>25</v>
      </c>
      <c r="C12" s="74" t="s">
        <v>26</v>
      </c>
      <c r="D12" s="71"/>
      <c r="E12" s="71"/>
      <c r="F12" s="71"/>
      <c r="G12" s="71"/>
    </row>
    <row r="13" spans="2:7" ht="12.75" customHeight="1" x14ac:dyDescent="0.2">
      <c r="B13" s="73" t="s">
        <v>27</v>
      </c>
      <c r="C13" s="74" t="s">
        <v>28</v>
      </c>
      <c r="D13" s="71"/>
      <c r="E13" s="71"/>
      <c r="F13" s="71"/>
      <c r="G13" s="71"/>
    </row>
    <row r="14" spans="2:7" ht="12.75" customHeight="1" x14ac:dyDescent="0.2">
      <c r="B14" s="73" t="s">
        <v>29</v>
      </c>
      <c r="C14" s="74" t="s">
        <v>30</v>
      </c>
    </row>
    <row r="15" spans="2:7" ht="12.75" customHeight="1" x14ac:dyDescent="0.2">
      <c r="B15" s="73" t="s">
        <v>31</v>
      </c>
      <c r="C15" s="74" t="s">
        <v>32</v>
      </c>
    </row>
    <row r="16" spans="2:7" ht="12.75" customHeight="1" x14ac:dyDescent="0.2">
      <c r="B16" s="73" t="s">
        <v>33</v>
      </c>
      <c r="C16" s="74" t="s">
        <v>34</v>
      </c>
    </row>
    <row r="17" spans="2:3" ht="12.75" customHeight="1" x14ac:dyDescent="0.2">
      <c r="B17" s="73" t="s">
        <v>35</v>
      </c>
      <c r="C17" s="74" t="s">
        <v>36</v>
      </c>
    </row>
    <row r="18" spans="2:3" ht="12.75" customHeight="1" x14ac:dyDescent="0.2">
      <c r="B18" s="73" t="s">
        <v>37</v>
      </c>
      <c r="C18" s="74" t="s">
        <v>38</v>
      </c>
    </row>
    <row r="19" spans="2:3" ht="12.75" customHeight="1" x14ac:dyDescent="0.2">
      <c r="B19" s="73" t="s">
        <v>39</v>
      </c>
      <c r="C19" s="74" t="s">
        <v>40</v>
      </c>
    </row>
    <row r="20" spans="2:3" ht="12.75" customHeight="1" x14ac:dyDescent="0.2">
      <c r="B20" s="73" t="s">
        <v>41</v>
      </c>
      <c r="C20" s="74" t="s">
        <v>42</v>
      </c>
    </row>
    <row r="21" spans="2:3" ht="12.75" customHeight="1" x14ac:dyDescent="0.2">
      <c r="B21" s="73"/>
      <c r="C21" s="74"/>
    </row>
    <row r="22" spans="2:3" x14ac:dyDescent="0.2">
      <c r="B22" s="9"/>
      <c r="C22" s="9"/>
    </row>
    <row r="23" spans="2:3" ht="12.75" customHeight="1" x14ac:dyDescent="0.2">
      <c r="B23" s="89" t="s">
        <v>43</v>
      </c>
      <c r="C23" s="89"/>
    </row>
    <row r="24" spans="2:3" ht="12.75" customHeight="1" x14ac:dyDescent="0.2">
      <c r="B24" s="72"/>
      <c r="C24" s="72"/>
    </row>
    <row r="25" spans="2:3" x14ac:dyDescent="0.2">
      <c r="B25" s="73" t="s">
        <v>44</v>
      </c>
      <c r="C25" s="74" t="s">
        <v>45</v>
      </c>
    </row>
    <row r="26" spans="2:3" x14ac:dyDescent="0.2">
      <c r="B26" s="73" t="s">
        <v>46</v>
      </c>
      <c r="C26" s="74" t="s">
        <v>47</v>
      </c>
    </row>
    <row r="27" spans="2:3" x14ac:dyDescent="0.2">
      <c r="B27" s="73" t="s">
        <v>48</v>
      </c>
      <c r="C27" s="74" t="s">
        <v>49</v>
      </c>
    </row>
    <row r="28" spans="2:3" x14ac:dyDescent="0.2">
      <c r="B28" s="73" t="s">
        <v>50</v>
      </c>
      <c r="C28" s="74" t="s">
        <v>51</v>
      </c>
    </row>
    <row r="29" spans="2:3" ht="12.75" customHeight="1" x14ac:dyDescent="0.2">
      <c r="B29" s="73" t="s">
        <v>52</v>
      </c>
      <c r="C29" s="74" t="s">
        <v>53</v>
      </c>
    </row>
    <row r="30" spans="2:3" x14ac:dyDescent="0.2">
      <c r="B30" s="73" t="s">
        <v>54</v>
      </c>
      <c r="C30" s="74" t="s">
        <v>55</v>
      </c>
    </row>
    <row r="31" spans="2:3" x14ac:dyDescent="0.2">
      <c r="B31" s="73" t="s">
        <v>56</v>
      </c>
      <c r="C31" s="74" t="s">
        <v>57</v>
      </c>
    </row>
    <row r="32" spans="2:3" x14ac:dyDescent="0.2">
      <c r="B32" s="73" t="s">
        <v>58</v>
      </c>
      <c r="C32" s="74" t="s">
        <v>59</v>
      </c>
    </row>
    <row r="33" spans="2:3" x14ac:dyDescent="0.2">
      <c r="B33" s="73" t="s">
        <v>60</v>
      </c>
      <c r="C33" s="74" t="s">
        <v>61</v>
      </c>
    </row>
    <row r="34" spans="2:3" ht="12.75" customHeight="1" x14ac:dyDescent="0.2">
      <c r="B34" s="73" t="s">
        <v>62</v>
      </c>
      <c r="C34" s="74" t="s">
        <v>63</v>
      </c>
    </row>
    <row r="35" spans="2:3" x14ac:dyDescent="0.2">
      <c r="B35" s="73" t="s">
        <v>64</v>
      </c>
      <c r="C35" s="74" t="s">
        <v>65</v>
      </c>
    </row>
    <row r="36" spans="2:3" x14ac:dyDescent="0.2">
      <c r="B36" s="73" t="s">
        <v>66</v>
      </c>
      <c r="C36" s="74" t="s">
        <v>67</v>
      </c>
    </row>
    <row r="37" spans="2:3" x14ac:dyDescent="0.2">
      <c r="B37" s="73" t="s">
        <v>68</v>
      </c>
      <c r="C37" s="74" t="s">
        <v>69</v>
      </c>
    </row>
    <row r="38" spans="2:3" x14ac:dyDescent="0.2">
      <c r="B38" s="73" t="s">
        <v>70</v>
      </c>
      <c r="C38" s="74" t="s">
        <v>71</v>
      </c>
    </row>
    <row r="39" spans="2:3" x14ac:dyDescent="0.2">
      <c r="B39" s="73" t="s">
        <v>72</v>
      </c>
      <c r="C39" s="74" t="s">
        <v>73</v>
      </c>
    </row>
    <row r="40" spans="2:3" x14ac:dyDescent="0.2">
      <c r="B40" s="73" t="s">
        <v>74</v>
      </c>
      <c r="C40" s="74" t="s">
        <v>75</v>
      </c>
    </row>
    <row r="41" spans="2:3" x14ac:dyDescent="0.2">
      <c r="B41" s="73"/>
      <c r="C41" s="74"/>
    </row>
    <row r="42" spans="2:3" x14ac:dyDescent="0.2">
      <c r="B42" s="88"/>
      <c r="C42" s="88"/>
    </row>
    <row r="43" spans="2:3" ht="12.75" customHeight="1" x14ac:dyDescent="0.2">
      <c r="B43" s="89" t="s">
        <v>76</v>
      </c>
      <c r="C43" s="89"/>
    </row>
    <row r="44" spans="2:3" ht="12.75" customHeight="1" x14ac:dyDescent="0.2">
      <c r="B44" s="72"/>
      <c r="C44" s="72"/>
    </row>
    <row r="45" spans="2:3" ht="12.75" customHeight="1" x14ac:dyDescent="0.2">
      <c r="B45" s="73" t="s">
        <v>77</v>
      </c>
      <c r="C45" s="74" t="s">
        <v>78</v>
      </c>
    </row>
    <row r="46" spans="2:3" ht="12.75" customHeight="1" x14ac:dyDescent="0.2">
      <c r="B46" s="73" t="s">
        <v>79</v>
      </c>
      <c r="C46" s="74" t="s">
        <v>80</v>
      </c>
    </row>
    <row r="47" spans="2:3" ht="12.75" customHeight="1" x14ac:dyDescent="0.2">
      <c r="B47" s="73" t="s">
        <v>81</v>
      </c>
      <c r="C47" s="74" t="s">
        <v>82</v>
      </c>
    </row>
    <row r="48" spans="2:3" ht="25.5" customHeight="1" x14ac:dyDescent="0.2">
      <c r="B48" s="73" t="s">
        <v>83</v>
      </c>
      <c r="C48" s="74" t="s">
        <v>84</v>
      </c>
    </row>
    <row r="51" spans="2:3" x14ac:dyDescent="0.2">
      <c r="B51" s="45" t="s">
        <v>134</v>
      </c>
    </row>
    <row r="53" spans="2:3" x14ac:dyDescent="0.2">
      <c r="B53" s="21" t="s">
        <v>85</v>
      </c>
    </row>
    <row r="54" spans="2:3" x14ac:dyDescent="0.2">
      <c r="B54" s="19" t="s">
        <v>86</v>
      </c>
      <c r="C54" s="19"/>
    </row>
  </sheetData>
  <mergeCells count="3">
    <mergeCell ref="B42:C42"/>
    <mergeCell ref="B43:C43"/>
    <mergeCell ref="B23:C23"/>
  </mergeCells>
  <phoneticPr fontId="5" type="noConversion"/>
  <hyperlinks>
    <hyperlink ref="B54" r:id="rId1" display="http://www.who.int/classifications/icd/en/"/>
    <hyperlink ref="B54:C54" r:id="rId2" display=" http://www.who.int/classifications/icd/en/"/>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tabSelected="1" zoomScaleNormal="100" workbookViewId="0">
      <selection activeCell="A2" sqref="A2"/>
    </sheetView>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192</v>
      </c>
      <c r="B1" s="9" t="s">
        <v>171</v>
      </c>
      <c r="C1" s="9" t="s">
        <v>172</v>
      </c>
      <c r="D1" s="9" t="s">
        <v>173</v>
      </c>
      <c r="E1" s="9" t="s">
        <v>174</v>
      </c>
      <c r="F1" s="9" t="s">
        <v>175</v>
      </c>
      <c r="G1" s="9" t="s">
        <v>176</v>
      </c>
      <c r="H1" s="9" t="s">
        <v>177</v>
      </c>
    </row>
    <row r="2" spans="1:11" x14ac:dyDescent="0.2">
      <c r="A2" s="9" t="str">
        <f>CONCATENATE(B2, C2, D2)</f>
        <v/>
      </c>
      <c r="B2" s="33"/>
      <c r="E2" s="25"/>
      <c r="F2" s="15"/>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72"/>
  <sheetViews>
    <sheetView workbookViewId="0"/>
  </sheetViews>
  <sheetFormatPr defaultRowHeight="12.75" x14ac:dyDescent="0.2"/>
  <cols>
    <col min="1" max="1" width="29.42578125" bestFit="1" customWidth="1"/>
    <col min="2" max="2" width="26.7109375" bestFit="1" customWidth="1"/>
    <col min="3" max="3" width="24.140625" bestFit="1" customWidth="1"/>
  </cols>
  <sheetData>
    <row r="1" spans="1:10" x14ac:dyDescent="0.2">
      <c r="A1" s="2" t="s">
        <v>191</v>
      </c>
      <c r="B1">
        <f>COUNTA(data!B:B)-1</f>
        <v>0</v>
      </c>
    </row>
    <row r="2" spans="1:10" x14ac:dyDescent="0.2">
      <c r="A2" s="2" t="s">
        <v>193</v>
      </c>
      <c r="B2">
        <f>COUNTA(data!1:1)</f>
        <v>8</v>
      </c>
    </row>
    <row r="4" spans="1:10" x14ac:dyDescent="0.2">
      <c r="A4" s="37" t="s">
        <v>196</v>
      </c>
      <c r="B4" t="s">
        <v>197</v>
      </c>
    </row>
    <row r="6" spans="1:10" x14ac:dyDescent="0.2">
      <c r="A6" t="s">
        <v>198</v>
      </c>
      <c r="B6" t="e">
        <f ca="1">SUMPRODUCT(1/COUNTIF(OFFSET(data!$B$2, 0, 0, calculation!$B$1, 1), OFFSET(data!$B$2, 0, 0, calculation!$B$1, 1)))</f>
        <v>#REF!</v>
      </c>
    </row>
    <row r="7" spans="1:10" x14ac:dyDescent="0.2">
      <c r="A7" t="s">
        <v>199</v>
      </c>
      <c r="B7">
        <f ca="1">COUNTA(9:9)</f>
        <v>9</v>
      </c>
    </row>
    <row r="9" spans="1:10" x14ac:dyDescent="0.2">
      <c r="B9" t="e">
        <f t="array" aca="1" ref="B9" ca="1">INDEX(fy_range, MATCH(0, COUNTIF($A$9:A9, fy_range), 0))</f>
        <v>#REF!</v>
      </c>
      <c r="C9" t="e">
        <f t="array" aca="1" ref="C9" ca="1">INDEX(fy_range, MATCH(0, COUNTIF($A$9:B9, fy_range), 0))</f>
        <v>#REF!</v>
      </c>
      <c r="D9" t="e">
        <f t="array" aca="1" ref="D9" ca="1">INDEX(fy_range, MATCH(0, COUNTIF($A$9:C9, fy_range), 0))</f>
        <v>#REF!</v>
      </c>
      <c r="E9" t="e">
        <f t="array" aca="1" ref="E9" ca="1">INDEX(fy_range, MATCH(0, COUNTIF($A$9:D9, fy_range), 0))</f>
        <v>#REF!</v>
      </c>
      <c r="F9" t="e">
        <f t="array" aca="1" ref="F9" ca="1">INDEX(fy_range, MATCH(0, COUNTIF($A$9:E9, fy_range), 0))</f>
        <v>#REF!</v>
      </c>
      <c r="G9" t="e">
        <f t="array" aca="1" ref="G9" ca="1">INDEX(fy_range, MATCH(0, COUNTIF($A$9:F9, fy_range), 0))</f>
        <v>#REF!</v>
      </c>
      <c r="H9" t="e">
        <f t="array" aca="1" ref="H9" ca="1">INDEX(fy_range, MATCH(0, COUNTIF($A$9:G9, fy_range), 0))</f>
        <v>#REF!</v>
      </c>
      <c r="I9" t="e">
        <f t="array" aca="1" ref="I9" ca="1">INDEX(fy_range, MATCH(0, COUNTIF($A$9:H9, fy_range), 0))</f>
        <v>#REF!</v>
      </c>
      <c r="J9" t="e">
        <f t="array" aca="1" ref="J9" ca="1">INDEX(fy_range, MATCH(0, COUNTIF($A$9:I9, fy_range), 0))</f>
        <v>#REF!</v>
      </c>
    </row>
    <row r="10" spans="1:10" x14ac:dyDescent="0.2">
      <c r="B10" t="e">
        <f ca="1">IF(B$9 = [0]!fy_max, B$9 &amp; $B$4, B$9)</f>
        <v>#REF!</v>
      </c>
      <c r="C10" t="e">
        <f ca="1">IF(C$9 = [0]!fy_max, C$9 &amp; $B$4, C$9)</f>
        <v>#REF!</v>
      </c>
      <c r="D10" t="e">
        <f ca="1">IF(D$9 = [0]!fy_max, D$9 &amp; $B$4, D$9)</f>
        <v>#REF!</v>
      </c>
      <c r="E10" t="e">
        <f ca="1">IF(E$9 = [0]!fy_max, E$9 &amp; $B$4, E$9)</f>
        <v>#REF!</v>
      </c>
      <c r="F10" t="e">
        <f ca="1">IF(F$9 = [0]!fy_max, F$9 &amp; $B$4, F$9)</f>
        <v>#REF!</v>
      </c>
      <c r="G10" t="e">
        <f ca="1">IF(G$9 = [0]!fy_max, G$9 &amp; $B$4, G$9)</f>
        <v>#REF!</v>
      </c>
      <c r="H10" t="e">
        <f ca="1">IF(H$9 = [0]!fy_max, H$9 &amp; $B$4, H$9)</f>
        <v>#REF!</v>
      </c>
      <c r="I10" t="e">
        <f ca="1">IF(I$9 = [0]!fy_max, I$9 &amp; $B$4, I$9)</f>
        <v>#REF!</v>
      </c>
      <c r="J10" t="e">
        <f ca="1">IF(J$9 = [0]!fy_max, J$9 &amp; $B$4, J$9)</f>
        <v>#REF!</v>
      </c>
    </row>
    <row r="12" spans="1:10" x14ac:dyDescent="0.2">
      <c r="A12">
        <v>1</v>
      </c>
      <c r="B12" t="s">
        <v>11</v>
      </c>
    </row>
    <row r="13" spans="1:10" x14ac:dyDescent="0.2">
      <c r="A13">
        <v>2</v>
      </c>
      <c r="B13" t="s">
        <v>200</v>
      </c>
    </row>
    <row r="14" spans="1:10" x14ac:dyDescent="0.2">
      <c r="A14">
        <v>3</v>
      </c>
      <c r="B14" t="s">
        <v>0</v>
      </c>
    </row>
    <row r="15" spans="1:10" x14ac:dyDescent="0.2">
      <c r="A15">
        <v>4</v>
      </c>
      <c r="B15" t="s">
        <v>201</v>
      </c>
    </row>
    <row r="16" spans="1:10" x14ac:dyDescent="0.2">
      <c r="A16">
        <v>5</v>
      </c>
      <c r="B16" t="s">
        <v>1</v>
      </c>
    </row>
    <row r="17" spans="1:2" x14ac:dyDescent="0.2">
      <c r="A17">
        <v>6</v>
      </c>
      <c r="B17" t="s">
        <v>2</v>
      </c>
    </row>
    <row r="18" spans="1:2" x14ac:dyDescent="0.2">
      <c r="A18">
        <v>7</v>
      </c>
      <c r="B18" t="s">
        <v>3</v>
      </c>
    </row>
    <row r="19" spans="1:2" x14ac:dyDescent="0.2">
      <c r="A19">
        <v>8</v>
      </c>
      <c r="B19" t="s">
        <v>202</v>
      </c>
    </row>
    <row r="20" spans="1:2" x14ac:dyDescent="0.2">
      <c r="A20">
        <v>9</v>
      </c>
      <c r="B20" t="s">
        <v>4</v>
      </c>
    </row>
    <row r="21" spans="1:2" x14ac:dyDescent="0.2">
      <c r="A21">
        <v>10</v>
      </c>
      <c r="B21" t="s">
        <v>5</v>
      </c>
    </row>
    <row r="22" spans="1:2" x14ac:dyDescent="0.2">
      <c r="A22">
        <v>11</v>
      </c>
      <c r="B22" t="s">
        <v>6</v>
      </c>
    </row>
    <row r="23" spans="1:2" x14ac:dyDescent="0.2">
      <c r="A23">
        <v>12</v>
      </c>
      <c r="B23" t="s">
        <v>7</v>
      </c>
    </row>
    <row r="24" spans="1:2" x14ac:dyDescent="0.2">
      <c r="A24">
        <v>13</v>
      </c>
      <c r="B24" t="s">
        <v>8</v>
      </c>
    </row>
    <row r="25" spans="1:2" x14ac:dyDescent="0.2">
      <c r="A25">
        <v>14</v>
      </c>
      <c r="B25" t="s">
        <v>9</v>
      </c>
    </row>
    <row r="26" spans="1:2" x14ac:dyDescent="0.2">
      <c r="A26">
        <v>15</v>
      </c>
      <c r="B26" t="s">
        <v>10</v>
      </c>
    </row>
    <row r="28" spans="1:2" x14ac:dyDescent="0.2">
      <c r="A28">
        <v>1</v>
      </c>
      <c r="B28" s="2" t="s">
        <v>11</v>
      </c>
    </row>
    <row r="29" spans="1:2" x14ac:dyDescent="0.2">
      <c r="A29">
        <v>2</v>
      </c>
      <c r="B29" t="s">
        <v>90</v>
      </c>
    </row>
    <row r="30" spans="1:2" x14ac:dyDescent="0.2">
      <c r="A30">
        <v>3</v>
      </c>
      <c r="B30" t="s">
        <v>91</v>
      </c>
    </row>
    <row r="31" spans="1:2" x14ac:dyDescent="0.2">
      <c r="A31">
        <v>4</v>
      </c>
      <c r="B31" t="s">
        <v>92</v>
      </c>
    </row>
    <row r="32" spans="1:2" x14ac:dyDescent="0.2">
      <c r="A32">
        <v>5</v>
      </c>
      <c r="B32" t="s">
        <v>210</v>
      </c>
    </row>
    <row r="33" spans="1:2" x14ac:dyDescent="0.2">
      <c r="A33">
        <v>6</v>
      </c>
      <c r="B33" t="s">
        <v>149</v>
      </c>
    </row>
    <row r="34" spans="1:2" x14ac:dyDescent="0.2">
      <c r="A34">
        <v>7</v>
      </c>
      <c r="B34" t="s">
        <v>211</v>
      </c>
    </row>
    <row r="35" spans="1:2" x14ac:dyDescent="0.2">
      <c r="A35">
        <v>8</v>
      </c>
      <c r="B35" t="s">
        <v>93</v>
      </c>
    </row>
    <row r="36" spans="1:2" x14ac:dyDescent="0.2">
      <c r="A36">
        <v>9</v>
      </c>
      <c r="B36" t="s">
        <v>94</v>
      </c>
    </row>
    <row r="37" spans="1:2" x14ac:dyDescent="0.2">
      <c r="A37">
        <v>10</v>
      </c>
      <c r="B37" t="s">
        <v>95</v>
      </c>
    </row>
    <row r="38" spans="1:2" x14ac:dyDescent="0.2">
      <c r="A38">
        <v>11</v>
      </c>
      <c r="B38" t="s">
        <v>96</v>
      </c>
    </row>
    <row r="39" spans="1:2" x14ac:dyDescent="0.2">
      <c r="A39">
        <v>12</v>
      </c>
      <c r="B39" t="s">
        <v>97</v>
      </c>
    </row>
    <row r="40" spans="1:2" x14ac:dyDescent="0.2">
      <c r="A40">
        <v>13</v>
      </c>
      <c r="B40" t="s">
        <v>153</v>
      </c>
    </row>
    <row r="41" spans="1:2" x14ac:dyDescent="0.2">
      <c r="A41">
        <v>14</v>
      </c>
      <c r="B41" t="s">
        <v>98</v>
      </c>
    </row>
    <row r="42" spans="1:2" x14ac:dyDescent="0.2">
      <c r="A42">
        <v>15</v>
      </c>
      <c r="B42" t="s">
        <v>1</v>
      </c>
    </row>
    <row r="43" spans="1:2" x14ac:dyDescent="0.2">
      <c r="A43">
        <v>16</v>
      </c>
      <c r="B43" t="s">
        <v>147</v>
      </c>
    </row>
    <row r="44" spans="1:2" x14ac:dyDescent="0.2">
      <c r="A44">
        <v>17</v>
      </c>
      <c r="B44" t="s">
        <v>4</v>
      </c>
    </row>
    <row r="45" spans="1:2" x14ac:dyDescent="0.2">
      <c r="A45">
        <v>18</v>
      </c>
      <c r="B45" t="s">
        <v>99</v>
      </c>
    </row>
    <row r="46" spans="1:2" x14ac:dyDescent="0.2">
      <c r="A46">
        <v>19</v>
      </c>
      <c r="B46" t="s">
        <v>100</v>
      </c>
    </row>
    <row r="47" spans="1:2" x14ac:dyDescent="0.2">
      <c r="A47">
        <v>20</v>
      </c>
      <c r="B47" t="s">
        <v>101</v>
      </c>
    </row>
    <row r="48" spans="1:2" x14ac:dyDescent="0.2">
      <c r="A48">
        <v>21</v>
      </c>
      <c r="B48" t="s">
        <v>102</v>
      </c>
    </row>
    <row r="49" spans="1:2" x14ac:dyDescent="0.2">
      <c r="A49">
        <v>22</v>
      </c>
      <c r="B49" t="s">
        <v>103</v>
      </c>
    </row>
    <row r="50" spans="1:2" x14ac:dyDescent="0.2">
      <c r="A50">
        <v>23</v>
      </c>
      <c r="B50" t="s">
        <v>104</v>
      </c>
    </row>
    <row r="51" spans="1:2" x14ac:dyDescent="0.2">
      <c r="A51">
        <v>24</v>
      </c>
      <c r="B51" t="s">
        <v>212</v>
      </c>
    </row>
    <row r="52" spans="1:2" x14ac:dyDescent="0.2">
      <c r="A52">
        <v>25</v>
      </c>
      <c r="B52" t="s">
        <v>105</v>
      </c>
    </row>
    <row r="53" spans="1:2" x14ac:dyDescent="0.2">
      <c r="A53">
        <v>26</v>
      </c>
      <c r="B53" t="s">
        <v>106</v>
      </c>
    </row>
    <row r="54" spans="1:2" x14ac:dyDescent="0.2">
      <c r="A54">
        <v>27</v>
      </c>
      <c r="B54" t="s">
        <v>107</v>
      </c>
    </row>
    <row r="55" spans="1:2" x14ac:dyDescent="0.2">
      <c r="A55">
        <v>28</v>
      </c>
      <c r="B55" t="s">
        <v>108</v>
      </c>
    </row>
    <row r="56" spans="1:2" x14ac:dyDescent="0.2">
      <c r="A56">
        <v>29</v>
      </c>
      <c r="B56" t="s">
        <v>109</v>
      </c>
    </row>
    <row r="57" spans="1:2" x14ac:dyDescent="0.2">
      <c r="A57">
        <v>30</v>
      </c>
      <c r="B57" t="s">
        <v>110</v>
      </c>
    </row>
    <row r="58" spans="1:2" x14ac:dyDescent="0.2">
      <c r="A58">
        <v>31</v>
      </c>
      <c r="B58" t="s">
        <v>111</v>
      </c>
    </row>
    <row r="59" spans="1:2" x14ac:dyDescent="0.2">
      <c r="A59">
        <v>32</v>
      </c>
      <c r="B59" t="s">
        <v>10</v>
      </c>
    </row>
    <row r="61" spans="1:2" x14ac:dyDescent="0.2">
      <c r="A61">
        <v>1</v>
      </c>
      <c r="B61" s="2" t="s">
        <v>181</v>
      </c>
    </row>
    <row r="62" spans="1:2" x14ac:dyDescent="0.2">
      <c r="A62">
        <v>2</v>
      </c>
      <c r="B62" s="79" t="s">
        <v>178</v>
      </c>
    </row>
    <row r="63" spans="1:2" x14ac:dyDescent="0.2">
      <c r="A63">
        <v>3</v>
      </c>
      <c r="B63" s="79" t="s">
        <v>179</v>
      </c>
    </row>
    <row r="64" spans="1:2" x14ac:dyDescent="0.2">
      <c r="A64">
        <v>4</v>
      </c>
      <c r="B64" s="79" t="s">
        <v>180</v>
      </c>
    </row>
    <row r="65" spans="1:2" x14ac:dyDescent="0.2">
      <c r="A65">
        <v>5</v>
      </c>
      <c r="B65" s="2" t="s">
        <v>182</v>
      </c>
    </row>
    <row r="67" spans="1:2" x14ac:dyDescent="0.2">
      <c r="A67">
        <v>1</v>
      </c>
      <c r="B67" t="s">
        <v>183</v>
      </c>
    </row>
    <row r="68" spans="1:2" x14ac:dyDescent="0.2">
      <c r="A68">
        <v>2</v>
      </c>
      <c r="B68" t="s">
        <v>184</v>
      </c>
    </row>
    <row r="69" spans="1:2" x14ac:dyDescent="0.2">
      <c r="A69">
        <v>3</v>
      </c>
      <c r="B69" t="s">
        <v>185</v>
      </c>
    </row>
    <row r="70" spans="1:2" x14ac:dyDescent="0.2">
      <c r="A70">
        <v>4</v>
      </c>
      <c r="B70" t="s">
        <v>186</v>
      </c>
    </row>
    <row r="71" spans="1:2" x14ac:dyDescent="0.2">
      <c r="A71">
        <v>5</v>
      </c>
      <c r="B71" t="s">
        <v>187</v>
      </c>
    </row>
    <row r="72" spans="1:2" x14ac:dyDescent="0.2">
      <c r="A72">
        <v>6</v>
      </c>
      <c r="B72" t="s">
        <v>188</v>
      </c>
    </row>
  </sheetData>
  <sortState ref="B10:C23">
    <sortCondition ref="C10:C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Notes</vt:lpstr>
      <vt:lpstr>Table 1 - HB</vt:lpstr>
      <vt:lpstr>Figure A1-1 - HB</vt:lpstr>
      <vt:lpstr>Table 2 - HSCP</vt:lpstr>
      <vt:lpstr>Figure A1-2 - HSCP</vt:lpstr>
      <vt:lpstr>Table 3 - CA</vt:lpstr>
      <vt:lpstr>Table 4 - Age Gender</vt:lpstr>
      <vt:lpstr>Table 5 - Deprivation</vt:lpstr>
      <vt:lpstr>Figure A1-3 - Deprivation</vt:lpstr>
      <vt:lpstr>Table 6 - Urban Rural</vt:lpstr>
      <vt:lpstr>Figure A1-4 -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2019-11-18T17:27:40Z</dcterms:modified>
</cp:coreProperties>
</file>