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Notes" sheetId="1" r:id="rId1"/>
    <sheet name="Table 1 - HB" sheetId="2" r:id="rId2"/>
    <sheet name="Table 2 - HSCP" sheetId="5" r:id="rId3"/>
    <sheet name="Table 3 - LA" sheetId="12" r:id="rId4"/>
    <sheet name="Table 4 - Age Gender" sheetId="11" r:id="rId5"/>
    <sheet name="Table 5 - Deprivation" sheetId="8" r:id="rId6"/>
    <sheet name="Table 6 - Urban Rural" sheetId="9" r:id="rId7"/>
    <sheet name="External Causes of Deaths" sheetId="3" r:id="rId8"/>
    <sheet name="data" sheetId="13" r:id="rId9"/>
    <sheet name="calculation" sheetId="14" r:id="rId10"/>
  </sheets>
  <definedNames>
    <definedName name="data_range">OFFSET(data!$A$2, 0, 0, calculation!$B$1, calculation!$B$2)</definedName>
    <definedName name="fy_max">OFFSET('Table 1 - HB'!$B$6, 0, calculation!$B$6, 1, 1)</definedName>
    <definedName name="fy_range">OFFSET(data!$B$2, 0, 0, calculation!$B$1, 1)</definedName>
    <definedName name="_xlnm.Print_Area" localSheetId="7">'External Causes of Deaths'!$A$2:$E$64</definedName>
    <definedName name="_xlnm.Print_Area" localSheetId="0">Notes!$A$2:$P$52</definedName>
    <definedName name="_xlnm.Print_Area" localSheetId="1">OFFSET('Table 1 - HB'!$A$2, 0, 0, 29, calculation!$B$6+2)</definedName>
    <definedName name="_xlnm.Print_Area" localSheetId="2">OFFSET('Table 2 - HSCP'!$A$2, 0, 0, 46, calculation!$B$6+2)</definedName>
    <definedName name="_xlnm.Print_Area" localSheetId="3">OFFSET('Table 3 - LA'!$A$2, 0, 0, 47, calculation!$B$6+2)</definedName>
    <definedName name="_xlnm.Print_Area" localSheetId="4">OFFSET('Table 4 - Age Gender'!$A$2, 0, 0, 34, calculation!$B$6+3)</definedName>
    <definedName name="_xlnm.Print_Area" localSheetId="5">OFFSET('Table 5 - Deprivation'!$A$2, 0, 0, 30, calculation!$B$6+2)</definedName>
    <definedName name="_xlnm.Print_Area" localSheetId="6">OFFSET('Table 6 - Urban Rural'!$A$2, 0, 0, 28, calculation!$B$6+2)</definedName>
  </definedNames>
  <calcPr calcId="162913"/>
</workbook>
</file>

<file path=xl/calcChain.xml><?xml version="1.0" encoding="utf-8"?>
<calcChain xmlns="http://schemas.openxmlformats.org/spreadsheetml/2006/main">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5"/>
  <c r="B1" i="2" l="1"/>
  <c r="B1" i="11"/>
  <c r="B1" i="12"/>
  <c r="C6" i="12" a="1"/>
  <c r="C6" i="12" s="1"/>
  <c r="D6" i="12" s="1" a="1"/>
  <c r="D6" i="12" s="1"/>
  <c r="C6" i="5" a="1"/>
  <c r="C6" i="5" s="1"/>
  <c r="D6" i="11" a="1"/>
  <c r="D6" i="11" s="1"/>
  <c r="E6" i="11" s="1" a="1"/>
  <c r="E6" i="11" s="1"/>
  <c r="F6" i="11" s="1" a="1"/>
  <c r="F6" i="11" s="1"/>
  <c r="C7" i="8" a="1"/>
  <c r="C7" i="8" s="1"/>
  <c r="D7" i="8" s="1" a="1"/>
  <c r="D7" i="8" s="1"/>
  <c r="E7" i="8" s="1" a="1"/>
  <c r="E7" i="8" s="1"/>
  <c r="C6" i="9" a="1"/>
  <c r="C6" i="9" s="1"/>
  <c r="D6" i="9" s="1" a="1"/>
  <c r="D6" i="9" s="1"/>
  <c r="E6" i="9" s="1" a="1"/>
  <c r="E6" i="9" s="1"/>
  <c r="B6" i="14"/>
  <c r="C6" i="2" a="1"/>
  <c r="C6" i="2" s="1"/>
  <c r="E6" i="12" l="1" a="1"/>
  <c r="E6" i="12" s="1"/>
  <c r="F6" i="12" s="1" a="1"/>
  <c r="F6" i="12" s="1"/>
  <c r="G6" i="12" s="1" a="1"/>
  <c r="G6" i="12" s="1"/>
  <c r="D6" i="5" a="1"/>
  <c r="D6" i="5" s="1"/>
  <c r="E6" i="5" s="1" a="1"/>
  <c r="E6" i="5" s="1"/>
  <c r="F6" i="5" s="1" a="1"/>
  <c r="F6" i="5" s="1"/>
  <c r="F6" i="9" a="1"/>
  <c r="F6" i="9" s="1"/>
  <c r="F7" i="8" a="1"/>
  <c r="F7" i="8" s="1"/>
  <c r="G6" i="11" a="1"/>
  <c r="G6" i="11" s="1"/>
  <c r="H6" i="11" s="1" a="1"/>
  <c r="H6" i="11" s="1"/>
  <c r="D6" i="2" a="1"/>
  <c r="D6" i="2" s="1"/>
  <c r="G6" i="5" l="1" a="1"/>
  <c r="G6" i="5" s="1"/>
  <c r="H6" i="5" s="1" a="1"/>
  <c r="H6" i="5" s="1"/>
  <c r="G6" i="9" a="1"/>
  <c r="G6" i="9" s="1"/>
  <c r="G7" i="8" a="1"/>
  <c r="G7" i="8" s="1"/>
  <c r="H7" i="8" s="1" a="1"/>
  <c r="H7" i="8" s="1"/>
  <c r="I6" i="11" a="1"/>
  <c r="I6" i="11" s="1"/>
  <c r="H6" i="12" a="1"/>
  <c r="H6" i="12" s="1"/>
  <c r="E6" i="2" a="1"/>
  <c r="E6" i="2" s="1"/>
  <c r="H6" i="9" l="1" a="1"/>
  <c r="H6" i="9" s="1"/>
  <c r="I7" i="8" a="1"/>
  <c r="I7" i="8" s="1"/>
  <c r="J6" i="11" a="1"/>
  <c r="J6" i="11" s="1"/>
  <c r="I6" i="12" a="1"/>
  <c r="I6" i="12" s="1"/>
  <c r="I6" i="5" a="1"/>
  <c r="I6" i="5" s="1"/>
  <c r="F6" i="2" a="1"/>
  <c r="F6" i="2" s="1"/>
  <c r="I6" i="9" l="1" a="1"/>
  <c r="I6" i="9" s="1"/>
  <c r="J7" i="8" a="1"/>
  <c r="J7" i="8" s="1"/>
  <c r="K6" i="11" a="1"/>
  <c r="K6" i="11" s="1"/>
  <c r="J6" i="12" a="1"/>
  <c r="J6" i="12" s="1"/>
  <c r="J6" i="5" a="1"/>
  <c r="J6" i="5" s="1"/>
  <c r="G6" i="2" a="1"/>
  <c r="G6" i="2" s="1"/>
  <c r="J6" i="9" l="1" a="1"/>
  <c r="J6" i="9" s="1"/>
  <c r="K7" i="8" a="1"/>
  <c r="K7" i="8" s="1"/>
  <c r="L6" i="11" a="1"/>
  <c r="L6" i="11" s="1"/>
  <c r="K6" i="12" a="1"/>
  <c r="K6" i="12" s="1"/>
  <c r="K6" i="5" a="1"/>
  <c r="K6" i="5" s="1"/>
  <c r="H6" i="2" a="1"/>
  <c r="H6" i="2" s="1"/>
  <c r="K6" i="9" l="1" a="1"/>
  <c r="K6" i="9" s="1"/>
  <c r="I6" i="2" a="1"/>
  <c r="I6" i="2" s="1"/>
  <c r="J6" i="2" l="1" a="1"/>
  <c r="J6" i="2" s="1"/>
  <c r="K6" i="2" l="1" a="1"/>
  <c r="K6" i="2" s="1"/>
  <c r="C16" i="9" l="1"/>
  <c r="C17" i="9" s="1"/>
  <c r="E16" i="9"/>
  <c r="D16" i="9"/>
  <c r="F16" i="9"/>
  <c r="G16" i="9"/>
  <c r="H16" i="9"/>
  <c r="I16" i="9"/>
  <c r="J16" i="9"/>
  <c r="K16" i="9"/>
  <c r="C7" i="9"/>
  <c r="C13" i="9" s="1"/>
  <c r="E7" i="9"/>
  <c r="D7" i="9"/>
  <c r="F7" i="9"/>
  <c r="G7" i="9"/>
  <c r="H7" i="9"/>
  <c r="I7" i="9"/>
  <c r="J7" i="9"/>
  <c r="K7" i="9"/>
  <c r="C16" i="8"/>
  <c r="C18" i="8" s="1"/>
  <c r="E16" i="8"/>
  <c r="D16" i="8"/>
  <c r="F16" i="8"/>
  <c r="H16" i="8"/>
  <c r="G16" i="8"/>
  <c r="I16" i="8"/>
  <c r="J16" i="8"/>
  <c r="K16" i="8"/>
  <c r="C8" i="8"/>
  <c r="C11" i="8" s="1"/>
  <c r="E8" i="8"/>
  <c r="D8" i="8"/>
  <c r="F8" i="8"/>
  <c r="G8" i="8"/>
  <c r="H8" i="8"/>
  <c r="I8" i="8"/>
  <c r="J8" i="8"/>
  <c r="K8" i="8"/>
  <c r="D7" i="11"/>
  <c r="D21" i="11" s="1"/>
  <c r="F7" i="11"/>
  <c r="E7" i="11"/>
  <c r="G7" i="11"/>
  <c r="H7" i="11"/>
  <c r="I7" i="11"/>
  <c r="J7" i="11"/>
  <c r="K7" i="11"/>
  <c r="L7" i="11"/>
  <c r="C7" i="12"/>
  <c r="C27" i="12" s="1"/>
  <c r="E7" i="12"/>
  <c r="D7" i="12"/>
  <c r="G7" i="12"/>
  <c r="F7" i="12"/>
  <c r="H7" i="12"/>
  <c r="I7" i="12"/>
  <c r="J7" i="12"/>
  <c r="K7" i="12"/>
  <c r="C7" i="5"/>
  <c r="C14" i="5" s="1"/>
  <c r="E7" i="5"/>
  <c r="D7" i="5"/>
  <c r="F7" i="5"/>
  <c r="G7" i="5"/>
  <c r="H7" i="5"/>
  <c r="I7" i="5"/>
  <c r="J7" i="5"/>
  <c r="K7" i="5"/>
  <c r="B30" i="2"/>
  <c r="B28" i="8"/>
  <c r="B29" i="9"/>
  <c r="B47" i="5"/>
  <c r="B35" i="11"/>
  <c r="B48" i="12"/>
  <c r="C15" i="1"/>
  <c r="C7" i="2"/>
  <c r="D7" i="2"/>
  <c r="E7" i="2"/>
  <c r="F7" i="2"/>
  <c r="G7" i="2"/>
  <c r="H7" i="2"/>
  <c r="I7" i="2"/>
  <c r="J7" i="2"/>
  <c r="J9" i="2" s="1"/>
  <c r="K7" i="2"/>
  <c r="B7" i="14"/>
  <c r="C12" i="9" l="1"/>
  <c r="H18" i="9"/>
  <c r="H17" i="9"/>
  <c r="E17" i="9"/>
  <c r="E18" i="9"/>
  <c r="C18" i="9"/>
  <c r="K18" i="9"/>
  <c r="K17" i="9"/>
  <c r="G17" i="9"/>
  <c r="G18" i="9"/>
  <c r="I17" i="9"/>
  <c r="I18" i="9"/>
  <c r="D17" i="9"/>
  <c r="D18" i="9"/>
  <c r="J17" i="9"/>
  <c r="J18" i="9"/>
  <c r="F18" i="9"/>
  <c r="F17" i="9"/>
  <c r="K11" i="9"/>
  <c r="K8" i="9"/>
  <c r="K10" i="9"/>
  <c r="K13" i="9"/>
  <c r="K12" i="9"/>
  <c r="K9" i="9"/>
  <c r="G12" i="9"/>
  <c r="G8" i="9"/>
  <c r="G13" i="9"/>
  <c r="G9" i="9"/>
  <c r="G10" i="9"/>
  <c r="G11" i="9"/>
  <c r="H8" i="9"/>
  <c r="H12" i="9"/>
  <c r="H10" i="9"/>
  <c r="H9" i="9"/>
  <c r="H13" i="9"/>
  <c r="H11" i="9"/>
  <c r="E10" i="9"/>
  <c r="E11" i="9"/>
  <c r="E12" i="9"/>
  <c r="E8" i="9"/>
  <c r="E9" i="9"/>
  <c r="E13" i="9"/>
  <c r="I9" i="9"/>
  <c r="I13" i="9"/>
  <c r="I12" i="9"/>
  <c r="I8" i="9"/>
  <c r="I11" i="9"/>
  <c r="I10" i="9"/>
  <c r="D9" i="9"/>
  <c r="D13" i="9"/>
  <c r="D11" i="9"/>
  <c r="D8" i="9"/>
  <c r="D10" i="9"/>
  <c r="D12" i="9"/>
  <c r="C9" i="8"/>
  <c r="C11" i="9"/>
  <c r="C8" i="9"/>
  <c r="C10" i="9"/>
  <c r="C9" i="9"/>
  <c r="J12" i="9"/>
  <c r="J10" i="9"/>
  <c r="J8" i="9"/>
  <c r="J11" i="9"/>
  <c r="J9" i="9"/>
  <c r="J13" i="9"/>
  <c r="F8" i="9"/>
  <c r="F11" i="9"/>
  <c r="F10" i="9"/>
  <c r="F9" i="9"/>
  <c r="F13" i="9"/>
  <c r="F12" i="9"/>
  <c r="D8" i="11"/>
  <c r="D12" i="11"/>
  <c r="H17" i="8"/>
  <c r="H18" i="8"/>
  <c r="G17" i="8"/>
  <c r="G18" i="8"/>
  <c r="E18" i="8"/>
  <c r="E17" i="8"/>
  <c r="C17" i="8"/>
  <c r="K18" i="8"/>
  <c r="K17" i="8"/>
  <c r="I17" i="8"/>
  <c r="I18" i="8"/>
  <c r="D18" i="8"/>
  <c r="D17" i="8"/>
  <c r="J18" i="8"/>
  <c r="J17" i="8"/>
  <c r="F17" i="8"/>
  <c r="F18" i="8"/>
  <c r="C26" i="5"/>
  <c r="D24" i="11"/>
  <c r="D15" i="11"/>
  <c r="D10" i="11"/>
  <c r="D20" i="11"/>
  <c r="D25" i="11"/>
  <c r="C16" i="12"/>
  <c r="D22" i="11"/>
  <c r="D19" i="11"/>
  <c r="H12" i="8"/>
  <c r="H11" i="8"/>
  <c r="H10" i="8"/>
  <c r="H13" i="8"/>
  <c r="H9" i="8"/>
  <c r="E10" i="8"/>
  <c r="E13" i="8"/>
  <c r="E12" i="8"/>
  <c r="E11" i="8"/>
  <c r="E9" i="8"/>
  <c r="C22" i="12"/>
  <c r="C10" i="8"/>
  <c r="C13" i="8"/>
  <c r="I13" i="8"/>
  <c r="I12" i="8"/>
  <c r="I11" i="8"/>
  <c r="I9" i="8"/>
  <c r="I10" i="8"/>
  <c r="D9" i="8"/>
  <c r="D12" i="8"/>
  <c r="D13" i="8"/>
  <c r="D11" i="8"/>
  <c r="D10" i="8"/>
  <c r="C12" i="8"/>
  <c r="K9" i="8"/>
  <c r="K11" i="8"/>
  <c r="K10" i="8"/>
  <c r="K13" i="8"/>
  <c r="K12" i="8"/>
  <c r="G12" i="8"/>
  <c r="G9" i="8"/>
  <c r="G11" i="8"/>
  <c r="G10" i="8"/>
  <c r="G13" i="8"/>
  <c r="J10" i="8"/>
  <c r="J11" i="8"/>
  <c r="J13" i="8"/>
  <c r="J12" i="8"/>
  <c r="J9" i="8"/>
  <c r="F9" i="8"/>
  <c r="F11" i="8"/>
  <c r="F10" i="8"/>
  <c r="F13" i="8"/>
  <c r="F12" i="8"/>
  <c r="C13" i="12"/>
  <c r="C9" i="12"/>
  <c r="C25" i="5"/>
  <c r="C35" i="12"/>
  <c r="C23" i="12"/>
  <c r="C32" i="5"/>
  <c r="L11" i="11"/>
  <c r="L15" i="11"/>
  <c r="L19" i="11"/>
  <c r="L23" i="11"/>
  <c r="L10" i="11"/>
  <c r="L14" i="11"/>
  <c r="L18" i="11"/>
  <c r="L22" i="11"/>
  <c r="L9" i="11"/>
  <c r="L13" i="11"/>
  <c r="L17" i="11"/>
  <c r="L21" i="11"/>
  <c r="L25" i="11"/>
  <c r="L24" i="11"/>
  <c r="L16" i="11"/>
  <c r="L8" i="11"/>
  <c r="L20" i="11"/>
  <c r="L12" i="11"/>
  <c r="H12" i="11"/>
  <c r="H24" i="11"/>
  <c r="H11" i="11"/>
  <c r="H15" i="11"/>
  <c r="H19" i="11"/>
  <c r="H23" i="11"/>
  <c r="H10" i="11"/>
  <c r="H14" i="11"/>
  <c r="H18" i="11"/>
  <c r="H22" i="11"/>
  <c r="H9" i="11"/>
  <c r="H13" i="11"/>
  <c r="H17" i="11"/>
  <c r="H21" i="11"/>
  <c r="H25" i="11"/>
  <c r="H16" i="11"/>
  <c r="H8" i="11"/>
  <c r="H20" i="11"/>
  <c r="I8" i="11"/>
  <c r="I11" i="11"/>
  <c r="I15" i="11"/>
  <c r="I10" i="11"/>
  <c r="I14" i="11"/>
  <c r="I18" i="11"/>
  <c r="I22" i="11"/>
  <c r="I9" i="11"/>
  <c r="I13" i="11"/>
  <c r="I17" i="11"/>
  <c r="I21" i="11"/>
  <c r="I25" i="11"/>
  <c r="I12" i="11"/>
  <c r="I16" i="11"/>
  <c r="I20" i="11"/>
  <c r="I24" i="11"/>
  <c r="I23" i="11"/>
  <c r="I19" i="11"/>
  <c r="F8" i="11"/>
  <c r="F18" i="11"/>
  <c r="F9" i="11"/>
  <c r="F13" i="11"/>
  <c r="F17" i="11"/>
  <c r="F21" i="11"/>
  <c r="F25" i="11"/>
  <c r="F12" i="11"/>
  <c r="F16" i="11"/>
  <c r="F20" i="11"/>
  <c r="F24" i="11"/>
  <c r="F11" i="11"/>
  <c r="F15" i="11"/>
  <c r="F19" i="11"/>
  <c r="F23" i="11"/>
  <c r="F14" i="11"/>
  <c r="F22" i="11"/>
  <c r="F10" i="11"/>
  <c r="C12" i="5"/>
  <c r="C8" i="5"/>
  <c r="C26" i="12"/>
  <c r="C12" i="12"/>
  <c r="D14" i="11"/>
  <c r="D23" i="11"/>
  <c r="D16" i="11"/>
  <c r="D17" i="11"/>
  <c r="D11" i="11"/>
  <c r="J9" i="11"/>
  <c r="J13" i="11"/>
  <c r="J17" i="11"/>
  <c r="J21" i="11"/>
  <c r="J25" i="11"/>
  <c r="J12" i="11"/>
  <c r="J16" i="11"/>
  <c r="J20" i="11"/>
  <c r="J24" i="11"/>
  <c r="J11" i="11"/>
  <c r="J15" i="11"/>
  <c r="J19" i="11"/>
  <c r="J23" i="11"/>
  <c r="J10" i="11"/>
  <c r="J18" i="11"/>
  <c r="J22" i="11"/>
  <c r="J8" i="11"/>
  <c r="J14" i="11"/>
  <c r="E10" i="11"/>
  <c r="E14" i="11"/>
  <c r="E18" i="11"/>
  <c r="E22" i="11"/>
  <c r="E9" i="11"/>
  <c r="E13" i="11"/>
  <c r="E17" i="11"/>
  <c r="E21" i="11"/>
  <c r="E25" i="11"/>
  <c r="E11" i="11"/>
  <c r="E8" i="11"/>
  <c r="E15" i="11"/>
  <c r="E12" i="11"/>
  <c r="E16" i="11"/>
  <c r="E20" i="11"/>
  <c r="E24" i="11"/>
  <c r="E19" i="11"/>
  <c r="E23" i="11"/>
  <c r="K9" i="11"/>
  <c r="K25" i="11"/>
  <c r="K12" i="11"/>
  <c r="K16" i="11"/>
  <c r="K20" i="11"/>
  <c r="K24" i="11"/>
  <c r="K11" i="11"/>
  <c r="K15" i="11"/>
  <c r="K19" i="11"/>
  <c r="K23" i="11"/>
  <c r="K10" i="11"/>
  <c r="K14" i="11"/>
  <c r="K18" i="11"/>
  <c r="K22" i="11"/>
  <c r="K13" i="11"/>
  <c r="K21" i="11"/>
  <c r="K17" i="11"/>
  <c r="K8" i="11"/>
  <c r="G12" i="11"/>
  <c r="G16" i="11"/>
  <c r="G20" i="11"/>
  <c r="G24" i="11"/>
  <c r="G11" i="11"/>
  <c r="G15" i="11"/>
  <c r="G19" i="11"/>
  <c r="G23" i="11"/>
  <c r="G17" i="11"/>
  <c r="G21" i="11"/>
  <c r="G9" i="11"/>
  <c r="G25" i="11"/>
  <c r="G10" i="11"/>
  <c r="G14" i="11"/>
  <c r="G18" i="11"/>
  <c r="G22" i="11"/>
  <c r="G8" i="11"/>
  <c r="G13" i="11"/>
  <c r="C13" i="5"/>
  <c r="D13" i="11"/>
  <c r="D9" i="11"/>
  <c r="D18" i="11"/>
  <c r="C20" i="5"/>
  <c r="C39" i="5"/>
  <c r="C31" i="5"/>
  <c r="C38" i="5"/>
  <c r="C11" i="5"/>
  <c r="C19" i="5"/>
  <c r="F9" i="12"/>
  <c r="F13" i="12"/>
  <c r="F17" i="12"/>
  <c r="F21" i="12"/>
  <c r="F25" i="12"/>
  <c r="F29" i="12"/>
  <c r="F33" i="12"/>
  <c r="F37" i="12"/>
  <c r="F39" i="12"/>
  <c r="F12" i="12"/>
  <c r="F16" i="12"/>
  <c r="F20" i="12"/>
  <c r="F24" i="12"/>
  <c r="F28" i="12"/>
  <c r="F32" i="12"/>
  <c r="F36" i="12"/>
  <c r="F11" i="12"/>
  <c r="F15" i="12"/>
  <c r="F19" i="12"/>
  <c r="F23" i="12"/>
  <c r="F27" i="12"/>
  <c r="F31" i="12"/>
  <c r="F35" i="12"/>
  <c r="F18" i="12"/>
  <c r="F14" i="12"/>
  <c r="F30" i="12"/>
  <c r="F34" i="12"/>
  <c r="F8" i="12"/>
  <c r="F22" i="12"/>
  <c r="F38" i="12"/>
  <c r="F40" i="12"/>
  <c r="F10" i="12"/>
  <c r="F26" i="12"/>
  <c r="H10" i="12"/>
  <c r="H14" i="12"/>
  <c r="H18" i="12"/>
  <c r="H22" i="12"/>
  <c r="H26" i="12"/>
  <c r="H30" i="12"/>
  <c r="H34" i="12"/>
  <c r="H38" i="12"/>
  <c r="H9" i="12"/>
  <c r="H13" i="12"/>
  <c r="H17" i="12"/>
  <c r="H21" i="12"/>
  <c r="H25" i="12"/>
  <c r="H29" i="12"/>
  <c r="H33" i="12"/>
  <c r="H24" i="12"/>
  <c r="H40" i="12"/>
  <c r="H8" i="12"/>
  <c r="H20" i="12"/>
  <c r="H36" i="12"/>
  <c r="H32" i="12"/>
  <c r="H16" i="12"/>
  <c r="H11" i="12"/>
  <c r="H15" i="12"/>
  <c r="H19" i="12"/>
  <c r="H23" i="12"/>
  <c r="H27" i="12"/>
  <c r="H31" i="12"/>
  <c r="H35" i="12"/>
  <c r="H39" i="12"/>
  <c r="H12" i="12"/>
  <c r="H28" i="12"/>
  <c r="H37" i="12"/>
  <c r="E36" i="12"/>
  <c r="E40" i="12"/>
  <c r="E15" i="12"/>
  <c r="E31" i="12"/>
  <c r="E8" i="12"/>
  <c r="E23" i="12"/>
  <c r="E39" i="12"/>
  <c r="E19" i="12"/>
  <c r="E35" i="12"/>
  <c r="E9" i="12"/>
  <c r="E13" i="12"/>
  <c r="E17" i="12"/>
  <c r="E21" i="12"/>
  <c r="E25" i="12"/>
  <c r="E29" i="12"/>
  <c r="E33" i="12"/>
  <c r="E37" i="12"/>
  <c r="E11" i="12"/>
  <c r="E12" i="12"/>
  <c r="E16" i="12"/>
  <c r="E20" i="12"/>
  <c r="E24" i="12"/>
  <c r="E28" i="12"/>
  <c r="E32" i="12"/>
  <c r="E27" i="12"/>
  <c r="E10" i="12"/>
  <c r="E14" i="12"/>
  <c r="E18" i="12"/>
  <c r="E22" i="12"/>
  <c r="E26" i="12"/>
  <c r="E30" i="12"/>
  <c r="E34" i="12"/>
  <c r="E38" i="12"/>
  <c r="C38" i="12"/>
  <c r="C32" i="12"/>
  <c r="C33" i="12"/>
  <c r="C28" i="12"/>
  <c r="C25" i="12"/>
  <c r="C39" i="12"/>
  <c r="C15" i="12"/>
  <c r="C17" i="12"/>
  <c r="C24" i="12"/>
  <c r="I39" i="12"/>
  <c r="I40" i="12"/>
  <c r="I15" i="12"/>
  <c r="I31" i="12"/>
  <c r="I8" i="12"/>
  <c r="I10" i="12"/>
  <c r="I14" i="12"/>
  <c r="I18" i="12"/>
  <c r="I22" i="12"/>
  <c r="I26" i="12"/>
  <c r="I30" i="12"/>
  <c r="I34" i="12"/>
  <c r="I38" i="12"/>
  <c r="I12" i="12"/>
  <c r="I16" i="12"/>
  <c r="I20" i="12"/>
  <c r="I24" i="12"/>
  <c r="I28" i="12"/>
  <c r="I32" i="12"/>
  <c r="I11" i="12"/>
  <c r="I27" i="12"/>
  <c r="I19" i="12"/>
  <c r="I35" i="12"/>
  <c r="I23" i="12"/>
  <c r="I36" i="12"/>
  <c r="I9" i="12"/>
  <c r="I13" i="12"/>
  <c r="I17" i="12"/>
  <c r="I21" i="12"/>
  <c r="I25" i="12"/>
  <c r="I29" i="12"/>
  <c r="I33" i="12"/>
  <c r="I37" i="12"/>
  <c r="D11" i="12"/>
  <c r="D15" i="12"/>
  <c r="D19" i="12"/>
  <c r="D23" i="12"/>
  <c r="D27" i="12"/>
  <c r="D31" i="12"/>
  <c r="D35" i="12"/>
  <c r="D39" i="12"/>
  <c r="D24" i="12"/>
  <c r="D36" i="12"/>
  <c r="D10" i="12"/>
  <c r="D14" i="12"/>
  <c r="D18" i="12"/>
  <c r="D22" i="12"/>
  <c r="D26" i="12"/>
  <c r="D30" i="12"/>
  <c r="D34" i="12"/>
  <c r="D38" i="12"/>
  <c r="D9" i="12"/>
  <c r="D13" i="12"/>
  <c r="D17" i="12"/>
  <c r="D21" i="12"/>
  <c r="D25" i="12"/>
  <c r="D29" i="12"/>
  <c r="D33" i="12"/>
  <c r="D20" i="12"/>
  <c r="D16" i="12"/>
  <c r="D32" i="12"/>
  <c r="D37" i="12"/>
  <c r="D12" i="12"/>
  <c r="D28" i="12"/>
  <c r="D40" i="12"/>
  <c r="D8" i="12"/>
  <c r="C8" i="12"/>
  <c r="C37" i="12"/>
  <c r="C31" i="12"/>
  <c r="C14" i="12"/>
  <c r="C18" i="12"/>
  <c r="C20" i="12"/>
  <c r="C29" i="12"/>
  <c r="C11" i="12"/>
  <c r="K40" i="12"/>
  <c r="K8" i="12"/>
  <c r="K17" i="12"/>
  <c r="K33" i="12"/>
  <c r="K21" i="12"/>
  <c r="K12" i="12"/>
  <c r="K16" i="12"/>
  <c r="K20" i="12"/>
  <c r="K24" i="12"/>
  <c r="K28" i="12"/>
  <c r="K32" i="12"/>
  <c r="K36" i="12"/>
  <c r="K38" i="12"/>
  <c r="K37" i="12"/>
  <c r="K13" i="12"/>
  <c r="K29" i="12"/>
  <c r="K10" i="12"/>
  <c r="K14" i="12"/>
  <c r="K18" i="12"/>
  <c r="K22" i="12"/>
  <c r="K26" i="12"/>
  <c r="K30" i="12"/>
  <c r="K9" i="12"/>
  <c r="K25" i="12"/>
  <c r="K34" i="12"/>
  <c r="K11" i="12"/>
  <c r="K15" i="12"/>
  <c r="K19" i="12"/>
  <c r="K23" i="12"/>
  <c r="K27" i="12"/>
  <c r="K31" i="12"/>
  <c r="K35" i="12"/>
  <c r="K39" i="12"/>
  <c r="J12" i="12"/>
  <c r="J16" i="12"/>
  <c r="J20" i="12"/>
  <c r="J24" i="12"/>
  <c r="J28" i="12"/>
  <c r="J32" i="12"/>
  <c r="J36" i="12"/>
  <c r="J39" i="12"/>
  <c r="J11" i="12"/>
  <c r="J15" i="12"/>
  <c r="J19" i="12"/>
  <c r="J23" i="12"/>
  <c r="J27" i="12"/>
  <c r="J31" i="12"/>
  <c r="J10" i="12"/>
  <c r="J26" i="12"/>
  <c r="J35" i="12"/>
  <c r="J22" i="12"/>
  <c r="J38" i="12"/>
  <c r="J40" i="12"/>
  <c r="J9" i="12"/>
  <c r="J13" i="12"/>
  <c r="J17" i="12"/>
  <c r="J21" i="12"/>
  <c r="J25" i="12"/>
  <c r="J29" i="12"/>
  <c r="J33" i="12"/>
  <c r="J37" i="12"/>
  <c r="J18" i="12"/>
  <c r="J34" i="12"/>
  <c r="J30" i="12"/>
  <c r="J14" i="12"/>
  <c r="J8" i="12"/>
  <c r="G25" i="12"/>
  <c r="G40" i="12"/>
  <c r="G8" i="12"/>
  <c r="G38" i="12"/>
  <c r="G21" i="12"/>
  <c r="G37" i="12"/>
  <c r="G11" i="12"/>
  <c r="G15" i="12"/>
  <c r="G19" i="12"/>
  <c r="G23" i="12"/>
  <c r="G27" i="12"/>
  <c r="G31" i="12"/>
  <c r="G35" i="12"/>
  <c r="G39" i="12"/>
  <c r="G34" i="12"/>
  <c r="G9" i="12"/>
  <c r="G13" i="12"/>
  <c r="G29" i="12"/>
  <c r="G10" i="12"/>
  <c r="G14" i="12"/>
  <c r="G18" i="12"/>
  <c r="G22" i="12"/>
  <c r="G26" i="12"/>
  <c r="G30" i="12"/>
  <c r="G17" i="12"/>
  <c r="G33" i="12"/>
  <c r="G12" i="12"/>
  <c r="G16" i="12"/>
  <c r="G20" i="12"/>
  <c r="G24" i="12"/>
  <c r="G28" i="12"/>
  <c r="G32" i="12"/>
  <c r="G36" i="12"/>
  <c r="C19" i="12"/>
  <c r="C40" i="12"/>
  <c r="C10" i="12"/>
  <c r="C30" i="12"/>
  <c r="C34" i="12"/>
  <c r="C36" i="12"/>
  <c r="C21" i="12"/>
  <c r="C36" i="5"/>
  <c r="C17" i="5"/>
  <c r="C33" i="5"/>
  <c r="C24" i="5"/>
  <c r="C27" i="5"/>
  <c r="C30" i="5"/>
  <c r="C22" i="5"/>
  <c r="C29" i="5"/>
  <c r="C16" i="5"/>
  <c r="C34" i="5"/>
  <c r="C21" i="5"/>
  <c r="C28" i="5"/>
  <c r="K11" i="5"/>
  <c r="AC11" i="5" s="1"/>
  <c r="K13" i="5"/>
  <c r="AC13" i="5" s="1"/>
  <c r="K21" i="5"/>
  <c r="AC21" i="5" s="1"/>
  <c r="K25" i="5"/>
  <c r="AC25" i="5" s="1"/>
  <c r="K28" i="5"/>
  <c r="AC28" i="5" s="1"/>
  <c r="K27" i="5"/>
  <c r="AC27" i="5" s="1"/>
  <c r="K37" i="5"/>
  <c r="AC37" i="5" s="1"/>
  <c r="K16" i="5"/>
  <c r="AC16" i="5" s="1"/>
  <c r="K24" i="5"/>
  <c r="AC24" i="5" s="1"/>
  <c r="K32" i="5"/>
  <c r="AC32" i="5" s="1"/>
  <c r="K35" i="5"/>
  <c r="AC35" i="5" s="1"/>
  <c r="K20" i="5"/>
  <c r="AC20" i="5" s="1"/>
  <c r="K10" i="5"/>
  <c r="AC10" i="5" s="1"/>
  <c r="K14" i="5"/>
  <c r="AC14" i="5" s="1"/>
  <c r="K18" i="5"/>
  <c r="AC18" i="5" s="1"/>
  <c r="K22" i="5"/>
  <c r="AC22" i="5" s="1"/>
  <c r="K26" i="5"/>
  <c r="AC26" i="5" s="1"/>
  <c r="K30" i="5"/>
  <c r="AC30" i="5" s="1"/>
  <c r="K34" i="5"/>
  <c r="AC34" i="5" s="1"/>
  <c r="K38" i="5"/>
  <c r="AC38" i="5" s="1"/>
  <c r="K29" i="5"/>
  <c r="AC29" i="5" s="1"/>
  <c r="K33" i="5"/>
  <c r="AC33" i="5" s="1"/>
  <c r="K9" i="5"/>
  <c r="AC9" i="5" s="1"/>
  <c r="K39" i="5"/>
  <c r="AC39" i="5" s="1"/>
  <c r="K17" i="5"/>
  <c r="AC17" i="5" s="1"/>
  <c r="K15" i="5"/>
  <c r="AC15" i="5" s="1"/>
  <c r="K23" i="5"/>
  <c r="AC23" i="5" s="1"/>
  <c r="K19" i="5"/>
  <c r="AC19" i="5" s="1"/>
  <c r="K8" i="5"/>
  <c r="AC8" i="5" s="1"/>
  <c r="K31" i="5"/>
  <c r="AC31" i="5" s="1"/>
  <c r="K12" i="5"/>
  <c r="AC12" i="5" s="1"/>
  <c r="K36" i="5"/>
  <c r="AC36" i="5" s="1"/>
  <c r="G8" i="5"/>
  <c r="G25" i="5"/>
  <c r="G13" i="5"/>
  <c r="G12" i="5"/>
  <c r="G28" i="5"/>
  <c r="G20" i="5"/>
  <c r="G31" i="5"/>
  <c r="G16" i="5"/>
  <c r="G37" i="5"/>
  <c r="G24" i="5"/>
  <c r="G39" i="5"/>
  <c r="G17" i="5"/>
  <c r="G11" i="5"/>
  <c r="G21" i="5"/>
  <c r="G10" i="5"/>
  <c r="G14" i="5"/>
  <c r="G18" i="5"/>
  <c r="G22" i="5"/>
  <c r="G26" i="5"/>
  <c r="G30" i="5"/>
  <c r="G34" i="5"/>
  <c r="G38" i="5"/>
  <c r="G9" i="5"/>
  <c r="G19" i="5"/>
  <c r="G27" i="5"/>
  <c r="G15" i="5"/>
  <c r="G23" i="5"/>
  <c r="G32" i="5"/>
  <c r="G35" i="5"/>
  <c r="G36" i="5"/>
  <c r="G29" i="5"/>
  <c r="G33" i="5"/>
  <c r="H16" i="5"/>
  <c r="AA16" i="5" s="1"/>
  <c r="H35" i="5"/>
  <c r="AA35" i="5" s="1"/>
  <c r="H30" i="5"/>
  <c r="AA30" i="5" s="1"/>
  <c r="H34" i="5"/>
  <c r="AA34" i="5" s="1"/>
  <c r="H24" i="5"/>
  <c r="AA24" i="5" s="1"/>
  <c r="H28" i="5"/>
  <c r="AA28" i="5" s="1"/>
  <c r="H11" i="5"/>
  <c r="AA11" i="5" s="1"/>
  <c r="H36" i="5"/>
  <c r="AA36" i="5" s="1"/>
  <c r="H19" i="5"/>
  <c r="AA19" i="5" s="1"/>
  <c r="H27" i="5"/>
  <c r="AA27" i="5" s="1"/>
  <c r="H38" i="5"/>
  <c r="AA38" i="5" s="1"/>
  <c r="H18" i="5"/>
  <c r="AA18" i="5" s="1"/>
  <c r="H26" i="5"/>
  <c r="AA26" i="5" s="1"/>
  <c r="H31" i="5"/>
  <c r="AA31" i="5" s="1"/>
  <c r="H39" i="5"/>
  <c r="AA39" i="5" s="1"/>
  <c r="H23" i="5"/>
  <c r="AA23" i="5" s="1"/>
  <c r="H12" i="5"/>
  <c r="AA12" i="5" s="1"/>
  <c r="H10" i="5"/>
  <c r="AA10" i="5" s="1"/>
  <c r="H20" i="5"/>
  <c r="AA20" i="5" s="1"/>
  <c r="H15" i="5"/>
  <c r="AA15" i="5" s="1"/>
  <c r="H32" i="5"/>
  <c r="AA32" i="5" s="1"/>
  <c r="H8" i="5"/>
  <c r="AA8" i="5" s="1"/>
  <c r="H9" i="5"/>
  <c r="AA9" i="5" s="1"/>
  <c r="H13" i="5"/>
  <c r="AA13" i="5" s="1"/>
  <c r="H17" i="5"/>
  <c r="AA17" i="5" s="1"/>
  <c r="H21" i="5"/>
  <c r="AA21" i="5" s="1"/>
  <c r="H25" i="5"/>
  <c r="AA25" i="5" s="1"/>
  <c r="H29" i="5"/>
  <c r="AA29" i="5" s="1"/>
  <c r="H33" i="5"/>
  <c r="AA33" i="5" s="1"/>
  <c r="H37" i="5"/>
  <c r="AA37" i="5" s="1"/>
  <c r="H14" i="5"/>
  <c r="AA14" i="5" s="1"/>
  <c r="H22" i="5"/>
  <c r="AA22" i="5" s="1"/>
  <c r="E39" i="5"/>
  <c r="E19" i="5"/>
  <c r="E21" i="5"/>
  <c r="E29" i="5"/>
  <c r="E17" i="5"/>
  <c r="E25" i="5"/>
  <c r="E31" i="5"/>
  <c r="E34" i="5"/>
  <c r="E37" i="5"/>
  <c r="E26" i="5"/>
  <c r="E33" i="5"/>
  <c r="E10" i="5"/>
  <c r="E35" i="5"/>
  <c r="E11" i="5"/>
  <c r="E18" i="5"/>
  <c r="E30" i="5"/>
  <c r="E9" i="5"/>
  <c r="E13" i="5"/>
  <c r="E12" i="5"/>
  <c r="E16" i="5"/>
  <c r="E20" i="5"/>
  <c r="E24" i="5"/>
  <c r="E28" i="5"/>
  <c r="E32" i="5"/>
  <c r="E36" i="5"/>
  <c r="E15" i="5"/>
  <c r="E23" i="5"/>
  <c r="E8" i="5"/>
  <c r="E14" i="5"/>
  <c r="E22" i="5"/>
  <c r="E27" i="5"/>
  <c r="E38" i="5"/>
  <c r="C9" i="5"/>
  <c r="C35" i="5"/>
  <c r="C10" i="5"/>
  <c r="C15" i="5"/>
  <c r="C18" i="5"/>
  <c r="C23" i="5"/>
  <c r="C37" i="5"/>
  <c r="I9" i="5"/>
  <c r="I13" i="5"/>
  <c r="I19" i="5"/>
  <c r="I17" i="5"/>
  <c r="I25" i="5"/>
  <c r="I21" i="5"/>
  <c r="I8" i="5"/>
  <c r="I14" i="5"/>
  <c r="I12" i="5"/>
  <c r="I16" i="5"/>
  <c r="I20" i="5"/>
  <c r="I24" i="5"/>
  <c r="I28" i="5"/>
  <c r="I32" i="5"/>
  <c r="I36" i="5"/>
  <c r="I10" i="5"/>
  <c r="I30" i="5"/>
  <c r="I33" i="5"/>
  <c r="I37" i="5"/>
  <c r="I29" i="5"/>
  <c r="I39" i="5"/>
  <c r="I22" i="5"/>
  <c r="I11" i="5"/>
  <c r="I15" i="5"/>
  <c r="I23" i="5"/>
  <c r="I35" i="5"/>
  <c r="I27" i="5"/>
  <c r="I18" i="5"/>
  <c r="I26" i="5"/>
  <c r="I31" i="5"/>
  <c r="I34" i="5"/>
  <c r="I38" i="5"/>
  <c r="D9" i="5"/>
  <c r="D13" i="5"/>
  <c r="D17" i="5"/>
  <c r="D21" i="5"/>
  <c r="D25" i="5"/>
  <c r="D29" i="5"/>
  <c r="D33" i="5"/>
  <c r="D37" i="5"/>
  <c r="D38" i="5"/>
  <c r="D19" i="5"/>
  <c r="D11" i="5"/>
  <c r="D28" i="5"/>
  <c r="D12" i="5"/>
  <c r="D8" i="5"/>
  <c r="D36" i="5"/>
  <c r="D15" i="5"/>
  <c r="D23" i="5"/>
  <c r="D10" i="5"/>
  <c r="D20" i="5"/>
  <c r="D14" i="5"/>
  <c r="D22" i="5"/>
  <c r="D16" i="5"/>
  <c r="D24" i="5"/>
  <c r="D32" i="5"/>
  <c r="D30" i="5"/>
  <c r="D35" i="5"/>
  <c r="D27" i="5"/>
  <c r="D39" i="5"/>
  <c r="D18" i="5"/>
  <c r="D26" i="5"/>
  <c r="D34" i="5"/>
  <c r="D31" i="5"/>
  <c r="J38" i="5"/>
  <c r="AB38" i="5" s="1"/>
  <c r="J39" i="5"/>
  <c r="AB39" i="5" s="1"/>
  <c r="J16" i="5"/>
  <c r="AB16" i="5" s="1"/>
  <c r="J24" i="5"/>
  <c r="AB24" i="5" s="1"/>
  <c r="J32" i="5"/>
  <c r="AB32" i="5" s="1"/>
  <c r="J8" i="5"/>
  <c r="AB8" i="5" s="1"/>
  <c r="J20" i="5"/>
  <c r="AB20" i="5" s="1"/>
  <c r="J36" i="5"/>
  <c r="AB36" i="5" s="1"/>
  <c r="J35" i="5"/>
  <c r="AB35" i="5" s="1"/>
  <c r="J22" i="5"/>
  <c r="AB22" i="5" s="1"/>
  <c r="J30" i="5"/>
  <c r="AB30" i="5" s="1"/>
  <c r="J33" i="5"/>
  <c r="AB33" i="5" s="1"/>
  <c r="J18" i="5"/>
  <c r="AB18" i="5" s="1"/>
  <c r="J12" i="5"/>
  <c r="AB12" i="5" s="1"/>
  <c r="J26" i="5"/>
  <c r="AB26" i="5" s="1"/>
  <c r="J10" i="5"/>
  <c r="AB10" i="5" s="1"/>
  <c r="J9" i="5"/>
  <c r="AB9" i="5" s="1"/>
  <c r="J21" i="5"/>
  <c r="AB21" i="5" s="1"/>
  <c r="J13" i="5"/>
  <c r="AB13" i="5" s="1"/>
  <c r="J11" i="5"/>
  <c r="AB11" i="5" s="1"/>
  <c r="J15" i="5"/>
  <c r="AB15" i="5" s="1"/>
  <c r="J19" i="5"/>
  <c r="AB19" i="5" s="1"/>
  <c r="J23" i="5"/>
  <c r="AB23" i="5" s="1"/>
  <c r="J27" i="5"/>
  <c r="AB27" i="5" s="1"/>
  <c r="J31" i="5"/>
  <c r="AB31" i="5" s="1"/>
  <c r="J14" i="5"/>
  <c r="AB14" i="5" s="1"/>
  <c r="J34" i="5"/>
  <c r="AB34" i="5" s="1"/>
  <c r="J37" i="5"/>
  <c r="AB37" i="5" s="1"/>
  <c r="J29" i="5"/>
  <c r="AB29" i="5" s="1"/>
  <c r="J17" i="5"/>
  <c r="AB17" i="5" s="1"/>
  <c r="J25" i="5"/>
  <c r="AB25" i="5" s="1"/>
  <c r="J28" i="5"/>
  <c r="AB28" i="5" s="1"/>
  <c r="F11" i="5"/>
  <c r="F15" i="5"/>
  <c r="F19" i="5"/>
  <c r="F23" i="5"/>
  <c r="F27" i="5"/>
  <c r="F31" i="5"/>
  <c r="F35" i="5"/>
  <c r="F10" i="5"/>
  <c r="F33" i="5"/>
  <c r="F13" i="5"/>
  <c r="F8" i="5"/>
  <c r="F18" i="5"/>
  <c r="F20" i="5"/>
  <c r="F36" i="5"/>
  <c r="F16" i="5"/>
  <c r="F24" i="5"/>
  <c r="F28" i="5"/>
  <c r="F9" i="5"/>
  <c r="F32" i="5"/>
  <c r="F30" i="5"/>
  <c r="F17" i="5"/>
  <c r="F12" i="5"/>
  <c r="F14" i="5"/>
  <c r="F26" i="5"/>
  <c r="F37" i="5"/>
  <c r="F39" i="5"/>
  <c r="F25" i="5"/>
  <c r="F38" i="5"/>
  <c r="F34" i="5"/>
  <c r="F29" i="5"/>
  <c r="F22" i="5"/>
  <c r="F21" i="5"/>
  <c r="J17" i="2"/>
  <c r="J21" i="2"/>
  <c r="J10" i="2"/>
  <c r="J13" i="2"/>
  <c r="J19" i="2"/>
  <c r="J18" i="2"/>
  <c r="J14" i="2"/>
  <c r="J16" i="2"/>
  <c r="J8" i="2"/>
  <c r="J20" i="2"/>
  <c r="J12" i="2"/>
  <c r="G21" i="2"/>
  <c r="G20" i="2"/>
  <c r="G10" i="2"/>
  <c r="G13" i="2"/>
  <c r="G12" i="2"/>
  <c r="G15" i="2"/>
  <c r="G18" i="2"/>
  <c r="G9" i="2"/>
  <c r="G22" i="2"/>
  <c r="G11" i="2"/>
  <c r="G14" i="2"/>
  <c r="G17" i="2"/>
  <c r="G16" i="2"/>
  <c r="G19" i="2"/>
  <c r="G8" i="2"/>
  <c r="C14" i="2"/>
  <c r="C11" i="2"/>
  <c r="C9" i="2"/>
  <c r="C21" i="2"/>
  <c r="C10" i="2"/>
  <c r="C13" i="2"/>
  <c r="C18" i="2"/>
  <c r="C22" i="2"/>
  <c r="C20" i="2"/>
  <c r="C16" i="2"/>
  <c r="C19" i="2"/>
  <c r="C15" i="2"/>
  <c r="C17" i="2"/>
  <c r="C8" i="2"/>
  <c r="C12" i="2"/>
  <c r="H15" i="2"/>
  <c r="H19" i="2"/>
  <c r="H17" i="2"/>
  <c r="H16" i="2"/>
  <c r="H21" i="2"/>
  <c r="H9" i="2"/>
  <c r="H22" i="2"/>
  <c r="H8" i="2"/>
  <c r="H20" i="2"/>
  <c r="H18" i="2"/>
  <c r="H14" i="2"/>
  <c r="H10" i="2"/>
  <c r="H13" i="2"/>
  <c r="H12" i="2"/>
  <c r="H11" i="2"/>
  <c r="D14" i="2"/>
  <c r="D12" i="2"/>
  <c r="D15" i="2"/>
  <c r="D17" i="2"/>
  <c r="D8" i="2"/>
  <c r="D20" i="2"/>
  <c r="D9" i="2"/>
  <c r="D18" i="2"/>
  <c r="D16" i="2"/>
  <c r="D19" i="2"/>
  <c r="D21" i="2"/>
  <c r="D10" i="2"/>
  <c r="D22" i="2"/>
  <c r="D11" i="2"/>
  <c r="D13" i="2"/>
  <c r="J15" i="2"/>
  <c r="J11" i="2"/>
  <c r="J22" i="2"/>
  <c r="I21" i="2"/>
  <c r="I20" i="2"/>
  <c r="I10" i="2"/>
  <c r="I17" i="2"/>
  <c r="I16" i="2"/>
  <c r="I19" i="2"/>
  <c r="I8" i="2"/>
  <c r="I13" i="2"/>
  <c r="I12" i="2"/>
  <c r="I15" i="2"/>
  <c r="I18" i="2"/>
  <c r="I9" i="2"/>
  <c r="I22" i="2"/>
  <c r="I11" i="2"/>
  <c r="I14" i="2"/>
  <c r="E18" i="2"/>
  <c r="E13" i="2"/>
  <c r="E19" i="2"/>
  <c r="E20" i="2"/>
  <c r="E10" i="2"/>
  <c r="E15" i="2"/>
  <c r="E21" i="2"/>
  <c r="E12" i="2"/>
  <c r="E8" i="2"/>
  <c r="E17" i="2"/>
  <c r="E22" i="2"/>
  <c r="E14" i="2"/>
  <c r="E9" i="2"/>
  <c r="E11" i="2"/>
  <c r="E16" i="2"/>
  <c r="F18" i="2"/>
  <c r="F17" i="2"/>
  <c r="F16" i="2"/>
  <c r="F19" i="2"/>
  <c r="F14" i="2"/>
  <c r="F13" i="2"/>
  <c r="F12" i="2"/>
  <c r="F15" i="2"/>
  <c r="F10" i="2"/>
  <c r="F9" i="2"/>
  <c r="F22" i="2"/>
  <c r="F11" i="2"/>
  <c r="F21" i="2"/>
  <c r="F8" i="2"/>
  <c r="F20" i="2"/>
  <c r="K22" i="2"/>
  <c r="K11" i="2"/>
  <c r="K17" i="2"/>
  <c r="K8" i="2"/>
  <c r="K10" i="2"/>
  <c r="K15" i="2"/>
  <c r="K21" i="2"/>
  <c r="K9" i="2"/>
  <c r="K14" i="2"/>
  <c r="K19" i="2"/>
  <c r="K13" i="2"/>
  <c r="K18" i="2"/>
  <c r="K12" i="2"/>
  <c r="K16" i="2"/>
  <c r="K20" i="2"/>
</calcChain>
</file>

<file path=xl/sharedStrings.xml><?xml version="1.0" encoding="utf-8"?>
<sst xmlns="http://schemas.openxmlformats.org/spreadsheetml/2006/main" count="283" uniqueCount="205">
  <si>
    <t>Ayrshire &amp; Arran</t>
  </si>
  <si>
    <t>Borders</t>
  </si>
  <si>
    <t>Dumfries &amp; Galloway</t>
  </si>
  <si>
    <t>Fife</t>
  </si>
  <si>
    <t>Forth Valley</t>
  </si>
  <si>
    <t>Grampian</t>
  </si>
  <si>
    <t>Greater Glasgow &amp; Clyde</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</si>
  <si>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</si>
  <si>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</si>
  <si>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</si>
  <si>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</si>
  <si>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</si>
  <si>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</si>
  <si>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</si>
  <si>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</si>
  <si>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</si>
  <si>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</si>
  <si>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</si>
  <si>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</si>
  <si>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</si>
  <si>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</si>
  <si>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</si>
  <si>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</si>
  <si>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</si>
  <si>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</si>
  <si>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</si>
  <si>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</si>
  <si>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</si>
  <si>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</si>
  <si>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</si>
  <si>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</si>
  <si>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</si>
  <si>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</si>
  <si>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</si>
  <si>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</si>
  <si>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</si>
  <si>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</si>
  <si>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</si>
  <si>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</si>
  <si>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</si>
  <si>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</si>
  <si>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</si>
  <si>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</si>
  <si>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</si>
  <si>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</si>
  <si>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</si>
  <si>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</si>
  <si>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</si>
  <si>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</si>
  <si>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</si>
  <si>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</si>
  <si>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</si>
  <si>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</si>
  <si>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</si>
  <si>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</si>
  <si>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</si>
  <si>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</si>
  <si>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</si>
  <si>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</si>
  <si>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</si>
  <si>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</si>
  <si>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</si>
  <si>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</si>
  <si>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</si>
  <si>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</si>
  <si>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</si>
  <si>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</si>
  <si>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</si>
  <si>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</si>
  <si>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</si>
  <si>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</si>
  <si>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</si>
  <si>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</si>
  <si>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</si>
  <si>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</si>
  <si>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</si>
  <si>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</si>
  <si>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</si>
  <si>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</si>
  <si>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</si>
  <si>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</si>
  <si>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</si>
  <si>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</si>
  <si>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</si>
  <si>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</si>
  <si>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</si>
  <si>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</si>
  <si>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</si>
  <si>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</si>
  <si>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</si>
  <si>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</si>
  <si>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</si>
  <si>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</si>
  <si>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</si>
  <si>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</si>
  <si>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</si>
  <si>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Argyll &amp; Bute</t>
  </si>
  <si>
    <t>Dundee City</t>
  </si>
  <si>
    <t>East Ayrshire</t>
  </si>
  <si>
    <t>East Dunbartonshire</t>
  </si>
  <si>
    <t>East Lothian</t>
  </si>
  <si>
    <t>East Renfrewshire</t>
  </si>
  <si>
    <t>Falkirk</t>
  </si>
  <si>
    <t>Inverclyde</t>
  </si>
  <si>
    <t>Midlothian</t>
  </si>
  <si>
    <t>Moray</t>
  </si>
  <si>
    <t>North Ayrshire</t>
  </si>
  <si>
    <t>North Lanarkshire</t>
  </si>
  <si>
    <t>Orkney Islands</t>
  </si>
  <si>
    <t>Perth &amp; Kinross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</si>
  <si>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</si>
  <si>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</si>
  <si>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</si>
  <si>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</si>
  <si>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</si>
  <si>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</si>
  <si>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</si>
  <si>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</si>
  <si>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</si>
  <si>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</si>
  <si>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</si>
  <si>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</si>
  <si>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</si>
  <si>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</si>
  <si>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</si>
  <si>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</si>
  <si>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</si>
  <si>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</si>
  <si>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</si>
  <si>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</si>
  <si>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</si>
  <si>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</si>
  <si>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</si>
  <si>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</si>
  <si>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</si>
  <si>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</si>
  <si>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</si>
  <si>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</si>
  <si>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</si>
  <si>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</si>
  <si>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</si>
  <si>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</si>
  <si>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</si>
  <si>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</si>
  <si>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</si>
  <si>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</si>
  <si>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</si>
  <si>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</si>
  <si>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</si>
  <si>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</si>
  <si>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</si>
  <si>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</si>
  <si>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</si>
  <si>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</si>
  <si>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</si>
  <si>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</si>
  <si>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</si>
  <si>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</si>
  <si>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</si>
  <si>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</si>
  <si>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</si>
  <si>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</si>
  <si>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</si>
  <si>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</si>
  <si>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</si>
  <si>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</si>
  <si>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</si>
  <si>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</si>
  <si>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r>
      <t>(Local Authority)</t>
    </r>
    <r>
      <rPr>
        <b/>
        <vertAlign val="superscript"/>
        <sz val="12"/>
        <color indexed="12"/>
        <rFont val="Arial"/>
        <family val="2"/>
      </rPr>
      <t>1</t>
    </r>
  </si>
  <si>
    <t xml:space="preserve">                               Financial Year Ending 31st March </t>
  </si>
  <si>
    <t>Local Authority</t>
  </si>
  <si>
    <t>Clackmannanshire</t>
  </si>
  <si>
    <t>Stirling</t>
  </si>
  <si>
    <t>Table 3: Percentage of time in the last six months of life spent at home or in a community setting (by Local Authority)</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</si>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</sst>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u/>
      <sz val="10"/>
      <color rgb="FF0000FF"/>
      <name val="Arial"/>
      <family val="2"/>
    </font>
    <font>
      <b/>
      <sz val="12"/>
      <color rgb="FFFF0000"/>
      <name val="Arial"/>
      <family val="2"/>
    </font>
    <font>
      <sz val="10"/>
      <name val="Arial"/>
    </font>
    <font>
      <sz val="10"/>
      <color theme="0"/>
      <name val="Arial"/>
      <family val="2"/>
    </font>
  </fonts>
  <fills count="2">
    <fill>
      <patternFill patternType="none"/>
    </fill>
    <fill>
      <patternFill patternType="gray125"/>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1" fillId="0" borderId="0"/>
  </cellStyleXfs>
  <cellXfs count="98">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2" fillId="0" borderId="0" xfId="0" applyFont="1" applyFill="1"/>
    <xf numFmtId="0" fontId="2" fillId="0" borderId="0" xfId="0" applyFont="1" applyFill="1"/>
    <xf numFmtId="0" fontId="3" fillId="0" borderId="0" xfId="0" applyFont="1" applyFill="1"/>
    <xf numFmtId="0" fontId="6" fillId="0" borderId="0" xfId="0" applyFont="1" applyFill="1"/>
    <xf numFmtId="0" fontId="4" fillId="0" borderId="0" xfId="1" applyFont="1" applyFill="1" applyAlignment="1" applyProtection="1"/>
    <xf numFmtId="0" fontId="12" fillId="0" borderId="0" xfId="0" applyFont="1" applyFill="1"/>
    <xf numFmtId="0" fontId="19" fillId="0" borderId="0" xfId="1" applyFont="1" applyFill="1" applyBorder="1" applyAlignment="1" applyProtection="1"/>
    <xf numFmtId="0" fontId="1" fillId="0" borderId="0" xfId="0" applyFont="1" applyFill="1"/>
    <xf numFmtId="49" fontId="0" fillId="0" borderId="0" xfId="0" applyNumberFormat="1" applyFill="1" applyAlignment="1">
      <alignment vertical="top"/>
    </xf>
    <xf numFmtId="0" fontId="4" fillId="0" borderId="0" xfId="1" applyFill="1" applyAlignment="1" applyProtection="1">
      <alignment horizontal="left"/>
    </xf>
    <xf numFmtId="0" fontId="0" fillId="0" borderId="0" xfId="0" applyFill="1" applyAlignment="1">
      <alignment horizontal="left" wrapText="1"/>
    </xf>
    <xf numFmtId="49" fontId="6" fillId="0" borderId="0" xfId="0" applyNumberFormat="1" applyFont="1" applyFill="1" applyAlignment="1">
      <alignment vertical="top"/>
    </xf>
    <xf numFmtId="0" fontId="0" fillId="0" borderId="0" xfId="0" applyFill="1" applyAlignment="1">
      <alignment horizontal="left"/>
    </xf>
    <xf numFmtId="49" fontId="6" fillId="0" borderId="0" xfId="0" applyNumberFormat="1" applyFont="1" applyFill="1"/>
    <xf numFmtId="49" fontId="0" fillId="0" borderId="0" xfId="0" applyNumberFormat="1" applyFill="1"/>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2"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5" fillId="0" borderId="0" xfId="0" applyFont="1" applyFill="1" applyAlignment="1"/>
    <xf numFmtId="0" fontId="18" fillId="0" borderId="0" xfId="0" applyFont="1" applyFill="1"/>
    <xf numFmtId="0" fontId="15" fillId="0" borderId="0" xfId="1" applyFont="1" applyFill="1" applyAlignment="1" applyProtection="1"/>
    <xf numFmtId="0" fontId="10" fillId="0" borderId="0" xfId="0" applyFont="1" applyFill="1"/>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20" fillId="0" borderId="0" xfId="0" applyFont="1" applyFill="1" applyAlignment="1">
      <alignment horizontal="left" wrapText="1"/>
    </xf>
    <xf numFmtId="0" fontId="6" fillId="0" borderId="0" xfId="0" applyFont="1" applyFill="1" applyAlignment="1">
      <alignment horizontal="left" wrapText="1"/>
    </xf>
    <xf numFmtId="0" fontId="0" fillId="0" borderId="0" xfId="0"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36</xdr:row>
      <xdr:rowOff>95251</xdr:rowOff>
    </xdr:to>
    <xdr:sp macro="" textlink="">
      <xdr:nvSpPr>
        <xdr:cNvPr id="3" name="Text Box 1"/>
        <xdr:cNvSpPr txBox="1">
          <a:spLocks noChangeArrowheads="1"/>
        </xdr:cNvSpPr>
      </xdr:nvSpPr>
      <xdr:spPr bwMode="auto">
        <a:xfrm>
          <a:off x="381000" y="3648076"/>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otland.gov.uk/Topics/Statistics/SIM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7.bin"/><Relationship Id="rId4" Type="http://schemas.openxmlformats.org/officeDocument/2006/relationships/hyperlink" Target="http://www.gov.scot/Topics/Statistics/About/Methodology/UrbanRuralClassification"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7"/>
  <sheetViews>
    <sheetView showGridLines="0" tabSelected="1" zoomScaleNormal="100" workbookViewId="0"/>
  </sheetViews>
  <sheetFormatPr defaultRowHeight="12.75" x14ac:dyDescent="0.2"/>
  <cols>
    <col min="1" max="1" width="1.7109375" style="3" customWidth="1"/>
    <col min="2" max="2" width="3.42578125" style="3" customWidth="1"/>
    <col min="3" max="16384" width="9.140625" style="3"/>
  </cols>
  <sheetData>
    <row r="1" spans="2:16" ht="15.75" x14ac:dyDescent="0.25">
      <c r="B1" s="89" t="str">
        <f>""</f>
        <v/>
      </c>
      <c r="C1" s="89"/>
      <c r="D1" s="89"/>
      <c r="E1" s="89"/>
      <c r="F1" s="89"/>
      <c r="G1" s="89"/>
      <c r="H1" s="89"/>
      <c r="I1" s="89"/>
      <c r="J1" s="89"/>
      <c r="K1" s="89"/>
      <c r="L1" s="89"/>
      <c r="M1" s="89"/>
      <c r="N1" s="89"/>
      <c r="O1" s="89"/>
    </row>
    <row r="2" spans="2:16" ht="15.75" customHeight="1" x14ac:dyDescent="0.25">
      <c r="B2" s="39" t="s">
        <v>119</v>
      </c>
    </row>
    <row r="4" spans="2:16" x14ac:dyDescent="0.2">
      <c r="B4" s="40" t="s">
        <v>159</v>
      </c>
    </row>
    <row r="5" spans="2:16" x14ac:dyDescent="0.2">
      <c r="B5" s="41"/>
      <c r="C5" s="41"/>
      <c r="D5" s="41"/>
      <c r="E5" s="41"/>
      <c r="F5" s="41"/>
      <c r="G5" s="41"/>
      <c r="H5" s="41"/>
      <c r="I5" s="41"/>
      <c r="J5" s="41"/>
      <c r="K5" s="41"/>
      <c r="L5" s="41"/>
      <c r="M5" s="41"/>
      <c r="N5" s="41"/>
      <c r="O5" s="41"/>
      <c r="P5" s="41"/>
    </row>
    <row r="6" spans="2:16" x14ac:dyDescent="0.2">
      <c r="B6" s="19" t="s">
        <v>143</v>
      </c>
      <c r="O6" s="42"/>
      <c r="P6" s="41"/>
    </row>
    <row r="7" spans="2:16" x14ac:dyDescent="0.2">
      <c r="B7" s="19" t="s">
        <v>153</v>
      </c>
      <c r="O7" s="42"/>
      <c r="P7" s="41"/>
    </row>
    <row r="8" spans="2:16" s="43" customFormat="1" ht="15" x14ac:dyDescent="0.2">
      <c r="B8" s="44" t="s">
        <v>173</v>
      </c>
      <c r="C8" s="3"/>
      <c r="D8" s="3"/>
      <c r="E8" s="3"/>
      <c r="F8" s="3"/>
      <c r="G8" s="3"/>
      <c r="H8" s="3"/>
      <c r="I8" s="3"/>
      <c r="J8" s="3"/>
      <c r="K8" s="3"/>
      <c r="L8" s="3"/>
      <c r="M8" s="3"/>
      <c r="N8" s="3"/>
      <c r="O8" s="3"/>
      <c r="P8" s="41"/>
    </row>
    <row r="9" spans="2:16" x14ac:dyDescent="0.2">
      <c r="B9" s="19" t="s">
        <v>174</v>
      </c>
      <c r="P9" s="41"/>
    </row>
    <row r="10" spans="2:16" x14ac:dyDescent="0.2">
      <c r="B10" s="19" t="s">
        <v>175</v>
      </c>
      <c r="C10" s="19"/>
      <c r="D10" s="19"/>
      <c r="E10" s="19"/>
      <c r="F10" s="19"/>
      <c r="G10" s="19"/>
      <c r="H10" s="19"/>
      <c r="I10" s="19"/>
      <c r="J10" s="19"/>
      <c r="K10" s="19"/>
      <c r="L10" s="19"/>
      <c r="M10" s="19"/>
      <c r="N10" s="19"/>
      <c r="O10" s="19"/>
      <c r="P10" s="41"/>
    </row>
    <row r="11" spans="2:16" x14ac:dyDescent="0.2">
      <c r="B11" s="19" t="s">
        <v>176</v>
      </c>
      <c r="C11" s="19"/>
      <c r="D11" s="19"/>
      <c r="E11" s="19"/>
      <c r="F11" s="19"/>
      <c r="G11" s="19"/>
      <c r="H11" s="19"/>
      <c r="I11" s="19"/>
      <c r="J11" s="19"/>
      <c r="K11" s="19"/>
      <c r="L11" s="19"/>
      <c r="M11" s="19"/>
      <c r="N11" s="19"/>
      <c r="O11" s="19"/>
      <c r="P11" s="41"/>
    </row>
    <row r="13" spans="2:16" x14ac:dyDescent="0.2">
      <c r="B13" s="45" t="s">
        <v>118</v>
      </c>
    </row>
    <row r="14" spans="2:16" x14ac:dyDescent="0.2">
      <c r="B14" s="45"/>
    </row>
    <row r="15" spans="2:16" ht="38.25" customHeight="1" x14ac:dyDescent="0.2">
      <c r="B15" s="46" t="s">
        <v>17</v>
      </c>
      <c r="C15" s="90"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5" s="91"/>
      <c r="E15" s="91"/>
      <c r="F15" s="91"/>
      <c r="G15" s="91"/>
      <c r="H15" s="91"/>
      <c r="I15" s="91"/>
      <c r="J15" s="91"/>
      <c r="K15" s="91"/>
      <c r="L15" s="91"/>
      <c r="M15" s="91"/>
      <c r="N15" s="91"/>
      <c r="O15" s="91"/>
      <c r="P15" s="91"/>
    </row>
    <row r="16" spans="2:16" x14ac:dyDescent="0.2">
      <c r="B16" s="46"/>
      <c r="C16" s="47" t="s">
        <v>167</v>
      </c>
      <c r="D16" s="48"/>
      <c r="E16" s="48"/>
      <c r="F16" s="48"/>
      <c r="G16" s="48"/>
      <c r="H16" s="48"/>
      <c r="I16" s="48"/>
      <c r="J16" s="48"/>
      <c r="K16" s="48"/>
      <c r="L16" s="48"/>
      <c r="M16" s="48"/>
      <c r="N16" s="48"/>
      <c r="O16" s="48"/>
      <c r="P16" s="48"/>
    </row>
    <row r="17" spans="2:16" x14ac:dyDescent="0.2">
      <c r="C17" s="90"/>
      <c r="D17" s="91"/>
      <c r="E17" s="91"/>
      <c r="F17" s="91"/>
      <c r="G17" s="91"/>
      <c r="H17" s="91"/>
      <c r="I17" s="91"/>
      <c r="J17" s="91"/>
      <c r="K17" s="91"/>
      <c r="L17" s="91"/>
      <c r="M17" s="91"/>
      <c r="N17" s="91"/>
      <c r="O17" s="91"/>
      <c r="P17" s="91"/>
    </row>
    <row r="18" spans="2:16" ht="24.75" customHeight="1" x14ac:dyDescent="0.2">
      <c r="B18" s="49" t="s">
        <v>90</v>
      </c>
      <c r="C18" s="90" t="s">
        <v>149</v>
      </c>
      <c r="D18" s="91"/>
      <c r="E18" s="91"/>
      <c r="F18" s="91"/>
      <c r="G18" s="91"/>
      <c r="H18" s="91"/>
      <c r="I18" s="91"/>
      <c r="J18" s="91"/>
      <c r="K18" s="91"/>
      <c r="L18" s="91"/>
      <c r="M18" s="91"/>
      <c r="N18" s="91"/>
      <c r="O18" s="91"/>
      <c r="P18" s="91"/>
    </row>
    <row r="19" spans="2:16" ht="12.75" customHeight="1" x14ac:dyDescent="0.2">
      <c r="B19" s="46"/>
      <c r="C19" s="48"/>
      <c r="D19" s="48"/>
      <c r="E19" s="48"/>
      <c r="F19" s="48"/>
      <c r="G19" s="48"/>
      <c r="H19" s="48"/>
      <c r="I19" s="48"/>
      <c r="J19" s="48"/>
      <c r="K19" s="48"/>
      <c r="L19" s="48"/>
      <c r="M19" s="48"/>
      <c r="N19" s="48"/>
      <c r="O19" s="48"/>
      <c r="P19" s="48"/>
    </row>
    <row r="20" spans="2:16" ht="12.75" customHeight="1" x14ac:dyDescent="0.2">
      <c r="B20" s="46"/>
      <c r="C20" s="48"/>
      <c r="D20" s="48"/>
      <c r="E20" s="48"/>
      <c r="F20" s="48"/>
      <c r="G20" s="48"/>
      <c r="H20" s="48"/>
      <c r="I20" s="48"/>
      <c r="J20" s="48"/>
      <c r="K20" s="48"/>
      <c r="L20" s="48"/>
      <c r="M20" s="48"/>
      <c r="N20" s="48"/>
      <c r="O20" s="48"/>
      <c r="P20" s="48"/>
    </row>
    <row r="21" spans="2:16" ht="12.75" customHeight="1" x14ac:dyDescent="0.2">
      <c r="B21" s="46"/>
      <c r="C21" s="48"/>
      <c r="D21" s="48"/>
      <c r="E21" s="48"/>
      <c r="F21" s="48"/>
      <c r="G21" s="48"/>
      <c r="H21" s="48"/>
      <c r="I21" s="48"/>
      <c r="J21" s="48"/>
      <c r="K21" s="48"/>
      <c r="L21" s="48"/>
      <c r="M21" s="48"/>
      <c r="N21" s="48"/>
      <c r="O21" s="48"/>
      <c r="P21" s="48"/>
    </row>
    <row r="22" spans="2:16" ht="12.75" customHeight="1" x14ac:dyDescent="0.2">
      <c r="B22" s="46"/>
      <c r="C22" s="48"/>
      <c r="D22" s="48"/>
      <c r="E22" s="48"/>
      <c r="F22" s="48"/>
      <c r="G22" s="48"/>
      <c r="H22" s="48"/>
      <c r="I22" s="48"/>
      <c r="J22" s="48"/>
      <c r="K22" s="48"/>
      <c r="L22" s="48"/>
      <c r="M22" s="48"/>
      <c r="N22" s="48"/>
      <c r="O22" s="48"/>
      <c r="P22" s="48"/>
    </row>
    <row r="23" spans="2:16" ht="12.75" customHeight="1" x14ac:dyDescent="0.2">
      <c r="B23" s="46"/>
      <c r="C23" s="48"/>
      <c r="D23" s="48"/>
      <c r="E23" s="48"/>
      <c r="F23" s="48"/>
      <c r="G23" s="48"/>
      <c r="H23" s="48"/>
      <c r="I23" s="48"/>
      <c r="J23" s="48"/>
      <c r="K23" s="48"/>
      <c r="L23" s="48"/>
      <c r="M23" s="48"/>
      <c r="N23" s="48"/>
      <c r="O23" s="48"/>
      <c r="P23" s="48"/>
    </row>
    <row r="24" spans="2:16" ht="12.75" customHeight="1" x14ac:dyDescent="0.2">
      <c r="B24" s="46"/>
      <c r="C24" s="48"/>
      <c r="D24" s="48"/>
      <c r="E24" s="48"/>
      <c r="F24" s="48"/>
      <c r="G24" s="48"/>
      <c r="H24" s="48"/>
      <c r="I24" s="48"/>
      <c r="J24" s="48"/>
      <c r="K24" s="48"/>
      <c r="L24" s="48"/>
      <c r="M24" s="48"/>
      <c r="N24" s="48"/>
      <c r="O24" s="48"/>
      <c r="P24" s="48"/>
    </row>
    <row r="25" spans="2:16" ht="12.75" customHeight="1" x14ac:dyDescent="0.2">
      <c r="B25" s="46"/>
      <c r="C25" s="48"/>
      <c r="D25" s="48"/>
      <c r="E25" s="48"/>
      <c r="F25" s="48"/>
      <c r="G25" s="48"/>
      <c r="H25" s="48"/>
      <c r="I25" s="48"/>
      <c r="J25" s="48"/>
      <c r="K25" s="48"/>
      <c r="L25" s="48"/>
      <c r="M25" s="48"/>
      <c r="N25" s="48"/>
      <c r="O25" s="48"/>
      <c r="P25" s="48"/>
    </row>
    <row r="26" spans="2:16" ht="12.75" customHeight="1" x14ac:dyDescent="0.2">
      <c r="B26" s="46"/>
      <c r="C26" s="48"/>
      <c r="D26" s="48"/>
      <c r="E26" s="48"/>
      <c r="F26" s="48"/>
      <c r="G26" s="48"/>
      <c r="H26" s="48"/>
      <c r="I26" s="48"/>
      <c r="J26" s="48"/>
      <c r="K26" s="48"/>
      <c r="L26" s="48"/>
      <c r="M26" s="48"/>
      <c r="N26" s="48"/>
      <c r="O26" s="48"/>
      <c r="P26" s="48"/>
    </row>
    <row r="27" spans="2:16" ht="12.75" customHeight="1" x14ac:dyDescent="0.2">
      <c r="B27" s="46"/>
      <c r="C27" s="48"/>
      <c r="D27" s="48"/>
      <c r="E27" s="48"/>
      <c r="F27" s="48"/>
      <c r="G27" s="48"/>
      <c r="H27" s="48"/>
      <c r="I27" s="48"/>
      <c r="J27" s="48"/>
      <c r="K27" s="48"/>
      <c r="L27" s="48"/>
      <c r="M27" s="48"/>
      <c r="N27" s="48"/>
      <c r="O27" s="48"/>
      <c r="P27" s="48"/>
    </row>
    <row r="28" spans="2:16" ht="12.75" customHeight="1" x14ac:dyDescent="0.2">
      <c r="B28" s="46"/>
      <c r="C28" s="48"/>
      <c r="D28" s="48"/>
      <c r="E28" s="48"/>
      <c r="F28" s="48"/>
      <c r="G28" s="48"/>
      <c r="H28" s="48"/>
      <c r="I28" s="48"/>
      <c r="J28" s="48"/>
      <c r="K28" s="48"/>
      <c r="L28" s="48"/>
      <c r="M28" s="48"/>
      <c r="N28" s="48"/>
      <c r="O28" s="48"/>
      <c r="P28" s="48"/>
    </row>
    <row r="29" spans="2:16" ht="12.75" customHeight="1" x14ac:dyDescent="0.2">
      <c r="B29" s="46"/>
      <c r="C29" s="48"/>
      <c r="D29" s="48"/>
      <c r="E29" s="48"/>
      <c r="F29" s="48"/>
      <c r="G29" s="48"/>
      <c r="H29" s="48"/>
      <c r="I29" s="48"/>
      <c r="J29" s="48"/>
      <c r="K29" s="48"/>
      <c r="L29" s="48"/>
      <c r="M29" s="48"/>
      <c r="N29" s="48"/>
      <c r="O29" s="48"/>
      <c r="P29" s="48"/>
    </row>
    <row r="30" spans="2:16" ht="12.75" customHeight="1" x14ac:dyDescent="0.2">
      <c r="B30" s="46"/>
      <c r="C30" s="48"/>
      <c r="D30" s="48"/>
      <c r="E30" s="48"/>
      <c r="F30" s="48"/>
      <c r="G30" s="48"/>
      <c r="H30" s="48"/>
      <c r="I30" s="48"/>
      <c r="J30" s="48"/>
      <c r="K30" s="48"/>
      <c r="L30" s="48"/>
      <c r="M30" s="48"/>
      <c r="N30" s="48"/>
      <c r="O30" s="48"/>
      <c r="P30" s="48"/>
    </row>
    <row r="31" spans="2:16" ht="12.75" customHeight="1" x14ac:dyDescent="0.2">
      <c r="B31" s="46"/>
      <c r="C31" s="48"/>
      <c r="D31" s="48"/>
      <c r="E31" s="48"/>
      <c r="F31" s="48"/>
      <c r="G31" s="48"/>
      <c r="H31" s="48"/>
      <c r="I31" s="48"/>
      <c r="J31" s="48"/>
      <c r="K31" s="48"/>
      <c r="L31" s="48"/>
      <c r="M31" s="48"/>
      <c r="N31" s="48"/>
      <c r="O31" s="48"/>
      <c r="P31" s="48"/>
    </row>
    <row r="32" spans="2:16" ht="12.75" customHeight="1" x14ac:dyDescent="0.2">
      <c r="B32" s="46"/>
      <c r="C32" s="48"/>
      <c r="D32" s="48"/>
      <c r="E32" s="48"/>
      <c r="F32" s="48"/>
      <c r="G32" s="48"/>
      <c r="H32" s="48"/>
      <c r="I32" s="48"/>
      <c r="J32" s="48"/>
      <c r="K32" s="48"/>
      <c r="L32" s="48"/>
      <c r="M32" s="48"/>
      <c r="N32" s="48"/>
      <c r="O32" s="48"/>
      <c r="P32" s="48"/>
    </row>
    <row r="33" spans="1:16" ht="12.75" customHeight="1" x14ac:dyDescent="0.2">
      <c r="B33" s="46"/>
      <c r="C33" s="48"/>
      <c r="D33" s="48"/>
      <c r="E33" s="48"/>
      <c r="F33" s="48"/>
      <c r="G33" s="48"/>
      <c r="H33" s="48"/>
      <c r="I33" s="48"/>
      <c r="J33" s="48"/>
      <c r="K33" s="48"/>
      <c r="L33" s="48"/>
      <c r="M33" s="48"/>
      <c r="N33" s="48"/>
      <c r="O33" s="48"/>
      <c r="P33" s="48"/>
    </row>
    <row r="34" spans="1:16" ht="12.75" customHeight="1" x14ac:dyDescent="0.2">
      <c r="B34" s="46"/>
      <c r="C34" s="48"/>
      <c r="D34" s="48"/>
      <c r="E34" s="48"/>
      <c r="F34" s="48"/>
      <c r="G34" s="48"/>
      <c r="H34" s="48"/>
      <c r="I34" s="48"/>
      <c r="J34" s="48"/>
      <c r="K34" s="48"/>
      <c r="L34" s="48"/>
      <c r="M34" s="48"/>
      <c r="N34" s="48"/>
      <c r="O34" s="48"/>
      <c r="P34" s="48"/>
    </row>
    <row r="35" spans="1:16" ht="12.75" customHeight="1" x14ac:dyDescent="0.2">
      <c r="B35" s="46"/>
      <c r="C35" s="48"/>
      <c r="D35" s="48"/>
      <c r="E35" s="48"/>
      <c r="F35" s="48"/>
      <c r="G35" s="48"/>
      <c r="H35" s="48"/>
      <c r="I35" s="48"/>
      <c r="J35" s="48"/>
      <c r="K35" s="48"/>
      <c r="L35" s="48"/>
      <c r="M35" s="48"/>
      <c r="N35" s="48"/>
      <c r="O35" s="48"/>
      <c r="P35" s="48"/>
    </row>
    <row r="36" spans="1:16" ht="12.75" customHeight="1" x14ac:dyDescent="0.2">
      <c r="B36" s="46"/>
      <c r="C36" s="48"/>
      <c r="D36" s="48"/>
      <c r="E36" s="48"/>
      <c r="F36" s="48"/>
      <c r="G36" s="48"/>
      <c r="H36" s="48"/>
      <c r="I36" s="48"/>
      <c r="J36" s="48"/>
      <c r="K36" s="48"/>
      <c r="L36" s="48"/>
      <c r="M36" s="48"/>
      <c r="N36" s="48"/>
      <c r="O36" s="48"/>
      <c r="P36" s="48"/>
    </row>
    <row r="37" spans="1:16" ht="12.75" customHeight="1" x14ac:dyDescent="0.2">
      <c r="B37" s="46"/>
      <c r="C37" s="48"/>
      <c r="D37" s="48"/>
      <c r="E37" s="48"/>
      <c r="F37" s="48"/>
      <c r="G37" s="48"/>
      <c r="H37" s="48"/>
      <c r="I37" s="48"/>
      <c r="J37" s="48"/>
      <c r="K37" s="48"/>
      <c r="L37" s="48"/>
      <c r="M37" s="48"/>
      <c r="N37" s="48"/>
      <c r="O37" s="48"/>
      <c r="P37" s="48"/>
    </row>
    <row r="38" spans="1:16" ht="12.75" customHeight="1" x14ac:dyDescent="0.2">
      <c r="B38" s="46"/>
      <c r="C38" s="48"/>
      <c r="D38" s="48"/>
      <c r="E38" s="48"/>
      <c r="F38" s="48"/>
      <c r="G38" s="48"/>
      <c r="H38" s="48"/>
      <c r="I38" s="48"/>
      <c r="J38" s="48"/>
      <c r="K38" s="48"/>
      <c r="L38" s="48"/>
      <c r="M38" s="48"/>
      <c r="N38" s="48"/>
      <c r="O38" s="48"/>
      <c r="P38" s="48"/>
    </row>
    <row r="39" spans="1:16" ht="12.75" customHeight="1" x14ac:dyDescent="0.2">
      <c r="B39" s="46"/>
      <c r="C39" s="48"/>
      <c r="D39" s="48"/>
      <c r="E39" s="48"/>
      <c r="F39" s="48"/>
      <c r="G39" s="48"/>
      <c r="H39" s="48"/>
      <c r="I39" s="48"/>
      <c r="J39" s="48"/>
      <c r="K39" s="48"/>
      <c r="L39" s="48"/>
      <c r="M39" s="48"/>
      <c r="N39" s="48"/>
      <c r="O39" s="48"/>
      <c r="P39" s="48"/>
    </row>
    <row r="40" spans="1:16" ht="12.75" customHeight="1" x14ac:dyDescent="0.2">
      <c r="B40" s="49" t="s">
        <v>166</v>
      </c>
      <c r="C40" s="50" t="s">
        <v>91</v>
      </c>
      <c r="D40" s="48"/>
      <c r="E40" s="48"/>
      <c r="F40" s="48"/>
      <c r="G40" s="48"/>
      <c r="H40" s="48"/>
      <c r="I40" s="48"/>
      <c r="J40" s="48"/>
      <c r="K40" s="48"/>
      <c r="L40" s="48"/>
      <c r="M40" s="48"/>
      <c r="N40" s="48"/>
      <c r="O40" s="48"/>
      <c r="P40" s="48"/>
    </row>
    <row r="42" spans="1:16" x14ac:dyDescent="0.2">
      <c r="B42" s="51" t="s">
        <v>157</v>
      </c>
      <c r="C42" s="3" t="s">
        <v>120</v>
      </c>
    </row>
    <row r="43" spans="1:16" x14ac:dyDescent="0.2">
      <c r="B43" s="52"/>
      <c r="C43" s="19" t="s">
        <v>16</v>
      </c>
      <c r="D43" s="19"/>
      <c r="E43" s="19"/>
      <c r="F43" s="19"/>
      <c r="G43" s="19"/>
      <c r="H43" s="19"/>
      <c r="I43" s="19"/>
      <c r="J43" s="19"/>
      <c r="K43" s="19"/>
    </row>
    <row r="44" spans="1:16" x14ac:dyDescent="0.2">
      <c r="B44" s="53"/>
      <c r="C44" s="54" t="s">
        <v>139</v>
      </c>
      <c r="D44" s="55"/>
      <c r="E44" s="56"/>
      <c r="F44" s="56"/>
      <c r="G44" s="56"/>
      <c r="H44" s="56"/>
      <c r="I44" s="56"/>
      <c r="J44" s="56"/>
      <c r="K44" s="56"/>
      <c r="L44" s="56"/>
    </row>
    <row r="45" spans="1:16" x14ac:dyDescent="0.2">
      <c r="B45" s="57"/>
      <c r="C45" s="48"/>
    </row>
    <row r="46" spans="1:16" ht="25.5" customHeight="1" x14ac:dyDescent="0.2">
      <c r="A46" s="46"/>
      <c r="B46" s="49" t="s">
        <v>117</v>
      </c>
      <c r="C46" s="90" t="s">
        <v>156</v>
      </c>
      <c r="D46" s="91"/>
      <c r="E46" s="91"/>
      <c r="F46" s="91"/>
      <c r="G46" s="91"/>
      <c r="H46" s="91"/>
      <c r="I46" s="91"/>
      <c r="J46" s="91"/>
      <c r="K46" s="91"/>
      <c r="L46" s="91"/>
      <c r="M46" s="91"/>
      <c r="N46" s="91"/>
      <c r="O46" s="91"/>
      <c r="P46" s="91"/>
    </row>
    <row r="47" spans="1:16" x14ac:dyDescent="0.2">
      <c r="A47" s="46"/>
      <c r="B47" s="46"/>
    </row>
  </sheetData>
  <mergeCells count="5">
    <mergeCell ref="B1:O1"/>
    <mergeCell ref="C15:P15"/>
    <mergeCell ref="C17:P17"/>
    <mergeCell ref="C18:P18"/>
    <mergeCell ref="C46:P46"/>
  </mergeCells>
  <phoneticPr fontId="5" type="noConversion"/>
  <hyperlinks>
    <hyperlink ref="C43" location="'External Causes of Deaths'!A1" display="For full details of the external causes of death which have been omitted, please click here. "/>
    <hyperlink ref="C43:K43"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Q67"/>
  <sheetViews>
    <sheetView showGridLines="0" topLeftCell="A3" zoomScaleNormal="100" zoomScaleSheetLayoutView="100" workbookViewId="0">
      <selection activeCell="B28" sqref="B28"/>
    </sheetView>
  </sheetViews>
  <sheetFormatPr defaultRowHeight="12.75" x14ac:dyDescent="0.2"/>
  <cols>
    <col min="1" max="1" width="5" style="3" customWidth="1"/>
    <col min="2" max="2" width="32.5703125" style="3" customWidth="1"/>
    <col min="3" max="8" width="11.5703125" style="3" customWidth="1"/>
    <col min="9" max="9" width="11.85546875" style="3" customWidth="1"/>
    <col min="10" max="11" width="11.42578125" style="3" customWidth="1"/>
    <col min="12" max="16384" width="9.140625" style="3"/>
  </cols>
  <sheetData>
    <row r="1" spans="2:17" ht="32.25" customHeight="1" x14ac:dyDescent="0.25">
      <c r="B1" s="89" t="str">
        <f>Notes!B1:O1</f>
        <v/>
      </c>
      <c r="C1" s="89"/>
      <c r="D1" s="89"/>
      <c r="E1" s="89"/>
      <c r="F1" s="89"/>
      <c r="G1" s="89"/>
      <c r="H1" s="89"/>
      <c r="I1" s="89"/>
    </row>
    <row r="2" spans="2:17" ht="15.75" x14ac:dyDescent="0.25">
      <c r="B2" s="4" t="s">
        <v>140</v>
      </c>
      <c r="I2" s="23"/>
      <c r="J2" s="23"/>
      <c r="K2" s="23"/>
    </row>
    <row r="3" spans="2:17" ht="18.75" x14ac:dyDescent="0.25">
      <c r="B3" s="4" t="s">
        <v>165</v>
      </c>
      <c r="I3" s="23"/>
      <c r="J3" s="23"/>
      <c r="K3" s="23"/>
    </row>
    <row r="4" spans="2:17" ht="15.75" x14ac:dyDescent="0.25">
      <c r="B4" s="4"/>
      <c r="I4" s="23"/>
      <c r="J4" s="23"/>
      <c r="K4" s="23"/>
    </row>
    <row r="5" spans="2:17" x14ac:dyDescent="0.2">
      <c r="G5" s="10" t="s">
        <v>15</v>
      </c>
      <c r="I5" s="23"/>
      <c r="J5" s="23"/>
      <c r="K5" s="58"/>
    </row>
    <row r="6" spans="2:17"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row>
    <row r="7" spans="2:17" x14ac:dyDescent="0.2">
      <c r="B7" s="59" t="s">
        <v>92</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N7" s="45"/>
      <c r="O7" s="45"/>
      <c r="P7" s="45"/>
      <c r="Q7" s="60"/>
    </row>
    <row r="8" spans="2:17" x14ac:dyDescent="0.2">
      <c r="B8" s="61" t="s">
        <v>0</v>
      </c>
      <c r="C8" s="62" t="e">
        <f ca="1">VLOOKUP(CONCATENATE(LEFT(C$7, 7), "hb", $B8), [0]!data_range, 5, FALSE)</f>
        <v>#N/A</v>
      </c>
      <c r="D8" s="62" t="e">
        <f ca="1">VLOOKUP(CONCATENATE(LEFT(D$7, 7), "hb", $B8), [0]!data_range, 5, FALSE)</f>
        <v>#N/A</v>
      </c>
      <c r="E8" s="62" t="e">
        <f ca="1">VLOOKUP(CONCATENATE(LEFT(E$7, 7), "hb", $B8), [0]!data_range, 5, FALSE)</f>
        <v>#N/A</v>
      </c>
      <c r="F8" s="62" t="e">
        <f ca="1">VLOOKUP(CONCATENATE(LEFT(F$7, 7), "hb", $B8), [0]!data_range, 5, FALSE)</f>
        <v>#N/A</v>
      </c>
      <c r="G8" s="62" t="e">
        <f ca="1">VLOOKUP(CONCATENATE(LEFT(G$7, 7), "hb", $B8), [0]!data_range, 5, FALSE)</f>
        <v>#N/A</v>
      </c>
      <c r="H8" s="62" t="e">
        <f ca="1">VLOOKUP(CONCATENATE(LEFT(H$7, 7), "hb", $B8), [0]!data_range, 5, FALSE)</f>
        <v>#N/A</v>
      </c>
      <c r="I8" s="62" t="e">
        <f ca="1">VLOOKUP(CONCATENATE(LEFT(I$7, 7), "hb", $B8), [0]!data_range, 5, FALSE)</f>
        <v>#N/A</v>
      </c>
      <c r="J8" s="62" t="e">
        <f ca="1">VLOOKUP(CONCATENATE(LEFT(J$7, 7), "hb", $B8), [0]!data_range, 5, FALSE)</f>
        <v>#N/A</v>
      </c>
      <c r="K8" s="62" t="e">
        <f ca="1">VLOOKUP(CONCATENATE(LEFT(K$7, 7), "hb", $B8), [0]!data_range, 5, FALSE)</f>
        <v>#N/A</v>
      </c>
      <c r="Q8" s="62"/>
    </row>
    <row r="9" spans="2:17" x14ac:dyDescent="0.2">
      <c r="B9" s="15" t="s">
        <v>1</v>
      </c>
      <c r="C9" s="62" t="e">
        <f ca="1">VLOOKUP(CONCATENATE(LEFT(C$7, 7), "hb", $B9), [0]!data_range, 5, FALSE)</f>
        <v>#N/A</v>
      </c>
      <c r="D9" s="62" t="e">
        <f ca="1">VLOOKUP(CONCATENATE(LEFT(D$7, 7), "hb", $B9), [0]!data_range, 5, FALSE)</f>
        <v>#N/A</v>
      </c>
      <c r="E9" s="62" t="e">
        <f ca="1">VLOOKUP(CONCATENATE(LEFT(E$7, 7), "hb", $B9), [0]!data_range, 5, FALSE)</f>
        <v>#N/A</v>
      </c>
      <c r="F9" s="62" t="e">
        <f ca="1">VLOOKUP(CONCATENATE(LEFT(F$7, 7), "hb", $B9), [0]!data_range, 5, FALSE)</f>
        <v>#N/A</v>
      </c>
      <c r="G9" s="62" t="e">
        <f ca="1">VLOOKUP(CONCATENATE(LEFT(G$7, 7), "hb", $B9), [0]!data_range, 5, FALSE)</f>
        <v>#N/A</v>
      </c>
      <c r="H9" s="62" t="e">
        <f ca="1">VLOOKUP(CONCATENATE(LEFT(H$7, 7), "hb", $B9), [0]!data_range, 5, FALSE)</f>
        <v>#N/A</v>
      </c>
      <c r="I9" s="62" t="e">
        <f ca="1">VLOOKUP(CONCATENATE(LEFT(I$7, 7), "hb", $B9), [0]!data_range, 5, FALSE)</f>
        <v>#N/A</v>
      </c>
      <c r="J9" s="62" t="e">
        <f ca="1">VLOOKUP(CONCATENATE(LEFT(J$7, 7), "hb", $B9), [0]!data_range, 5, FALSE)</f>
        <v>#N/A</v>
      </c>
      <c r="K9" s="62" t="e">
        <f ca="1">VLOOKUP(CONCATENATE(LEFT(K$7, 7), "hb", $B9), [0]!data_range, 5, FALSE)</f>
        <v>#N/A</v>
      </c>
      <c r="Q9" s="62"/>
    </row>
    <row r="10" spans="2:17" x14ac:dyDescent="0.2">
      <c r="B10" s="15" t="s">
        <v>2</v>
      </c>
      <c r="C10" s="62" t="e">
        <f ca="1">VLOOKUP(CONCATENATE(LEFT(C$7, 7), "hb", $B10), [0]!data_range, 5, FALSE)</f>
        <v>#N/A</v>
      </c>
      <c r="D10" s="62" t="e">
        <f ca="1">VLOOKUP(CONCATENATE(LEFT(D$7, 7), "hb", $B10), [0]!data_range, 5, FALSE)</f>
        <v>#N/A</v>
      </c>
      <c r="E10" s="62" t="e">
        <f ca="1">VLOOKUP(CONCATENATE(LEFT(E$7, 7), "hb", $B10), [0]!data_range, 5, FALSE)</f>
        <v>#N/A</v>
      </c>
      <c r="F10" s="62" t="e">
        <f ca="1">VLOOKUP(CONCATENATE(LEFT(F$7, 7), "hb", $B10), [0]!data_range, 5, FALSE)</f>
        <v>#N/A</v>
      </c>
      <c r="G10" s="62" t="e">
        <f ca="1">VLOOKUP(CONCATENATE(LEFT(G$7, 7), "hb", $B10), [0]!data_range, 5, FALSE)</f>
        <v>#N/A</v>
      </c>
      <c r="H10" s="62" t="e">
        <f ca="1">VLOOKUP(CONCATENATE(LEFT(H$7, 7), "hb", $B10), [0]!data_range, 5, FALSE)</f>
        <v>#N/A</v>
      </c>
      <c r="I10" s="62" t="e">
        <f ca="1">VLOOKUP(CONCATENATE(LEFT(I$7, 7), "hb", $B10), [0]!data_range, 5, FALSE)</f>
        <v>#N/A</v>
      </c>
      <c r="J10" s="62" t="e">
        <f ca="1">VLOOKUP(CONCATENATE(LEFT(J$7, 7), "hb", $B10), [0]!data_range, 5, FALSE)</f>
        <v>#N/A</v>
      </c>
      <c r="K10" s="62" t="e">
        <f ca="1">VLOOKUP(CONCATENATE(LEFT(K$7, 7), "hb", $B10), [0]!data_range, 5, FALSE)</f>
        <v>#N/A</v>
      </c>
      <c r="Q10" s="62"/>
    </row>
    <row r="11" spans="2:17" x14ac:dyDescent="0.2">
      <c r="B11" s="15" t="s">
        <v>3</v>
      </c>
      <c r="C11" s="62" t="e">
        <f ca="1">VLOOKUP(CONCATENATE(LEFT(C$7, 7), "hb", $B11), [0]!data_range, 5, FALSE)</f>
        <v>#N/A</v>
      </c>
      <c r="D11" s="62" t="e">
        <f ca="1">VLOOKUP(CONCATENATE(LEFT(D$7, 7), "hb", $B11), [0]!data_range, 5, FALSE)</f>
        <v>#N/A</v>
      </c>
      <c r="E11" s="62" t="e">
        <f ca="1">VLOOKUP(CONCATENATE(LEFT(E$7, 7), "hb", $B11), [0]!data_range, 5, FALSE)</f>
        <v>#N/A</v>
      </c>
      <c r="F11" s="62" t="e">
        <f ca="1">VLOOKUP(CONCATENATE(LEFT(F$7, 7), "hb", $B11), [0]!data_range, 5, FALSE)</f>
        <v>#N/A</v>
      </c>
      <c r="G11" s="62" t="e">
        <f ca="1">VLOOKUP(CONCATENATE(LEFT(G$7, 7), "hb", $B11), [0]!data_range, 5, FALSE)</f>
        <v>#N/A</v>
      </c>
      <c r="H11" s="62" t="e">
        <f ca="1">VLOOKUP(CONCATENATE(LEFT(H$7, 7), "hb", $B11), [0]!data_range, 5, FALSE)</f>
        <v>#N/A</v>
      </c>
      <c r="I11" s="62" t="e">
        <f ca="1">VLOOKUP(CONCATENATE(LEFT(I$7, 7), "hb", $B11), [0]!data_range, 5, FALSE)</f>
        <v>#N/A</v>
      </c>
      <c r="J11" s="62" t="e">
        <f ca="1">VLOOKUP(CONCATENATE(LEFT(J$7, 7), "hb", $B11), [0]!data_range, 5, FALSE)</f>
        <v>#N/A</v>
      </c>
      <c r="K11" s="62" t="e">
        <f ca="1">VLOOKUP(CONCATENATE(LEFT(K$7, 7), "hb", $B11), [0]!data_range, 5, FALSE)</f>
        <v>#N/A</v>
      </c>
      <c r="Q11" s="62"/>
    </row>
    <row r="12" spans="2:17" x14ac:dyDescent="0.2">
      <c r="B12" s="15" t="s">
        <v>4</v>
      </c>
      <c r="C12" s="62" t="e">
        <f ca="1">VLOOKUP(CONCATENATE(LEFT(C$7, 7), "hb", $B12), [0]!data_range, 5, FALSE)</f>
        <v>#N/A</v>
      </c>
      <c r="D12" s="62" t="e">
        <f ca="1">VLOOKUP(CONCATENATE(LEFT(D$7, 7), "hb", $B12), [0]!data_range, 5, FALSE)</f>
        <v>#N/A</v>
      </c>
      <c r="E12" s="62" t="e">
        <f ca="1">VLOOKUP(CONCATENATE(LEFT(E$7, 7), "hb", $B12), [0]!data_range, 5, FALSE)</f>
        <v>#N/A</v>
      </c>
      <c r="F12" s="62" t="e">
        <f ca="1">VLOOKUP(CONCATENATE(LEFT(F$7, 7), "hb", $B12), [0]!data_range, 5, FALSE)</f>
        <v>#N/A</v>
      </c>
      <c r="G12" s="62" t="e">
        <f ca="1">VLOOKUP(CONCATENATE(LEFT(G$7, 7), "hb", $B12), [0]!data_range, 5, FALSE)</f>
        <v>#N/A</v>
      </c>
      <c r="H12" s="62" t="e">
        <f ca="1">VLOOKUP(CONCATENATE(LEFT(H$7, 7), "hb", $B12), [0]!data_range, 5, FALSE)</f>
        <v>#N/A</v>
      </c>
      <c r="I12" s="62" t="e">
        <f ca="1">VLOOKUP(CONCATENATE(LEFT(I$7, 7), "hb", $B12), [0]!data_range, 5, FALSE)</f>
        <v>#N/A</v>
      </c>
      <c r="J12" s="62" t="e">
        <f ca="1">VLOOKUP(CONCATENATE(LEFT(J$7, 7), "hb", $B12), [0]!data_range, 5, FALSE)</f>
        <v>#N/A</v>
      </c>
      <c r="K12" s="62" t="e">
        <f ca="1">VLOOKUP(CONCATENATE(LEFT(K$7, 7), "hb", $B12), [0]!data_range, 5, FALSE)</f>
        <v>#N/A</v>
      </c>
      <c r="Q12" s="62"/>
    </row>
    <row r="13" spans="2:17" x14ac:dyDescent="0.2">
      <c r="B13" s="15" t="s">
        <v>5</v>
      </c>
      <c r="C13" s="62" t="e">
        <f ca="1">VLOOKUP(CONCATENATE(LEFT(C$7, 7), "hb", $B13), [0]!data_range, 5, FALSE)</f>
        <v>#N/A</v>
      </c>
      <c r="D13" s="62" t="e">
        <f ca="1">VLOOKUP(CONCATENATE(LEFT(D$7, 7), "hb", $B13), [0]!data_range, 5, FALSE)</f>
        <v>#N/A</v>
      </c>
      <c r="E13" s="62" t="e">
        <f ca="1">VLOOKUP(CONCATENATE(LEFT(E$7, 7), "hb", $B13), [0]!data_range, 5, FALSE)</f>
        <v>#N/A</v>
      </c>
      <c r="F13" s="62" t="e">
        <f ca="1">VLOOKUP(CONCATENATE(LEFT(F$7, 7), "hb", $B13), [0]!data_range, 5, FALSE)</f>
        <v>#N/A</v>
      </c>
      <c r="G13" s="62" t="e">
        <f ca="1">VLOOKUP(CONCATENATE(LEFT(G$7, 7), "hb", $B13), [0]!data_range, 5, FALSE)</f>
        <v>#N/A</v>
      </c>
      <c r="H13" s="62" t="e">
        <f ca="1">VLOOKUP(CONCATENATE(LEFT(H$7, 7), "hb", $B13), [0]!data_range, 5, FALSE)</f>
        <v>#N/A</v>
      </c>
      <c r="I13" s="62" t="e">
        <f ca="1">VLOOKUP(CONCATENATE(LEFT(I$7, 7), "hb", $B13), [0]!data_range, 5, FALSE)</f>
        <v>#N/A</v>
      </c>
      <c r="J13" s="62" t="e">
        <f ca="1">VLOOKUP(CONCATENATE(LEFT(J$7, 7), "hb", $B13), [0]!data_range, 5, FALSE)</f>
        <v>#N/A</v>
      </c>
      <c r="K13" s="62" t="e">
        <f ca="1">VLOOKUP(CONCATENATE(LEFT(K$7, 7), "hb", $B13), [0]!data_range, 5, FALSE)</f>
        <v>#N/A</v>
      </c>
      <c r="Q13" s="62"/>
    </row>
    <row r="14" spans="2:17" x14ac:dyDescent="0.2">
      <c r="B14" s="15" t="s">
        <v>6</v>
      </c>
      <c r="C14" s="62" t="e">
        <f ca="1">VLOOKUP(CONCATENATE(LEFT(C$7, 7), "hb", $B14), [0]!data_range, 5, FALSE)</f>
        <v>#N/A</v>
      </c>
      <c r="D14" s="62" t="e">
        <f ca="1">VLOOKUP(CONCATENATE(LEFT(D$7, 7), "hb", $B14), [0]!data_range, 5, FALSE)</f>
        <v>#N/A</v>
      </c>
      <c r="E14" s="62" t="e">
        <f ca="1">VLOOKUP(CONCATENATE(LEFT(E$7, 7), "hb", $B14), [0]!data_range, 5, FALSE)</f>
        <v>#N/A</v>
      </c>
      <c r="F14" s="62" t="e">
        <f ca="1">VLOOKUP(CONCATENATE(LEFT(F$7, 7), "hb", $B14), [0]!data_range, 5, FALSE)</f>
        <v>#N/A</v>
      </c>
      <c r="G14" s="62" t="e">
        <f ca="1">VLOOKUP(CONCATENATE(LEFT(G$7, 7), "hb", $B14), [0]!data_range, 5, FALSE)</f>
        <v>#N/A</v>
      </c>
      <c r="H14" s="62" t="e">
        <f ca="1">VLOOKUP(CONCATENATE(LEFT(H$7, 7), "hb", $B14), [0]!data_range, 5, FALSE)</f>
        <v>#N/A</v>
      </c>
      <c r="I14" s="62" t="e">
        <f ca="1">VLOOKUP(CONCATENATE(LEFT(I$7, 7), "hb", $B14), [0]!data_range, 5, FALSE)</f>
        <v>#N/A</v>
      </c>
      <c r="J14" s="62" t="e">
        <f ca="1">VLOOKUP(CONCATENATE(LEFT(J$7, 7), "hb", $B14), [0]!data_range, 5, FALSE)</f>
        <v>#N/A</v>
      </c>
      <c r="K14" s="62" t="e">
        <f ca="1">VLOOKUP(CONCATENATE(LEFT(K$7, 7), "hb", $B14), [0]!data_range, 5, FALSE)</f>
        <v>#N/A</v>
      </c>
      <c r="Q14" s="62"/>
    </row>
    <row r="15" spans="2:17" x14ac:dyDescent="0.2">
      <c r="B15" s="15" t="s">
        <v>7</v>
      </c>
      <c r="C15" s="62" t="e">
        <f ca="1">VLOOKUP(CONCATENATE(LEFT(C$7, 7), "hb", $B15), [0]!data_range, 5, FALSE)</f>
        <v>#N/A</v>
      </c>
      <c r="D15" s="62" t="e">
        <f ca="1">VLOOKUP(CONCATENATE(LEFT(D$7, 7), "hb", $B15), [0]!data_range, 5, FALSE)</f>
        <v>#N/A</v>
      </c>
      <c r="E15" s="62" t="e">
        <f ca="1">VLOOKUP(CONCATENATE(LEFT(E$7, 7), "hb", $B15), [0]!data_range, 5, FALSE)</f>
        <v>#N/A</v>
      </c>
      <c r="F15" s="62" t="e">
        <f ca="1">VLOOKUP(CONCATENATE(LEFT(F$7, 7), "hb", $B15), [0]!data_range, 5, FALSE)</f>
        <v>#N/A</v>
      </c>
      <c r="G15" s="62" t="e">
        <f ca="1">VLOOKUP(CONCATENATE(LEFT(G$7, 7), "hb", $B15), [0]!data_range, 5, FALSE)</f>
        <v>#N/A</v>
      </c>
      <c r="H15" s="62" t="e">
        <f ca="1">VLOOKUP(CONCATENATE(LEFT(H$7, 7), "hb", $B15), [0]!data_range, 5, FALSE)</f>
        <v>#N/A</v>
      </c>
      <c r="I15" s="62" t="e">
        <f ca="1">VLOOKUP(CONCATENATE(LEFT(I$7, 7), "hb", $B15), [0]!data_range, 5, FALSE)</f>
        <v>#N/A</v>
      </c>
      <c r="J15" s="62" t="e">
        <f ca="1">VLOOKUP(CONCATENATE(LEFT(J$7, 7), "hb", $B15), [0]!data_range, 5, FALSE)</f>
        <v>#N/A</v>
      </c>
      <c r="K15" s="62" t="e">
        <f ca="1">VLOOKUP(CONCATENATE(LEFT(K$7, 7), "hb", $B15), [0]!data_range, 5, FALSE)</f>
        <v>#N/A</v>
      </c>
      <c r="Q15" s="62"/>
    </row>
    <row r="16" spans="2:17" x14ac:dyDescent="0.2">
      <c r="B16" s="15" t="s">
        <v>8</v>
      </c>
      <c r="C16" s="62" t="e">
        <f ca="1">VLOOKUP(CONCATENATE(LEFT(C$7, 7), "hb", $B16), [0]!data_range, 5, FALSE)</f>
        <v>#N/A</v>
      </c>
      <c r="D16" s="62" t="e">
        <f ca="1">VLOOKUP(CONCATENATE(LEFT(D$7, 7), "hb", $B16), [0]!data_range, 5, FALSE)</f>
        <v>#N/A</v>
      </c>
      <c r="E16" s="62" t="e">
        <f ca="1">VLOOKUP(CONCATENATE(LEFT(E$7, 7), "hb", $B16), [0]!data_range, 5, FALSE)</f>
        <v>#N/A</v>
      </c>
      <c r="F16" s="62" t="e">
        <f ca="1">VLOOKUP(CONCATENATE(LEFT(F$7, 7), "hb", $B16), [0]!data_range, 5, FALSE)</f>
        <v>#N/A</v>
      </c>
      <c r="G16" s="62" t="e">
        <f ca="1">VLOOKUP(CONCATENATE(LEFT(G$7, 7), "hb", $B16), [0]!data_range, 5, FALSE)</f>
        <v>#N/A</v>
      </c>
      <c r="H16" s="62" t="e">
        <f ca="1">VLOOKUP(CONCATENATE(LEFT(H$7, 7), "hb", $B16), [0]!data_range, 5, FALSE)</f>
        <v>#N/A</v>
      </c>
      <c r="I16" s="62" t="e">
        <f ca="1">VLOOKUP(CONCATENATE(LEFT(I$7, 7), "hb", $B16), [0]!data_range, 5, FALSE)</f>
        <v>#N/A</v>
      </c>
      <c r="J16" s="62" t="e">
        <f ca="1">VLOOKUP(CONCATENATE(LEFT(J$7, 7), "hb", $B16), [0]!data_range, 5, FALSE)</f>
        <v>#N/A</v>
      </c>
      <c r="K16" s="62" t="e">
        <f ca="1">VLOOKUP(CONCATENATE(LEFT(K$7, 7), "hb", $B16), [0]!data_range, 5, FALSE)</f>
        <v>#N/A</v>
      </c>
      <c r="Q16" s="62"/>
    </row>
    <row r="17" spans="2:11" x14ac:dyDescent="0.2">
      <c r="B17" s="15" t="s">
        <v>9</v>
      </c>
      <c r="C17" s="62" t="e">
        <f ca="1">VLOOKUP(CONCATENATE(LEFT(C$7, 7), "hb", $B17), [0]!data_range, 5, FALSE)</f>
        <v>#N/A</v>
      </c>
      <c r="D17" s="62" t="e">
        <f ca="1">VLOOKUP(CONCATENATE(LEFT(D$7, 7), "hb", $B17), [0]!data_range, 5, FALSE)</f>
        <v>#N/A</v>
      </c>
      <c r="E17" s="62" t="e">
        <f ca="1">VLOOKUP(CONCATENATE(LEFT(E$7, 7), "hb", $B17), [0]!data_range, 5, FALSE)</f>
        <v>#N/A</v>
      </c>
      <c r="F17" s="62" t="e">
        <f ca="1">VLOOKUP(CONCATENATE(LEFT(F$7, 7), "hb", $B17), [0]!data_range, 5, FALSE)</f>
        <v>#N/A</v>
      </c>
      <c r="G17" s="62" t="e">
        <f ca="1">VLOOKUP(CONCATENATE(LEFT(G$7, 7), "hb", $B17), [0]!data_range, 5, FALSE)</f>
        <v>#N/A</v>
      </c>
      <c r="H17" s="62" t="e">
        <f ca="1">VLOOKUP(CONCATENATE(LEFT(H$7, 7), "hb", $B17), [0]!data_range, 5, FALSE)</f>
        <v>#N/A</v>
      </c>
      <c r="I17" s="62" t="e">
        <f ca="1">VLOOKUP(CONCATENATE(LEFT(I$7, 7), "hb", $B17), [0]!data_range, 5, FALSE)</f>
        <v>#N/A</v>
      </c>
      <c r="J17" s="62" t="e">
        <f ca="1">VLOOKUP(CONCATENATE(LEFT(J$7, 7), "hb", $B17), [0]!data_range, 5, FALSE)</f>
        <v>#N/A</v>
      </c>
      <c r="K17" s="62" t="e">
        <f ca="1">VLOOKUP(CONCATENATE(LEFT(K$7, 7), "hb", $B17), [0]!data_range, 5, FALSE)</f>
        <v>#N/A</v>
      </c>
    </row>
    <row r="18" spans="2:11" x14ac:dyDescent="0.2">
      <c r="B18" s="15" t="s">
        <v>10</v>
      </c>
      <c r="C18" s="62" t="e">
        <f ca="1">VLOOKUP(CONCATENATE(LEFT(C$7, 7), "hb", $B18), [0]!data_range, 5, FALSE)</f>
        <v>#N/A</v>
      </c>
      <c r="D18" s="62" t="e">
        <f ca="1">VLOOKUP(CONCATENATE(LEFT(D$7, 7), "hb", $B18), [0]!data_range, 5, FALSE)</f>
        <v>#N/A</v>
      </c>
      <c r="E18" s="62" t="e">
        <f ca="1">VLOOKUP(CONCATENATE(LEFT(E$7, 7), "hb", $B18), [0]!data_range, 5, FALSE)</f>
        <v>#N/A</v>
      </c>
      <c r="F18" s="62" t="e">
        <f ca="1">VLOOKUP(CONCATENATE(LEFT(F$7, 7), "hb", $B18), [0]!data_range, 5, FALSE)</f>
        <v>#N/A</v>
      </c>
      <c r="G18" s="62" t="e">
        <f ca="1">VLOOKUP(CONCATENATE(LEFT(G$7, 7), "hb", $B18), [0]!data_range, 5, FALSE)</f>
        <v>#N/A</v>
      </c>
      <c r="H18" s="62" t="e">
        <f ca="1">VLOOKUP(CONCATENATE(LEFT(H$7, 7), "hb", $B18), [0]!data_range, 5, FALSE)</f>
        <v>#N/A</v>
      </c>
      <c r="I18" s="62" t="e">
        <f ca="1">VLOOKUP(CONCATENATE(LEFT(I$7, 7), "hb", $B18), [0]!data_range, 5, FALSE)</f>
        <v>#N/A</v>
      </c>
      <c r="J18" s="62" t="e">
        <f ca="1">VLOOKUP(CONCATENATE(LEFT(J$7, 7), "hb", $B18), [0]!data_range, 5, FALSE)</f>
        <v>#N/A</v>
      </c>
      <c r="K18" s="62" t="e">
        <f ca="1">VLOOKUP(CONCATENATE(LEFT(K$7, 7), "hb", $B18), [0]!data_range, 5, FALSE)</f>
        <v>#N/A</v>
      </c>
    </row>
    <row r="19" spans="2:11" x14ac:dyDescent="0.2">
      <c r="B19" s="15" t="s">
        <v>11</v>
      </c>
      <c r="C19" s="62" t="e">
        <f ca="1">VLOOKUP(CONCATENATE(LEFT(C$7, 7), "hb", $B19), [0]!data_range, 5, FALSE)</f>
        <v>#N/A</v>
      </c>
      <c r="D19" s="62" t="e">
        <f ca="1">VLOOKUP(CONCATENATE(LEFT(D$7, 7), "hb", $B19), [0]!data_range, 5, FALSE)</f>
        <v>#N/A</v>
      </c>
      <c r="E19" s="62" t="e">
        <f ca="1">VLOOKUP(CONCATENATE(LEFT(E$7, 7), "hb", $B19), [0]!data_range, 5, FALSE)</f>
        <v>#N/A</v>
      </c>
      <c r="F19" s="62" t="e">
        <f ca="1">VLOOKUP(CONCATENATE(LEFT(F$7, 7), "hb", $B19), [0]!data_range, 5, FALSE)</f>
        <v>#N/A</v>
      </c>
      <c r="G19" s="62" t="e">
        <f ca="1">VLOOKUP(CONCATENATE(LEFT(G$7, 7), "hb", $B19), [0]!data_range, 5, FALSE)</f>
        <v>#N/A</v>
      </c>
      <c r="H19" s="62" t="e">
        <f ca="1">VLOOKUP(CONCATENATE(LEFT(H$7, 7), "hb", $B19), [0]!data_range, 5, FALSE)</f>
        <v>#N/A</v>
      </c>
      <c r="I19" s="62" t="e">
        <f ca="1">VLOOKUP(CONCATENATE(LEFT(I$7, 7), "hb", $B19), [0]!data_range, 5, FALSE)</f>
        <v>#N/A</v>
      </c>
      <c r="J19" s="62" t="e">
        <f ca="1">VLOOKUP(CONCATENATE(LEFT(J$7, 7), "hb", $B19), [0]!data_range, 5, FALSE)</f>
        <v>#N/A</v>
      </c>
      <c r="K19" s="62" t="e">
        <f ca="1">VLOOKUP(CONCATENATE(LEFT(K$7, 7), "hb", $B19), [0]!data_range, 5, FALSE)</f>
        <v>#N/A</v>
      </c>
    </row>
    <row r="20" spans="2:11" x14ac:dyDescent="0.2">
      <c r="B20" s="15" t="s">
        <v>12</v>
      </c>
      <c r="C20" s="62" t="e">
        <f ca="1">VLOOKUP(CONCATENATE(LEFT(C$7, 7), "hb", $B20), [0]!data_range, 5, FALSE)</f>
        <v>#N/A</v>
      </c>
      <c r="D20" s="62" t="e">
        <f ca="1">VLOOKUP(CONCATENATE(LEFT(D$7, 7), "hb", $B20), [0]!data_range, 5, FALSE)</f>
        <v>#N/A</v>
      </c>
      <c r="E20" s="62" t="e">
        <f ca="1">VLOOKUP(CONCATENATE(LEFT(E$7, 7), "hb", $B20), [0]!data_range, 5, FALSE)</f>
        <v>#N/A</v>
      </c>
      <c r="F20" s="62" t="e">
        <f ca="1">VLOOKUP(CONCATENATE(LEFT(F$7, 7), "hb", $B20), [0]!data_range, 5, FALSE)</f>
        <v>#N/A</v>
      </c>
      <c r="G20" s="62" t="e">
        <f ca="1">VLOOKUP(CONCATENATE(LEFT(G$7, 7), "hb", $B20), [0]!data_range, 5, FALSE)</f>
        <v>#N/A</v>
      </c>
      <c r="H20" s="62" t="e">
        <f ca="1">VLOOKUP(CONCATENATE(LEFT(H$7, 7), "hb", $B20), [0]!data_range, 5, FALSE)</f>
        <v>#N/A</v>
      </c>
      <c r="I20" s="62" t="e">
        <f ca="1">VLOOKUP(CONCATENATE(LEFT(I$7, 7), "hb", $B20), [0]!data_range, 5, FALSE)</f>
        <v>#N/A</v>
      </c>
      <c r="J20" s="62" t="e">
        <f ca="1">VLOOKUP(CONCATENATE(LEFT(J$7, 7), "hb", $B20), [0]!data_range, 5, FALSE)</f>
        <v>#N/A</v>
      </c>
      <c r="K20" s="62" t="e">
        <f ca="1">VLOOKUP(CONCATENATE(LEFT(K$7, 7), "hb", $B20), [0]!data_range, 5, FALSE)</f>
        <v>#N/A</v>
      </c>
    </row>
    <row r="21" spans="2:11" x14ac:dyDescent="0.2">
      <c r="B21" s="16" t="s">
        <v>13</v>
      </c>
      <c r="C21" s="62" t="e">
        <f ca="1">VLOOKUP(CONCATENATE(LEFT(C$7, 7), "hb", $B21), [0]!data_range, 5, FALSE)</f>
        <v>#N/A</v>
      </c>
      <c r="D21" s="62" t="e">
        <f ca="1">VLOOKUP(CONCATENATE(LEFT(D$7, 7), "hb", $B21), [0]!data_range, 5, FALSE)</f>
        <v>#N/A</v>
      </c>
      <c r="E21" s="62" t="e">
        <f ca="1">VLOOKUP(CONCATENATE(LEFT(E$7, 7), "hb", $B21), [0]!data_range, 5, FALSE)</f>
        <v>#N/A</v>
      </c>
      <c r="F21" s="62" t="e">
        <f ca="1">VLOOKUP(CONCATENATE(LEFT(F$7, 7), "hb", $B21), [0]!data_range, 5, FALSE)</f>
        <v>#N/A</v>
      </c>
      <c r="G21" s="62" t="e">
        <f ca="1">VLOOKUP(CONCATENATE(LEFT(G$7, 7), "hb", $B21), [0]!data_range, 5, FALSE)</f>
        <v>#N/A</v>
      </c>
      <c r="H21" s="62" t="e">
        <f ca="1">VLOOKUP(CONCATENATE(LEFT(H$7, 7), "hb", $B21), [0]!data_range, 5, FALSE)</f>
        <v>#N/A</v>
      </c>
      <c r="I21" s="62" t="e">
        <f ca="1">VLOOKUP(CONCATENATE(LEFT(I$7, 7), "hb", $B21), [0]!data_range, 5, FALSE)</f>
        <v>#N/A</v>
      </c>
      <c r="J21" s="62" t="e">
        <f ca="1">VLOOKUP(CONCATENATE(LEFT(J$7, 7), "hb", $B21), [0]!data_range, 5, FALSE)</f>
        <v>#N/A</v>
      </c>
      <c r="K21" s="62" t="e">
        <f ca="1">VLOOKUP(CONCATENATE(LEFT(K$7, 7), "hb", $B21), [0]!data_range, 5, FALSE)</f>
        <v>#N/A</v>
      </c>
    </row>
    <row r="22" spans="2:11" x14ac:dyDescent="0.2">
      <c r="B22" s="63" t="s">
        <v>14</v>
      </c>
      <c r="C22" s="64" t="e">
        <f ca="1">VLOOKUP(CONCATENATE(LEFT(C$7, 7), "Scotland", $B22), [0]!data_range, 5, FALSE)</f>
        <v>#N/A</v>
      </c>
      <c r="D22" s="64" t="e">
        <f ca="1">VLOOKUP(CONCATENATE(LEFT(D$7, 7), "Scotland", $B22), [0]!data_range, 5, FALSE)</f>
        <v>#N/A</v>
      </c>
      <c r="E22" s="64" t="e">
        <f ca="1">VLOOKUP(CONCATENATE(LEFT(E$7, 7), "Scotland", $B22), [0]!data_range, 5, FALSE)</f>
        <v>#N/A</v>
      </c>
      <c r="F22" s="64" t="e">
        <f ca="1">VLOOKUP(CONCATENATE(LEFT(F$7, 7), "Scotland", $B22), [0]!data_range, 5, FALSE)</f>
        <v>#N/A</v>
      </c>
      <c r="G22" s="64" t="e">
        <f ca="1">VLOOKUP(CONCATENATE(LEFT(G$7, 7), "Scotland", $B22), [0]!data_range, 5, FALSE)</f>
        <v>#N/A</v>
      </c>
      <c r="H22" s="64" t="e">
        <f ca="1">VLOOKUP(CONCATENATE(LEFT(H$7, 7), "Scotland", $B22), [0]!data_range, 5, FALSE)</f>
        <v>#N/A</v>
      </c>
      <c r="I22" s="64" t="e">
        <f ca="1">VLOOKUP(CONCATENATE(LEFT(I$7, 7), "Scotland", $B22), [0]!data_range, 5, FALSE)</f>
        <v>#N/A</v>
      </c>
      <c r="J22" s="64" t="e">
        <f ca="1">VLOOKUP(CONCATENATE(LEFT(J$7, 7), "Scotland", $B22), [0]!data_range, 5, FALSE)</f>
        <v>#N/A</v>
      </c>
      <c r="K22" s="64" t="e">
        <f ca="1">VLOOKUP(CONCATENATE(LEFT(K$7, 7), "Scotland", $B22), [0]!data_range, 5, FALSE)</f>
        <v>#N/A</v>
      </c>
    </row>
    <row r="23" spans="2:11" x14ac:dyDescent="0.2">
      <c r="I23" s="23"/>
      <c r="J23" s="23"/>
      <c r="K23" s="23"/>
    </row>
    <row r="24" spans="2:11" x14ac:dyDescent="0.2">
      <c r="C24" s="62"/>
      <c r="I24" s="23"/>
      <c r="J24" s="23"/>
      <c r="K24" s="23"/>
    </row>
    <row r="25" spans="2:11" x14ac:dyDescent="0.2">
      <c r="I25" s="23"/>
      <c r="J25" s="23"/>
      <c r="K25" s="23"/>
    </row>
    <row r="26" spans="2:11" x14ac:dyDescent="0.2">
      <c r="B26" s="19" t="s">
        <v>18</v>
      </c>
      <c r="I26" s="23"/>
      <c r="J26" s="23"/>
      <c r="K26" s="23"/>
    </row>
    <row r="27" spans="2:11" x14ac:dyDescent="0.2">
      <c r="I27" s="23"/>
      <c r="J27" s="23"/>
      <c r="K27" s="23"/>
    </row>
    <row r="28" spans="2:11" x14ac:dyDescent="0.2">
      <c r="B28" s="21" t="s">
        <v>155</v>
      </c>
      <c r="E28" s="62"/>
      <c r="F28" s="62"/>
      <c r="G28" s="62"/>
      <c r="I28" s="23"/>
      <c r="J28" s="23"/>
      <c r="K28" s="23"/>
    </row>
    <row r="29" spans="2:11" x14ac:dyDescent="0.2">
      <c r="B29" s="21" t="s">
        <v>148</v>
      </c>
      <c r="E29" s="62"/>
      <c r="F29" s="62"/>
      <c r="G29" s="62"/>
      <c r="I29" s="23"/>
      <c r="J29" s="23"/>
      <c r="K29" s="23"/>
    </row>
    <row r="30" spans="2:11" x14ac:dyDescent="0.2">
      <c r="B30" s="21" t="e">
        <f ca="1">"    1. Data for " &amp; [0]!fy_max &amp;" are incomplete and will be revised in October 20" &amp; RIGHT([0]!fy_max, 2) &amp; " publication"</f>
        <v>#N/A</v>
      </c>
      <c r="E30" s="62"/>
      <c r="F30" s="62"/>
      <c r="G30" s="62"/>
      <c r="I30" s="23"/>
      <c r="J30" s="23"/>
      <c r="K30" s="23"/>
    </row>
    <row r="31" spans="2:11" x14ac:dyDescent="0.2">
      <c r="E31" s="62"/>
      <c r="F31" s="62"/>
      <c r="G31" s="62"/>
      <c r="I31" s="23"/>
      <c r="J31" s="23"/>
      <c r="K31" s="23"/>
    </row>
    <row r="32" spans="2:11" x14ac:dyDescent="0.2">
      <c r="E32" s="62"/>
      <c r="F32" s="62"/>
      <c r="G32" s="62"/>
      <c r="I32" s="23"/>
      <c r="J32" s="23"/>
      <c r="K32" s="23"/>
    </row>
    <row r="33" spans="5:11" x14ac:dyDescent="0.2">
      <c r="E33" s="62"/>
      <c r="F33" s="62"/>
      <c r="G33" s="62"/>
      <c r="I33" s="23"/>
      <c r="J33" s="23"/>
      <c r="K33" s="23"/>
    </row>
    <row r="34" spans="5:11" x14ac:dyDescent="0.2">
      <c r="E34" s="62"/>
      <c r="F34" s="62"/>
      <c r="G34" s="62"/>
      <c r="I34" s="23"/>
      <c r="J34" s="23"/>
      <c r="K34" s="23"/>
    </row>
    <row r="35" spans="5:11" x14ac:dyDescent="0.2">
      <c r="E35" s="62"/>
      <c r="F35" s="62"/>
      <c r="G35" s="62"/>
      <c r="I35" s="23"/>
      <c r="J35" s="23"/>
      <c r="K35" s="23"/>
    </row>
    <row r="36" spans="5:11" x14ac:dyDescent="0.2">
      <c r="E36" s="62"/>
      <c r="F36" s="62"/>
      <c r="G36" s="62"/>
      <c r="I36" s="23"/>
      <c r="J36" s="23"/>
      <c r="K36" s="23"/>
    </row>
    <row r="37" spans="5:11" x14ac:dyDescent="0.2">
      <c r="E37" s="62"/>
      <c r="F37" s="62"/>
      <c r="G37" s="62"/>
      <c r="I37" s="23"/>
      <c r="J37" s="23"/>
      <c r="K37" s="23"/>
    </row>
    <row r="38" spans="5:11" x14ac:dyDescent="0.2">
      <c r="E38" s="62"/>
      <c r="F38" s="62"/>
      <c r="G38" s="62"/>
      <c r="I38" s="23"/>
      <c r="J38" s="23"/>
      <c r="K38" s="23"/>
    </row>
    <row r="39" spans="5:11" x14ac:dyDescent="0.2">
      <c r="E39" s="62"/>
      <c r="F39" s="62"/>
      <c r="G39" s="62"/>
      <c r="I39" s="23"/>
      <c r="J39" s="23"/>
      <c r="K39" s="23"/>
    </row>
    <row r="40" spans="5:11" x14ac:dyDescent="0.2">
      <c r="E40" s="62"/>
      <c r="F40" s="62"/>
      <c r="G40" s="62"/>
      <c r="I40" s="23"/>
      <c r="J40" s="23"/>
      <c r="K40" s="23"/>
    </row>
    <row r="41" spans="5:11" x14ac:dyDescent="0.2">
      <c r="I41" s="23"/>
      <c r="J41" s="23"/>
      <c r="K41" s="23"/>
    </row>
    <row r="42" spans="5:11" x14ac:dyDescent="0.2">
      <c r="I42" s="23"/>
      <c r="J42" s="23"/>
      <c r="K42" s="23"/>
    </row>
    <row r="43" spans="5:11" x14ac:dyDescent="0.2">
      <c r="I43" s="23"/>
      <c r="J43" s="23"/>
      <c r="K43" s="23"/>
    </row>
    <row r="44" spans="5:11" x14ac:dyDescent="0.2">
      <c r="I44" s="23"/>
      <c r="J44" s="23"/>
      <c r="K44" s="23"/>
    </row>
    <row r="45" spans="5:11" x14ac:dyDescent="0.2">
      <c r="I45" s="23"/>
      <c r="J45" s="23"/>
      <c r="K45" s="23"/>
    </row>
    <row r="46" spans="5:11" x14ac:dyDescent="0.2">
      <c r="I46" s="23"/>
      <c r="J46" s="23"/>
      <c r="K46" s="23"/>
    </row>
    <row r="47" spans="5:11" x14ac:dyDescent="0.2">
      <c r="I47" s="23"/>
      <c r="J47" s="23"/>
      <c r="K47" s="23"/>
    </row>
    <row r="48" spans="5:11" x14ac:dyDescent="0.2">
      <c r="I48" s="23"/>
      <c r="J48" s="23"/>
      <c r="K48" s="23"/>
    </row>
    <row r="49" spans="9:11" x14ac:dyDescent="0.2">
      <c r="I49" s="23"/>
      <c r="J49" s="23"/>
      <c r="K49" s="23"/>
    </row>
    <row r="50" spans="9:11" x14ac:dyDescent="0.2">
      <c r="I50" s="23"/>
      <c r="J50" s="23"/>
      <c r="K50" s="23"/>
    </row>
    <row r="51" spans="9:11" x14ac:dyDescent="0.2">
      <c r="I51" s="23"/>
      <c r="J51" s="23"/>
      <c r="K51" s="23"/>
    </row>
    <row r="52" spans="9:11" x14ac:dyDescent="0.2">
      <c r="I52" s="23"/>
      <c r="J52" s="23"/>
      <c r="K52" s="23"/>
    </row>
    <row r="53" spans="9:11" x14ac:dyDescent="0.2">
      <c r="I53" s="23"/>
      <c r="J53" s="23"/>
      <c r="K53" s="23"/>
    </row>
    <row r="54" spans="9:11" x14ac:dyDescent="0.2">
      <c r="I54" s="23"/>
      <c r="J54" s="23"/>
      <c r="K54" s="23"/>
    </row>
    <row r="55" spans="9:11" x14ac:dyDescent="0.2">
      <c r="I55" s="23"/>
      <c r="J55" s="23"/>
      <c r="K55" s="23"/>
    </row>
    <row r="56" spans="9:11" x14ac:dyDescent="0.2">
      <c r="I56" s="23"/>
      <c r="J56" s="23"/>
      <c r="K56" s="23"/>
    </row>
    <row r="57" spans="9:11" x14ac:dyDescent="0.2">
      <c r="I57" s="23"/>
      <c r="J57" s="23"/>
      <c r="K57" s="23"/>
    </row>
    <row r="58" spans="9:11" x14ac:dyDescent="0.2">
      <c r="I58" s="23"/>
      <c r="J58" s="23"/>
      <c r="K58" s="23"/>
    </row>
    <row r="59" spans="9:11" x14ac:dyDescent="0.2">
      <c r="I59" s="23"/>
      <c r="J59" s="23"/>
      <c r="K59" s="23"/>
    </row>
    <row r="60" spans="9:11" x14ac:dyDescent="0.2">
      <c r="I60" s="23"/>
      <c r="J60" s="23"/>
      <c r="K60" s="23"/>
    </row>
    <row r="61" spans="9:11" x14ac:dyDescent="0.2">
      <c r="I61" s="23"/>
      <c r="J61" s="23"/>
      <c r="K61" s="23"/>
    </row>
    <row r="62" spans="9:11" x14ac:dyDescent="0.2">
      <c r="I62" s="23"/>
      <c r="J62" s="23"/>
      <c r="K62" s="23"/>
    </row>
    <row r="63" spans="9:11" x14ac:dyDescent="0.2">
      <c r="I63" s="23"/>
      <c r="J63" s="23"/>
      <c r="K63" s="23"/>
    </row>
    <row r="64" spans="9:11" x14ac:dyDescent="0.2">
      <c r="I64" s="23"/>
      <c r="J64" s="23"/>
      <c r="K64" s="23"/>
    </row>
    <row r="65" spans="9:11" x14ac:dyDescent="0.2">
      <c r="I65" s="23"/>
      <c r="J65" s="23"/>
      <c r="K65" s="23"/>
    </row>
    <row r="66" spans="9:11" x14ac:dyDescent="0.2">
      <c r="I66" s="23"/>
      <c r="J66" s="23"/>
      <c r="K66" s="23"/>
    </row>
    <row r="67" spans="9:1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9"/>
  <sheetViews>
    <sheetView showGridLines="0" topLeftCell="A27" zoomScaleNormal="100" workbookViewId="0">
      <selection activeCell="B47" sqref="B47"/>
    </sheetView>
  </sheetViews>
  <sheetFormatPr defaultRowHeight="12.75" x14ac:dyDescent="0.2"/>
  <cols>
    <col min="1" max="1" width="2.5703125" style="3" customWidth="1"/>
    <col min="2" max="2" width="32.42578125" style="3" customWidth="1"/>
    <col min="3" max="11" width="11.5703125" style="3" customWidth="1"/>
    <col min="12" max="16384" width="9.140625" style="3"/>
  </cols>
  <sheetData>
    <row r="1" spans="2:29" ht="32.25" customHeight="1" x14ac:dyDescent="0.25">
      <c r="B1" s="89" t="str">
        <f>Notes!B1:O1</f>
        <v/>
      </c>
      <c r="C1" s="89"/>
      <c r="D1" s="89"/>
      <c r="E1" s="89"/>
      <c r="F1" s="89"/>
      <c r="G1" s="89"/>
      <c r="H1" s="89"/>
      <c r="I1" s="89"/>
      <c r="J1" s="89"/>
    </row>
    <row r="2" spans="2:29" ht="15.75" x14ac:dyDescent="0.25">
      <c r="B2" s="4" t="s">
        <v>141</v>
      </c>
      <c r="J2" s="23"/>
      <c r="K2" s="23"/>
      <c r="L2" s="5"/>
    </row>
    <row r="3" spans="2:29" ht="15.75" x14ac:dyDescent="0.25">
      <c r="B3" s="4" t="s">
        <v>150</v>
      </c>
      <c r="J3" s="23"/>
      <c r="K3" s="23"/>
      <c r="L3" s="5"/>
    </row>
    <row r="4" spans="2:29" ht="15.75" x14ac:dyDescent="0.25">
      <c r="B4" s="4"/>
      <c r="J4" s="23"/>
      <c r="K4" s="23"/>
      <c r="L4" s="5"/>
    </row>
    <row r="5" spans="2:29" x14ac:dyDescent="0.2">
      <c r="G5" s="10" t="s">
        <v>15</v>
      </c>
      <c r="J5" s="23"/>
      <c r="K5" s="58"/>
      <c r="L5" s="5"/>
    </row>
    <row r="6" spans="2:29"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c r="L6" s="7"/>
      <c r="M6" s="9"/>
      <c r="N6" s="9"/>
      <c r="O6" s="9"/>
      <c r="P6" s="9"/>
      <c r="Q6" s="9"/>
      <c r="R6" s="9"/>
      <c r="S6" s="9"/>
      <c r="T6" s="9"/>
      <c r="U6" s="9"/>
      <c r="V6" s="9"/>
      <c r="W6" s="9"/>
      <c r="X6" s="9"/>
      <c r="Y6" s="9"/>
      <c r="Z6" s="9"/>
    </row>
    <row r="7" spans="2:29" x14ac:dyDescent="0.2">
      <c r="B7" s="65" t="s">
        <v>151</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L7" s="66"/>
      <c r="M7" s="12"/>
      <c r="N7" s="12"/>
      <c r="O7" s="12"/>
      <c r="P7" s="12"/>
      <c r="Q7" s="12"/>
      <c r="R7" s="12"/>
      <c r="S7" s="12"/>
      <c r="T7" s="9"/>
      <c r="U7" s="9"/>
      <c r="V7" s="9"/>
      <c r="W7" s="9"/>
      <c r="X7" s="9"/>
      <c r="Y7" s="9"/>
      <c r="Z7" s="9"/>
    </row>
    <row r="8" spans="2:29" ht="15" x14ac:dyDescent="0.25">
      <c r="B8" s="23" t="s">
        <v>93</v>
      </c>
      <c r="C8" s="15" t="e">
        <f ca="1">VLOOKUP(CONCATENATE(LEFT(C$7, 7), "hscp", $B8), [0]!data_range, 5, FALSE)</f>
        <v>#N/A</v>
      </c>
      <c r="D8" s="15" t="e">
        <f ca="1">VLOOKUP(CONCATENATE(LEFT(D$7, 7), "hscp", $B8), [0]!data_range, 5, FALSE)</f>
        <v>#N/A</v>
      </c>
      <c r="E8" s="15" t="e">
        <f ca="1">VLOOKUP(CONCATENATE(LEFT(E$7, 7), "hscp", $B8), [0]!data_range, 5, FALSE)</f>
        <v>#N/A</v>
      </c>
      <c r="F8" s="15" t="e">
        <f ca="1">VLOOKUP(CONCATENATE(LEFT(F$7, 7), "hscp", $B8), [0]!data_range, 5, FALSE)</f>
        <v>#N/A</v>
      </c>
      <c r="G8" s="15" t="e">
        <f ca="1">VLOOKUP(CONCATENATE(LEFT(G$7, 7), "hscp", $B8), [0]!data_range, 5, FALSE)</f>
        <v>#N/A</v>
      </c>
      <c r="H8" s="15" t="e">
        <f ca="1">VLOOKUP(CONCATENATE(LEFT(H$7, 7), "hscp", $B8), [0]!data_range, 5, FALSE)</f>
        <v>#N/A</v>
      </c>
      <c r="I8" s="15" t="e">
        <f ca="1">VLOOKUP(CONCATENATE(LEFT(I$7, 7), "hscp", $B8), [0]!data_range, 5, FALSE)</f>
        <v>#N/A</v>
      </c>
      <c r="J8" s="15" t="e">
        <f ca="1">VLOOKUP(CONCATENATE(LEFT(J$7, 7), "hscp", $B8), [0]!data_range, 5, FALSE)</f>
        <v>#N/A</v>
      </c>
      <c r="K8" s="15" t="e">
        <f ca="1">VLOOKUP(CONCATENATE(LEFT(K$7, 7), "hscp", $B8), [0]!data_range, 5, FALSE)</f>
        <v>#N/A</v>
      </c>
      <c r="L8" s="67"/>
      <c r="M8" s="14"/>
      <c r="N8" s="14"/>
      <c r="O8" s="14"/>
      <c r="P8" s="14"/>
      <c r="Q8" s="14"/>
      <c r="R8" s="14"/>
      <c r="S8" s="14"/>
      <c r="T8" s="9"/>
      <c r="U8" s="9"/>
      <c r="V8" s="9"/>
      <c r="W8" s="9"/>
      <c r="X8" s="9"/>
      <c r="Y8" s="9"/>
      <c r="Z8" s="9"/>
      <c r="AA8" s="3" t="e">
        <f t="shared" ref="AA8:AA23" ca="1" si="0">R8=H8</f>
        <v>#N/A</v>
      </c>
      <c r="AB8" s="3" t="e">
        <f t="shared" ref="AB8:AC23" ca="1" si="1">S8=J8</f>
        <v>#N/A</v>
      </c>
      <c r="AC8" s="3" t="e">
        <f t="shared" ca="1" si="1"/>
        <v>#N/A</v>
      </c>
    </row>
    <row r="9" spans="2:29" ht="15" x14ac:dyDescent="0.25">
      <c r="B9" s="23" t="s">
        <v>94</v>
      </c>
      <c r="C9" s="15" t="e">
        <f ca="1">VLOOKUP(CONCATENATE(LEFT(C$7, 7), "hscp", $B9), [0]!data_range, 5, FALSE)</f>
        <v>#N/A</v>
      </c>
      <c r="D9" s="15" t="e">
        <f ca="1">VLOOKUP(CONCATENATE(LEFT(D$7, 7), "hscp", $B9), [0]!data_range, 5, FALSE)</f>
        <v>#N/A</v>
      </c>
      <c r="E9" s="15" t="e">
        <f ca="1">VLOOKUP(CONCATENATE(LEFT(E$7, 7), "hscp", $B9), [0]!data_range, 5, FALSE)</f>
        <v>#N/A</v>
      </c>
      <c r="F9" s="15" t="e">
        <f ca="1">VLOOKUP(CONCATENATE(LEFT(F$7, 7), "hscp", $B9), [0]!data_range, 5, FALSE)</f>
        <v>#N/A</v>
      </c>
      <c r="G9" s="15" t="e">
        <f ca="1">VLOOKUP(CONCATENATE(LEFT(G$7, 7), "hscp", $B9), [0]!data_range, 5, FALSE)</f>
        <v>#N/A</v>
      </c>
      <c r="H9" s="15" t="e">
        <f ca="1">VLOOKUP(CONCATENATE(LEFT(H$7, 7), "hscp", $B9), [0]!data_range, 5, FALSE)</f>
        <v>#N/A</v>
      </c>
      <c r="I9" s="15" t="e">
        <f ca="1">VLOOKUP(CONCATENATE(LEFT(I$7, 7), "hscp", $B9), [0]!data_range, 5, FALSE)</f>
        <v>#N/A</v>
      </c>
      <c r="J9" s="15" t="e">
        <f ca="1">VLOOKUP(CONCATENATE(LEFT(J$7, 7), "hscp", $B9), [0]!data_range, 5, FALSE)</f>
        <v>#N/A</v>
      </c>
      <c r="K9" s="15" t="e">
        <f ca="1">VLOOKUP(CONCATENATE(LEFT(K$7, 7), "hscp", $B9), [0]!data_range, 5, FALSE)</f>
        <v>#N/A</v>
      </c>
      <c r="L9" s="68"/>
      <c r="M9" s="14"/>
      <c r="N9" s="14"/>
      <c r="O9" s="14"/>
      <c r="P9" s="14"/>
      <c r="Q9" s="14"/>
      <c r="R9" s="14"/>
      <c r="S9" s="14"/>
      <c r="T9" s="9"/>
      <c r="U9" s="9"/>
      <c r="V9" s="9"/>
      <c r="W9" s="9"/>
      <c r="X9" s="9"/>
      <c r="Y9" s="9"/>
      <c r="Z9" s="9"/>
      <c r="AA9" s="3" t="e">
        <f t="shared" ca="1" si="0"/>
        <v>#N/A</v>
      </c>
      <c r="AB9" s="3" t="e">
        <f t="shared" ca="1" si="1"/>
        <v>#N/A</v>
      </c>
      <c r="AC9" s="3" t="e">
        <f t="shared" ca="1" si="1"/>
        <v>#N/A</v>
      </c>
    </row>
    <row r="10" spans="2:29" ht="15" x14ac:dyDescent="0.25">
      <c r="B10" s="23" t="s">
        <v>95</v>
      </c>
      <c r="C10" s="15" t="e">
        <f ca="1">VLOOKUP(CONCATENATE(LEFT(C$7, 7), "hscp", $B10), [0]!data_range, 5, FALSE)</f>
        <v>#N/A</v>
      </c>
      <c r="D10" s="15" t="e">
        <f ca="1">VLOOKUP(CONCATENATE(LEFT(D$7, 7), "hscp", $B10), [0]!data_range, 5, FALSE)</f>
        <v>#N/A</v>
      </c>
      <c r="E10" s="15" t="e">
        <f ca="1">VLOOKUP(CONCATENATE(LEFT(E$7, 7), "hscp", $B10), [0]!data_range, 5, FALSE)</f>
        <v>#N/A</v>
      </c>
      <c r="F10" s="15" t="e">
        <f ca="1">VLOOKUP(CONCATENATE(LEFT(F$7, 7), "hscp", $B10), [0]!data_range, 5, FALSE)</f>
        <v>#N/A</v>
      </c>
      <c r="G10" s="15" t="e">
        <f ca="1">VLOOKUP(CONCATENATE(LEFT(G$7, 7), "hscp", $B10), [0]!data_range, 5, FALSE)</f>
        <v>#N/A</v>
      </c>
      <c r="H10" s="15" t="e">
        <f ca="1">VLOOKUP(CONCATENATE(LEFT(H$7, 7), "hscp", $B10), [0]!data_range, 5, FALSE)</f>
        <v>#N/A</v>
      </c>
      <c r="I10" s="15" t="e">
        <f ca="1">VLOOKUP(CONCATENATE(LEFT(I$7, 7), "hscp", $B10), [0]!data_range, 5, FALSE)</f>
        <v>#N/A</v>
      </c>
      <c r="J10" s="15" t="e">
        <f ca="1">VLOOKUP(CONCATENATE(LEFT(J$7, 7), "hscp", $B10), [0]!data_range, 5, FALSE)</f>
        <v>#N/A</v>
      </c>
      <c r="K10" s="15" t="e">
        <f ca="1">VLOOKUP(CONCATENATE(LEFT(K$7, 7), "hscp", $B10), [0]!data_range, 5, FALSE)</f>
        <v>#N/A</v>
      </c>
      <c r="L10" s="68"/>
      <c r="M10" s="14"/>
      <c r="N10" s="14"/>
      <c r="O10" s="14"/>
      <c r="P10" s="14"/>
      <c r="Q10" s="14"/>
      <c r="R10" s="14"/>
      <c r="S10" s="14"/>
      <c r="T10" s="9"/>
      <c r="U10" s="9"/>
      <c r="V10" s="9"/>
      <c r="W10" s="9"/>
      <c r="X10" s="9"/>
      <c r="Y10" s="9"/>
      <c r="Z10" s="9"/>
      <c r="AA10" s="3" t="e">
        <f t="shared" ca="1" si="0"/>
        <v>#N/A</v>
      </c>
      <c r="AB10" s="3" t="e">
        <f t="shared" ca="1" si="1"/>
        <v>#N/A</v>
      </c>
      <c r="AC10" s="3" t="e">
        <f t="shared" ca="1" si="1"/>
        <v>#N/A</v>
      </c>
    </row>
    <row r="11" spans="2:29" ht="15" x14ac:dyDescent="0.25">
      <c r="B11" s="23" t="s">
        <v>96</v>
      </c>
      <c r="C11" s="15" t="e">
        <f ca="1">VLOOKUP(CONCATENATE(LEFT(C$7, 7), "hscp", $B11), [0]!data_range, 5, FALSE)</f>
        <v>#N/A</v>
      </c>
      <c r="D11" s="15" t="e">
        <f ca="1">VLOOKUP(CONCATENATE(LEFT(D$7, 7), "hscp", $B11), [0]!data_range, 5, FALSE)</f>
        <v>#N/A</v>
      </c>
      <c r="E11" s="15" t="e">
        <f ca="1">VLOOKUP(CONCATENATE(LEFT(E$7, 7), "hscp", $B11), [0]!data_range, 5, FALSE)</f>
        <v>#N/A</v>
      </c>
      <c r="F11" s="15" t="e">
        <f ca="1">VLOOKUP(CONCATENATE(LEFT(F$7, 7), "hscp", $B11), [0]!data_range, 5, FALSE)</f>
        <v>#N/A</v>
      </c>
      <c r="G11" s="15" t="e">
        <f ca="1">VLOOKUP(CONCATENATE(LEFT(G$7, 7), "hscp", $B11), [0]!data_range, 5, FALSE)</f>
        <v>#N/A</v>
      </c>
      <c r="H11" s="15" t="e">
        <f ca="1">VLOOKUP(CONCATENATE(LEFT(H$7, 7), "hscp", $B11), [0]!data_range, 5, FALSE)</f>
        <v>#N/A</v>
      </c>
      <c r="I11" s="15" t="e">
        <f ca="1">VLOOKUP(CONCATENATE(LEFT(I$7, 7), "hscp", $B11), [0]!data_range, 5, FALSE)</f>
        <v>#N/A</v>
      </c>
      <c r="J11" s="15" t="e">
        <f ca="1">VLOOKUP(CONCATENATE(LEFT(J$7, 7), "hscp", $B11), [0]!data_range, 5, FALSE)</f>
        <v>#N/A</v>
      </c>
      <c r="K11" s="15" t="e">
        <f ca="1">VLOOKUP(CONCATENATE(LEFT(K$7, 7), "hscp", $B11), [0]!data_range, 5, FALSE)</f>
        <v>#N/A</v>
      </c>
      <c r="L11" s="68"/>
      <c r="M11" s="14"/>
      <c r="N11" s="14"/>
      <c r="O11" s="14"/>
      <c r="P11" s="14"/>
      <c r="Q11" s="14"/>
      <c r="R11" s="14"/>
      <c r="S11" s="14"/>
      <c r="T11" s="9"/>
      <c r="U11" s="9"/>
      <c r="V11" s="9"/>
      <c r="W11" s="9"/>
      <c r="X11" s="9"/>
      <c r="Y11" s="9"/>
      <c r="Z11" s="9"/>
      <c r="AA11" s="3" t="e">
        <f t="shared" ca="1" si="0"/>
        <v>#N/A</v>
      </c>
      <c r="AB11" s="3" t="e">
        <f t="shared" ca="1" si="1"/>
        <v>#N/A</v>
      </c>
      <c r="AC11" s="3" t="e">
        <f t="shared" ca="1" si="1"/>
        <v>#N/A</v>
      </c>
    </row>
    <row r="12" spans="2:29" ht="15" x14ac:dyDescent="0.25">
      <c r="B12" s="23" t="s">
        <v>154</v>
      </c>
      <c r="C12" s="15" t="e">
        <f ca="1">VLOOKUP(CONCATENATE(LEFT(C$7, 7), "hscp", $B12), [0]!data_range, 5, FALSE)</f>
        <v>#N/A</v>
      </c>
      <c r="D12" s="15" t="e">
        <f ca="1">VLOOKUP(CONCATENATE(LEFT(D$7, 7), "hscp", $B12), [0]!data_range, 5, FALSE)</f>
        <v>#N/A</v>
      </c>
      <c r="E12" s="15" t="e">
        <f ca="1">VLOOKUP(CONCATENATE(LEFT(E$7, 7), "hscp", $B12), [0]!data_range, 5, FALSE)</f>
        <v>#N/A</v>
      </c>
      <c r="F12" s="15" t="e">
        <f ca="1">VLOOKUP(CONCATENATE(LEFT(F$7, 7), "hscp", $B12), [0]!data_range, 5, FALSE)</f>
        <v>#N/A</v>
      </c>
      <c r="G12" s="15" t="e">
        <f ca="1">VLOOKUP(CONCATENATE(LEFT(G$7, 7), "hscp", $B12), [0]!data_range, 5, FALSE)</f>
        <v>#N/A</v>
      </c>
      <c r="H12" s="15" t="e">
        <f ca="1">VLOOKUP(CONCATENATE(LEFT(H$7, 7), "hscp", $B12), [0]!data_range, 5, FALSE)</f>
        <v>#N/A</v>
      </c>
      <c r="I12" s="15" t="e">
        <f ca="1">VLOOKUP(CONCATENATE(LEFT(I$7, 7), "hscp", $B12), [0]!data_range, 5, FALSE)</f>
        <v>#N/A</v>
      </c>
      <c r="J12" s="15" t="e">
        <f ca="1">VLOOKUP(CONCATENATE(LEFT(J$7, 7), "hscp", $B12), [0]!data_range, 5, FALSE)</f>
        <v>#N/A</v>
      </c>
      <c r="K12" s="15" t="e">
        <f ca="1">VLOOKUP(CONCATENATE(LEFT(K$7, 7), "hscp", $B12), [0]!data_range, 5, FALSE)</f>
        <v>#N/A</v>
      </c>
      <c r="L12" s="68"/>
      <c r="M12" s="14"/>
      <c r="N12" s="14"/>
      <c r="O12" s="14"/>
      <c r="P12" s="14"/>
      <c r="Q12" s="14"/>
      <c r="R12" s="14"/>
      <c r="S12" s="14"/>
      <c r="T12" s="9"/>
      <c r="U12" s="9"/>
      <c r="V12" s="9"/>
      <c r="W12" s="9"/>
      <c r="X12" s="9"/>
      <c r="Y12" s="9"/>
      <c r="Z12" s="9"/>
      <c r="AA12" s="3" t="e">
        <f t="shared" ca="1" si="0"/>
        <v>#N/A</v>
      </c>
      <c r="AB12" s="3" t="e">
        <f t="shared" ca="1" si="1"/>
        <v>#N/A</v>
      </c>
      <c r="AC12" s="3" t="e">
        <f t="shared" ca="1" si="1"/>
        <v>#N/A</v>
      </c>
    </row>
    <row r="13" spans="2:29" ht="15" x14ac:dyDescent="0.25">
      <c r="B13" s="23" t="s">
        <v>2</v>
      </c>
      <c r="C13" s="15" t="e">
        <f ca="1">VLOOKUP(CONCATENATE(LEFT(C$7, 7), "hscp", $B13), [0]!data_range, 5, FALSE)</f>
        <v>#N/A</v>
      </c>
      <c r="D13" s="15" t="e">
        <f ca="1">VLOOKUP(CONCATENATE(LEFT(D$7, 7), "hscp", $B13), [0]!data_range, 5, FALSE)</f>
        <v>#N/A</v>
      </c>
      <c r="E13" s="15" t="e">
        <f ca="1">VLOOKUP(CONCATENATE(LEFT(E$7, 7), "hscp", $B13), [0]!data_range, 5, FALSE)</f>
        <v>#N/A</v>
      </c>
      <c r="F13" s="15" t="e">
        <f ca="1">VLOOKUP(CONCATENATE(LEFT(F$7, 7), "hscp", $B13), [0]!data_range, 5, FALSE)</f>
        <v>#N/A</v>
      </c>
      <c r="G13" s="15" t="e">
        <f ca="1">VLOOKUP(CONCATENATE(LEFT(G$7, 7), "hscp", $B13), [0]!data_range, 5, FALSE)</f>
        <v>#N/A</v>
      </c>
      <c r="H13" s="15" t="e">
        <f ca="1">VLOOKUP(CONCATENATE(LEFT(H$7, 7), "hscp", $B13), [0]!data_range, 5, FALSE)</f>
        <v>#N/A</v>
      </c>
      <c r="I13" s="15" t="e">
        <f ca="1">VLOOKUP(CONCATENATE(LEFT(I$7, 7), "hscp", $B13), [0]!data_range, 5, FALSE)</f>
        <v>#N/A</v>
      </c>
      <c r="J13" s="15" t="e">
        <f ca="1">VLOOKUP(CONCATENATE(LEFT(J$7, 7), "hscp", $B13), [0]!data_range, 5, FALSE)</f>
        <v>#N/A</v>
      </c>
      <c r="K13" s="15" t="e">
        <f ca="1">VLOOKUP(CONCATENATE(LEFT(K$7, 7), "hscp", $B13), [0]!data_range, 5, FALSE)</f>
        <v>#N/A</v>
      </c>
      <c r="L13" s="68"/>
      <c r="M13" s="14"/>
      <c r="N13" s="14"/>
      <c r="O13" s="14"/>
      <c r="P13" s="14"/>
      <c r="Q13" s="14"/>
      <c r="R13" s="14"/>
      <c r="S13" s="14"/>
      <c r="T13" s="9"/>
      <c r="U13" s="9"/>
      <c r="V13" s="9"/>
      <c r="W13" s="9"/>
      <c r="X13" s="9"/>
      <c r="Y13" s="9"/>
      <c r="Z13" s="9"/>
      <c r="AA13" s="3" t="e">
        <f t="shared" ca="1" si="0"/>
        <v>#N/A</v>
      </c>
      <c r="AB13" s="3" t="e">
        <f t="shared" ca="1" si="1"/>
        <v>#N/A</v>
      </c>
      <c r="AC13" s="3" t="e">
        <f t="shared" ca="1" si="1"/>
        <v>#N/A</v>
      </c>
    </row>
    <row r="14" spans="2:29" ht="15" x14ac:dyDescent="0.25">
      <c r="B14" s="23" t="s">
        <v>97</v>
      </c>
      <c r="C14" s="15" t="e">
        <f ca="1">VLOOKUP(CONCATENATE(LEFT(C$7, 7), "hscp", $B14), [0]!data_range, 5, FALSE)</f>
        <v>#N/A</v>
      </c>
      <c r="D14" s="15" t="e">
        <f ca="1">VLOOKUP(CONCATENATE(LEFT(D$7, 7), "hscp", $B14), [0]!data_range, 5, FALSE)</f>
        <v>#N/A</v>
      </c>
      <c r="E14" s="15" t="e">
        <f ca="1">VLOOKUP(CONCATENATE(LEFT(E$7, 7), "hscp", $B14), [0]!data_range, 5, FALSE)</f>
        <v>#N/A</v>
      </c>
      <c r="F14" s="15" t="e">
        <f ca="1">VLOOKUP(CONCATENATE(LEFT(F$7, 7), "hscp", $B14), [0]!data_range, 5, FALSE)</f>
        <v>#N/A</v>
      </c>
      <c r="G14" s="15" t="e">
        <f ca="1">VLOOKUP(CONCATENATE(LEFT(G$7, 7), "hscp", $B14), [0]!data_range, 5, FALSE)</f>
        <v>#N/A</v>
      </c>
      <c r="H14" s="15" t="e">
        <f ca="1">VLOOKUP(CONCATENATE(LEFT(H$7, 7), "hscp", $B14), [0]!data_range, 5, FALSE)</f>
        <v>#N/A</v>
      </c>
      <c r="I14" s="15" t="e">
        <f ca="1">VLOOKUP(CONCATENATE(LEFT(I$7, 7), "hscp", $B14), [0]!data_range, 5, FALSE)</f>
        <v>#N/A</v>
      </c>
      <c r="J14" s="15" t="e">
        <f ca="1">VLOOKUP(CONCATENATE(LEFT(J$7, 7), "hscp", $B14), [0]!data_range, 5, FALSE)</f>
        <v>#N/A</v>
      </c>
      <c r="K14" s="15" t="e">
        <f ca="1">VLOOKUP(CONCATENATE(LEFT(K$7, 7), "hscp", $B14), [0]!data_range, 5, FALSE)</f>
        <v>#N/A</v>
      </c>
      <c r="L14" s="68"/>
      <c r="M14" s="14"/>
      <c r="N14" s="14"/>
      <c r="O14" s="14"/>
      <c r="P14" s="14"/>
      <c r="Q14" s="14"/>
      <c r="R14" s="14"/>
      <c r="S14" s="14"/>
      <c r="T14" s="9"/>
      <c r="U14" s="9"/>
      <c r="V14" s="9"/>
      <c r="W14" s="9"/>
      <c r="X14" s="9"/>
      <c r="Y14" s="9"/>
      <c r="Z14" s="9"/>
      <c r="AA14" s="3" t="e">
        <f t="shared" ca="1" si="0"/>
        <v>#N/A</v>
      </c>
      <c r="AB14" s="3" t="e">
        <f t="shared" ca="1" si="1"/>
        <v>#N/A</v>
      </c>
      <c r="AC14" s="3" t="e">
        <f t="shared" ca="1" si="1"/>
        <v>#N/A</v>
      </c>
    </row>
    <row r="15" spans="2:29" ht="15" x14ac:dyDescent="0.25">
      <c r="B15" s="23" t="s">
        <v>98</v>
      </c>
      <c r="C15" s="15" t="e">
        <f ca="1">VLOOKUP(CONCATENATE(LEFT(C$7, 7), "hscp", $B15), [0]!data_range, 5, FALSE)</f>
        <v>#N/A</v>
      </c>
      <c r="D15" s="15" t="e">
        <f ca="1">VLOOKUP(CONCATENATE(LEFT(D$7, 7), "hscp", $B15), [0]!data_range, 5, FALSE)</f>
        <v>#N/A</v>
      </c>
      <c r="E15" s="15" t="e">
        <f ca="1">VLOOKUP(CONCATENATE(LEFT(E$7, 7), "hscp", $B15), [0]!data_range, 5, FALSE)</f>
        <v>#N/A</v>
      </c>
      <c r="F15" s="15" t="e">
        <f ca="1">VLOOKUP(CONCATENATE(LEFT(F$7, 7), "hscp", $B15), [0]!data_range, 5, FALSE)</f>
        <v>#N/A</v>
      </c>
      <c r="G15" s="15" t="e">
        <f ca="1">VLOOKUP(CONCATENATE(LEFT(G$7, 7), "hscp", $B15), [0]!data_range, 5, FALSE)</f>
        <v>#N/A</v>
      </c>
      <c r="H15" s="15" t="e">
        <f ca="1">VLOOKUP(CONCATENATE(LEFT(H$7, 7), "hscp", $B15), [0]!data_range, 5, FALSE)</f>
        <v>#N/A</v>
      </c>
      <c r="I15" s="15" t="e">
        <f ca="1">VLOOKUP(CONCATENATE(LEFT(I$7, 7), "hscp", $B15), [0]!data_range, 5, FALSE)</f>
        <v>#N/A</v>
      </c>
      <c r="J15" s="15" t="e">
        <f ca="1">VLOOKUP(CONCATENATE(LEFT(J$7, 7), "hscp", $B15), [0]!data_range, 5, FALSE)</f>
        <v>#N/A</v>
      </c>
      <c r="K15" s="15" t="e">
        <f ca="1">VLOOKUP(CONCATENATE(LEFT(K$7, 7), "hscp", $B15), [0]!data_range, 5, FALSE)</f>
        <v>#N/A</v>
      </c>
      <c r="L15" s="68"/>
      <c r="M15" s="14"/>
      <c r="N15" s="14"/>
      <c r="O15" s="14"/>
      <c r="P15" s="14"/>
      <c r="Q15" s="14"/>
      <c r="R15" s="14"/>
      <c r="S15" s="14"/>
      <c r="T15" s="9"/>
      <c r="U15" s="9"/>
      <c r="V15" s="9"/>
      <c r="W15" s="9"/>
      <c r="X15" s="9"/>
      <c r="Y15" s="9"/>
      <c r="Z15" s="9"/>
      <c r="AA15" s="3" t="e">
        <f t="shared" ca="1" si="0"/>
        <v>#N/A</v>
      </c>
      <c r="AB15" s="3" t="e">
        <f t="shared" ca="1" si="1"/>
        <v>#N/A</v>
      </c>
      <c r="AC15" s="3" t="e">
        <f t="shared" ca="1" si="1"/>
        <v>#N/A</v>
      </c>
    </row>
    <row r="16" spans="2:29" ht="15" x14ac:dyDescent="0.25">
      <c r="B16" s="23" t="s">
        <v>99</v>
      </c>
      <c r="C16" s="15" t="e">
        <f ca="1">VLOOKUP(CONCATENATE(LEFT(C$7, 7), "hscp", $B16), [0]!data_range, 5, FALSE)</f>
        <v>#N/A</v>
      </c>
      <c r="D16" s="15" t="e">
        <f ca="1">VLOOKUP(CONCATENATE(LEFT(D$7, 7), "hscp", $B16), [0]!data_range, 5, FALSE)</f>
        <v>#N/A</v>
      </c>
      <c r="E16" s="15" t="e">
        <f ca="1">VLOOKUP(CONCATENATE(LEFT(E$7, 7), "hscp", $B16), [0]!data_range, 5, FALSE)</f>
        <v>#N/A</v>
      </c>
      <c r="F16" s="15" t="e">
        <f ca="1">VLOOKUP(CONCATENATE(LEFT(F$7, 7), "hscp", $B16), [0]!data_range, 5, FALSE)</f>
        <v>#N/A</v>
      </c>
      <c r="G16" s="15" t="e">
        <f ca="1">VLOOKUP(CONCATENATE(LEFT(G$7, 7), "hscp", $B16), [0]!data_range, 5, FALSE)</f>
        <v>#N/A</v>
      </c>
      <c r="H16" s="15" t="e">
        <f ca="1">VLOOKUP(CONCATENATE(LEFT(H$7, 7), "hscp", $B16), [0]!data_range, 5, FALSE)</f>
        <v>#N/A</v>
      </c>
      <c r="I16" s="15" t="e">
        <f ca="1">VLOOKUP(CONCATENATE(LEFT(I$7, 7), "hscp", $B16), [0]!data_range, 5, FALSE)</f>
        <v>#N/A</v>
      </c>
      <c r="J16" s="15" t="e">
        <f ca="1">VLOOKUP(CONCATENATE(LEFT(J$7, 7), "hscp", $B16), [0]!data_range, 5, FALSE)</f>
        <v>#N/A</v>
      </c>
      <c r="K16" s="15" t="e">
        <f ca="1">VLOOKUP(CONCATENATE(LEFT(K$7, 7), "hscp", $B16), [0]!data_range, 5, FALSE)</f>
        <v>#N/A</v>
      </c>
      <c r="L16" s="68"/>
      <c r="M16" s="14"/>
      <c r="N16" s="14"/>
      <c r="O16" s="14"/>
      <c r="P16" s="14"/>
      <c r="Q16" s="14"/>
      <c r="R16" s="14"/>
      <c r="S16" s="14"/>
      <c r="T16" s="9"/>
      <c r="U16" s="9"/>
      <c r="V16" s="9"/>
      <c r="W16" s="9"/>
      <c r="X16" s="9"/>
      <c r="Y16" s="9"/>
      <c r="Z16" s="9"/>
      <c r="AA16" s="3" t="e">
        <f t="shared" ca="1" si="0"/>
        <v>#N/A</v>
      </c>
      <c r="AB16" s="3" t="e">
        <f t="shared" ca="1" si="1"/>
        <v>#N/A</v>
      </c>
      <c r="AC16" s="3" t="e">
        <f t="shared" ca="1" si="1"/>
        <v>#N/A</v>
      </c>
    </row>
    <row r="17" spans="2:29" ht="15" x14ac:dyDescent="0.25">
      <c r="B17" s="23" t="s">
        <v>100</v>
      </c>
      <c r="C17" s="15" t="e">
        <f ca="1">VLOOKUP(CONCATENATE(LEFT(C$7, 7), "hscp", $B17), [0]!data_range, 5, FALSE)</f>
        <v>#N/A</v>
      </c>
      <c r="D17" s="15" t="e">
        <f ca="1">VLOOKUP(CONCATENATE(LEFT(D$7, 7), "hscp", $B17), [0]!data_range, 5, FALSE)</f>
        <v>#N/A</v>
      </c>
      <c r="E17" s="15" t="e">
        <f ca="1">VLOOKUP(CONCATENATE(LEFT(E$7, 7), "hscp", $B17), [0]!data_range, 5, FALSE)</f>
        <v>#N/A</v>
      </c>
      <c r="F17" s="15" t="e">
        <f ca="1">VLOOKUP(CONCATENATE(LEFT(F$7, 7), "hscp", $B17), [0]!data_range, 5, FALSE)</f>
        <v>#N/A</v>
      </c>
      <c r="G17" s="15" t="e">
        <f ca="1">VLOOKUP(CONCATENATE(LEFT(G$7, 7), "hscp", $B17), [0]!data_range, 5, FALSE)</f>
        <v>#N/A</v>
      </c>
      <c r="H17" s="15" t="e">
        <f ca="1">VLOOKUP(CONCATENATE(LEFT(H$7, 7), "hscp", $B17), [0]!data_range, 5, FALSE)</f>
        <v>#N/A</v>
      </c>
      <c r="I17" s="15" t="e">
        <f ca="1">VLOOKUP(CONCATENATE(LEFT(I$7, 7), "hscp", $B17), [0]!data_range, 5, FALSE)</f>
        <v>#N/A</v>
      </c>
      <c r="J17" s="15" t="e">
        <f ca="1">VLOOKUP(CONCATENATE(LEFT(J$7, 7), "hscp", $B17), [0]!data_range, 5, FALSE)</f>
        <v>#N/A</v>
      </c>
      <c r="K17" s="15" t="e">
        <f ca="1">VLOOKUP(CONCATENATE(LEFT(K$7, 7), "hscp", $B17), [0]!data_range, 5, FALSE)</f>
        <v>#N/A</v>
      </c>
      <c r="L17" s="68"/>
      <c r="M17" s="14"/>
      <c r="N17" s="14"/>
      <c r="O17" s="14"/>
      <c r="P17" s="14"/>
      <c r="Q17" s="14"/>
      <c r="R17" s="14"/>
      <c r="S17" s="14"/>
      <c r="T17" s="9"/>
      <c r="U17" s="9"/>
      <c r="V17" s="9"/>
      <c r="W17" s="9"/>
      <c r="X17" s="9"/>
      <c r="Y17" s="9"/>
      <c r="Z17" s="9"/>
      <c r="AA17" s="3" t="e">
        <f t="shared" ca="1" si="0"/>
        <v>#N/A</v>
      </c>
      <c r="AB17" s="3" t="e">
        <f t="shared" ca="1" si="1"/>
        <v>#N/A</v>
      </c>
      <c r="AC17" s="3" t="e">
        <f t="shared" ca="1" si="1"/>
        <v>#N/A</v>
      </c>
    </row>
    <row r="18" spans="2:29" ht="15" x14ac:dyDescent="0.25">
      <c r="B18" s="23" t="s">
        <v>101</v>
      </c>
      <c r="C18" s="15" t="e">
        <f ca="1">VLOOKUP(CONCATENATE(LEFT(C$7, 7), "hscp", $B18), [0]!data_range, 5, FALSE)</f>
        <v>#N/A</v>
      </c>
      <c r="D18" s="15" t="e">
        <f ca="1">VLOOKUP(CONCATENATE(LEFT(D$7, 7), "hscp", $B18), [0]!data_range, 5, FALSE)</f>
        <v>#N/A</v>
      </c>
      <c r="E18" s="15" t="e">
        <f ca="1">VLOOKUP(CONCATENATE(LEFT(E$7, 7), "hscp", $B18), [0]!data_range, 5, FALSE)</f>
        <v>#N/A</v>
      </c>
      <c r="F18" s="15" t="e">
        <f ca="1">VLOOKUP(CONCATENATE(LEFT(F$7, 7), "hscp", $B18), [0]!data_range, 5, FALSE)</f>
        <v>#N/A</v>
      </c>
      <c r="G18" s="15" t="e">
        <f ca="1">VLOOKUP(CONCATENATE(LEFT(G$7, 7), "hscp", $B18), [0]!data_range, 5, FALSE)</f>
        <v>#N/A</v>
      </c>
      <c r="H18" s="15" t="e">
        <f ca="1">VLOOKUP(CONCATENATE(LEFT(H$7, 7), "hscp", $B18), [0]!data_range, 5, FALSE)</f>
        <v>#N/A</v>
      </c>
      <c r="I18" s="15" t="e">
        <f ca="1">VLOOKUP(CONCATENATE(LEFT(I$7, 7), "hscp", $B18), [0]!data_range, 5, FALSE)</f>
        <v>#N/A</v>
      </c>
      <c r="J18" s="15" t="e">
        <f ca="1">VLOOKUP(CONCATENATE(LEFT(J$7, 7), "hscp", $B18), [0]!data_range, 5, FALSE)</f>
        <v>#N/A</v>
      </c>
      <c r="K18" s="15" t="e">
        <f ca="1">VLOOKUP(CONCATENATE(LEFT(K$7, 7), "hscp", $B18), [0]!data_range, 5, FALSE)</f>
        <v>#N/A</v>
      </c>
      <c r="L18" s="68"/>
      <c r="M18" s="14"/>
      <c r="N18" s="14"/>
      <c r="O18" s="14"/>
      <c r="P18" s="14"/>
      <c r="Q18" s="14"/>
      <c r="R18" s="14"/>
      <c r="S18" s="14"/>
      <c r="T18" s="9"/>
      <c r="U18" s="9"/>
      <c r="V18" s="9"/>
      <c r="W18" s="9"/>
      <c r="X18" s="9"/>
      <c r="Y18" s="9"/>
      <c r="Z18" s="9"/>
      <c r="AA18" s="3" t="e">
        <f t="shared" ca="1" si="0"/>
        <v>#N/A</v>
      </c>
      <c r="AB18" s="3" t="e">
        <f t="shared" ca="1" si="1"/>
        <v>#N/A</v>
      </c>
      <c r="AC18" s="3" t="e">
        <f t="shared" ca="1" si="1"/>
        <v>#N/A</v>
      </c>
    </row>
    <row r="19" spans="2:29" ht="15" x14ac:dyDescent="0.25">
      <c r="B19" s="23" t="s">
        <v>158</v>
      </c>
      <c r="C19" s="15" t="e">
        <f ca="1">VLOOKUP(CONCATENATE(LEFT(C$7, 7), "hscp", $B19), [0]!data_range, 5, FALSE)</f>
        <v>#N/A</v>
      </c>
      <c r="D19" s="15" t="e">
        <f ca="1">VLOOKUP(CONCATENATE(LEFT(D$7, 7), "hscp", $B19), [0]!data_range, 5, FALSE)</f>
        <v>#N/A</v>
      </c>
      <c r="E19" s="15" t="e">
        <f ca="1">VLOOKUP(CONCATENATE(LEFT(E$7, 7), "hscp", $B19), [0]!data_range, 5, FALSE)</f>
        <v>#N/A</v>
      </c>
      <c r="F19" s="15" t="e">
        <f ca="1">VLOOKUP(CONCATENATE(LEFT(F$7, 7), "hscp", $B19), [0]!data_range, 5, FALSE)</f>
        <v>#N/A</v>
      </c>
      <c r="G19" s="15" t="e">
        <f ca="1">VLOOKUP(CONCATENATE(LEFT(G$7, 7), "hscp", $B19), [0]!data_range, 5, FALSE)</f>
        <v>#N/A</v>
      </c>
      <c r="H19" s="15" t="e">
        <f ca="1">VLOOKUP(CONCATENATE(LEFT(H$7, 7), "hscp", $B19), [0]!data_range, 5, FALSE)</f>
        <v>#N/A</v>
      </c>
      <c r="I19" s="15" t="e">
        <f ca="1">VLOOKUP(CONCATENATE(LEFT(I$7, 7), "hscp", $B19), [0]!data_range, 5, FALSE)</f>
        <v>#N/A</v>
      </c>
      <c r="J19" s="15" t="e">
        <f ca="1">VLOOKUP(CONCATENATE(LEFT(J$7, 7), "hscp", $B19), [0]!data_range, 5, FALSE)</f>
        <v>#N/A</v>
      </c>
      <c r="K19" s="15" t="e">
        <f ca="1">VLOOKUP(CONCATENATE(LEFT(K$7, 7), "hscp", $B19), [0]!data_range, 5, FALSE)</f>
        <v>#N/A</v>
      </c>
      <c r="L19" s="68"/>
      <c r="M19" s="14"/>
      <c r="N19" s="14"/>
      <c r="O19" s="14"/>
      <c r="P19" s="14"/>
      <c r="Q19" s="14"/>
      <c r="R19" s="14"/>
      <c r="S19" s="14"/>
      <c r="T19" s="9"/>
      <c r="U19" s="9"/>
      <c r="V19" s="9"/>
      <c r="W19" s="9"/>
      <c r="X19" s="9"/>
      <c r="Y19" s="9"/>
      <c r="Z19" s="9"/>
      <c r="AA19" s="3" t="e">
        <f t="shared" ca="1" si="0"/>
        <v>#N/A</v>
      </c>
      <c r="AB19" s="3" t="e">
        <f t="shared" ca="1" si="1"/>
        <v>#N/A</v>
      </c>
      <c r="AC19" s="3" t="e">
        <f t="shared" ca="1" si="1"/>
        <v>#N/A</v>
      </c>
    </row>
    <row r="20" spans="2:29" ht="15" x14ac:dyDescent="0.25">
      <c r="B20" s="23" t="s">
        <v>102</v>
      </c>
      <c r="C20" s="15" t="e">
        <f ca="1">VLOOKUP(CONCATENATE(LEFT(C$7, 7), "hscp", $B20), [0]!data_range, 5, FALSE)</f>
        <v>#N/A</v>
      </c>
      <c r="D20" s="15" t="e">
        <f ca="1">VLOOKUP(CONCATENATE(LEFT(D$7, 7), "hscp", $B20), [0]!data_range, 5, FALSE)</f>
        <v>#N/A</v>
      </c>
      <c r="E20" s="15" t="e">
        <f ca="1">VLOOKUP(CONCATENATE(LEFT(E$7, 7), "hscp", $B20), [0]!data_range, 5, FALSE)</f>
        <v>#N/A</v>
      </c>
      <c r="F20" s="15" t="e">
        <f ca="1">VLOOKUP(CONCATENATE(LEFT(F$7, 7), "hscp", $B20), [0]!data_range, 5, FALSE)</f>
        <v>#N/A</v>
      </c>
      <c r="G20" s="15" t="e">
        <f ca="1">VLOOKUP(CONCATENATE(LEFT(G$7, 7), "hscp", $B20), [0]!data_range, 5, FALSE)</f>
        <v>#N/A</v>
      </c>
      <c r="H20" s="15" t="e">
        <f ca="1">VLOOKUP(CONCATENATE(LEFT(H$7, 7), "hscp", $B20), [0]!data_range, 5, FALSE)</f>
        <v>#N/A</v>
      </c>
      <c r="I20" s="15" t="e">
        <f ca="1">VLOOKUP(CONCATENATE(LEFT(I$7, 7), "hscp", $B20), [0]!data_range, 5, FALSE)</f>
        <v>#N/A</v>
      </c>
      <c r="J20" s="15" t="e">
        <f ca="1">VLOOKUP(CONCATENATE(LEFT(J$7, 7), "hscp", $B20), [0]!data_range, 5, FALSE)</f>
        <v>#N/A</v>
      </c>
      <c r="K20" s="15" t="e">
        <f ca="1">VLOOKUP(CONCATENATE(LEFT(K$7, 7), "hscp", $B20), [0]!data_range, 5, FALSE)</f>
        <v>#N/A</v>
      </c>
      <c r="L20" s="68"/>
      <c r="M20" s="14"/>
      <c r="N20" s="14"/>
      <c r="O20" s="14"/>
      <c r="P20" s="14"/>
      <c r="Q20" s="14"/>
      <c r="R20" s="14"/>
      <c r="S20" s="14"/>
      <c r="T20" s="9"/>
      <c r="U20" s="9"/>
      <c r="V20" s="9"/>
      <c r="W20" s="9"/>
      <c r="X20" s="9"/>
      <c r="Y20" s="9"/>
      <c r="Z20" s="9"/>
      <c r="AA20" s="3" t="e">
        <f t="shared" ca="1" si="0"/>
        <v>#N/A</v>
      </c>
      <c r="AB20" s="3" t="e">
        <f t="shared" ca="1" si="1"/>
        <v>#N/A</v>
      </c>
      <c r="AC20" s="3" t="e">
        <f t="shared" ca="1" si="1"/>
        <v>#N/A</v>
      </c>
    </row>
    <row r="21" spans="2:29" ht="15" x14ac:dyDescent="0.25">
      <c r="B21" s="23" t="s">
        <v>3</v>
      </c>
      <c r="C21" s="15" t="e">
        <f ca="1">VLOOKUP(CONCATENATE(LEFT(C$7, 7), "hscp", $B21), [0]!data_range, 5, FALSE)</f>
        <v>#N/A</v>
      </c>
      <c r="D21" s="15" t="e">
        <f ca="1">VLOOKUP(CONCATENATE(LEFT(D$7, 7), "hscp", $B21), [0]!data_range, 5, FALSE)</f>
        <v>#N/A</v>
      </c>
      <c r="E21" s="15" t="e">
        <f ca="1">VLOOKUP(CONCATENATE(LEFT(E$7, 7), "hscp", $B21), [0]!data_range, 5, FALSE)</f>
        <v>#N/A</v>
      </c>
      <c r="F21" s="15" t="e">
        <f ca="1">VLOOKUP(CONCATENATE(LEFT(F$7, 7), "hscp", $B21), [0]!data_range, 5, FALSE)</f>
        <v>#N/A</v>
      </c>
      <c r="G21" s="15" t="e">
        <f ca="1">VLOOKUP(CONCATENATE(LEFT(G$7, 7), "hscp", $B21), [0]!data_range, 5, FALSE)</f>
        <v>#N/A</v>
      </c>
      <c r="H21" s="15" t="e">
        <f ca="1">VLOOKUP(CONCATENATE(LEFT(H$7, 7), "hscp", $B21), [0]!data_range, 5, FALSE)</f>
        <v>#N/A</v>
      </c>
      <c r="I21" s="15" t="e">
        <f ca="1">VLOOKUP(CONCATENATE(LEFT(I$7, 7), "hscp", $B21), [0]!data_range, 5, FALSE)</f>
        <v>#N/A</v>
      </c>
      <c r="J21" s="15" t="e">
        <f ca="1">VLOOKUP(CONCATENATE(LEFT(J$7, 7), "hscp", $B21), [0]!data_range, 5, FALSE)</f>
        <v>#N/A</v>
      </c>
      <c r="K21" s="15" t="e">
        <f ca="1">VLOOKUP(CONCATENATE(LEFT(K$7, 7), "hscp", $B21), [0]!data_range, 5, FALSE)</f>
        <v>#N/A</v>
      </c>
      <c r="L21" s="68"/>
      <c r="M21" s="14"/>
      <c r="N21" s="14"/>
      <c r="O21" s="14"/>
      <c r="P21" s="14"/>
      <c r="Q21" s="14"/>
      <c r="R21" s="14"/>
      <c r="S21" s="14"/>
      <c r="T21" s="9"/>
      <c r="U21" s="9"/>
      <c r="V21" s="9"/>
      <c r="W21" s="9"/>
      <c r="X21" s="9"/>
      <c r="Y21" s="9"/>
      <c r="Z21" s="9"/>
      <c r="AA21" s="3" t="e">
        <f t="shared" ca="1" si="0"/>
        <v>#N/A</v>
      </c>
      <c r="AB21" s="3" t="e">
        <f t="shared" ca="1" si="1"/>
        <v>#N/A</v>
      </c>
      <c r="AC21" s="3" t="e">
        <f t="shared" ca="1" si="1"/>
        <v>#N/A</v>
      </c>
    </row>
    <row r="22" spans="2:29" ht="15" x14ac:dyDescent="0.25">
      <c r="B22" s="23" t="s">
        <v>152</v>
      </c>
      <c r="C22" s="15" t="e">
        <f ca="1">VLOOKUP(CONCATENATE(LEFT(C$7, 7), "hscp", $B22), [0]!data_range, 5, FALSE)</f>
        <v>#N/A</v>
      </c>
      <c r="D22" s="15" t="e">
        <f ca="1">VLOOKUP(CONCATENATE(LEFT(D$7, 7), "hscp", $B22), [0]!data_range, 5, FALSE)</f>
        <v>#N/A</v>
      </c>
      <c r="E22" s="15" t="e">
        <f ca="1">VLOOKUP(CONCATENATE(LEFT(E$7, 7), "hscp", $B22), [0]!data_range, 5, FALSE)</f>
        <v>#N/A</v>
      </c>
      <c r="F22" s="15" t="e">
        <f ca="1">VLOOKUP(CONCATENATE(LEFT(F$7, 7), "hscp", $B22), [0]!data_range, 5, FALSE)</f>
        <v>#N/A</v>
      </c>
      <c r="G22" s="15" t="e">
        <f ca="1">VLOOKUP(CONCATENATE(LEFT(G$7, 7), "hscp", $B22), [0]!data_range, 5, FALSE)</f>
        <v>#N/A</v>
      </c>
      <c r="H22" s="15" t="e">
        <f ca="1">VLOOKUP(CONCATENATE(LEFT(H$7, 7), "hscp", $B22), [0]!data_range, 5, FALSE)</f>
        <v>#N/A</v>
      </c>
      <c r="I22" s="15" t="e">
        <f ca="1">VLOOKUP(CONCATENATE(LEFT(I$7, 7), "hscp", $B22), [0]!data_range, 5, FALSE)</f>
        <v>#N/A</v>
      </c>
      <c r="J22" s="15" t="e">
        <f ca="1">VLOOKUP(CONCATENATE(LEFT(J$7, 7), "hscp", $B22), [0]!data_range, 5, FALSE)</f>
        <v>#N/A</v>
      </c>
      <c r="K22" s="15" t="e">
        <f ca="1">VLOOKUP(CONCATENATE(LEFT(K$7, 7), "hscp", $B22), [0]!data_range, 5, FALSE)</f>
        <v>#N/A</v>
      </c>
      <c r="L22" s="68"/>
      <c r="M22" s="14"/>
      <c r="N22" s="14"/>
      <c r="O22" s="14"/>
      <c r="P22" s="14"/>
      <c r="Q22" s="14"/>
      <c r="R22" s="14"/>
      <c r="S22" s="14"/>
      <c r="T22" s="9"/>
      <c r="U22" s="9"/>
      <c r="V22" s="9"/>
      <c r="W22" s="9"/>
      <c r="X22" s="9"/>
      <c r="Y22" s="9"/>
      <c r="Z22" s="9"/>
      <c r="AA22" s="3" t="e">
        <f t="shared" ca="1" si="0"/>
        <v>#N/A</v>
      </c>
      <c r="AB22" s="3" t="e">
        <f t="shared" ca="1" si="1"/>
        <v>#N/A</v>
      </c>
      <c r="AC22" s="3" t="e">
        <f t="shared" ca="1" si="1"/>
        <v>#N/A</v>
      </c>
    </row>
    <row r="23" spans="2:29" ht="15" x14ac:dyDescent="0.25">
      <c r="B23" s="23" t="s">
        <v>7</v>
      </c>
      <c r="C23" s="15" t="e">
        <f ca="1">VLOOKUP(CONCATENATE(LEFT(C$7, 7), "hscp", $B23), [0]!data_range, 5, FALSE)</f>
        <v>#N/A</v>
      </c>
      <c r="D23" s="15" t="e">
        <f ca="1">VLOOKUP(CONCATENATE(LEFT(D$7, 7), "hscp", $B23), [0]!data_range, 5, FALSE)</f>
        <v>#N/A</v>
      </c>
      <c r="E23" s="15" t="e">
        <f ca="1">VLOOKUP(CONCATENATE(LEFT(E$7, 7), "hscp", $B23), [0]!data_range, 5, FALSE)</f>
        <v>#N/A</v>
      </c>
      <c r="F23" s="15" t="e">
        <f ca="1">VLOOKUP(CONCATENATE(LEFT(F$7, 7), "hscp", $B23), [0]!data_range, 5, FALSE)</f>
        <v>#N/A</v>
      </c>
      <c r="G23" s="15" t="e">
        <f ca="1">VLOOKUP(CONCATENATE(LEFT(G$7, 7), "hscp", $B23), [0]!data_range, 5, FALSE)</f>
        <v>#N/A</v>
      </c>
      <c r="H23" s="15" t="e">
        <f ca="1">VLOOKUP(CONCATENATE(LEFT(H$7, 7), "hscp", $B23), [0]!data_range, 5, FALSE)</f>
        <v>#N/A</v>
      </c>
      <c r="I23" s="15" t="e">
        <f ca="1">VLOOKUP(CONCATENATE(LEFT(I$7, 7), "hscp", $B23), [0]!data_range, 5, FALSE)</f>
        <v>#N/A</v>
      </c>
      <c r="J23" s="15" t="e">
        <f ca="1">VLOOKUP(CONCATENATE(LEFT(J$7, 7), "hscp", $B23), [0]!data_range, 5, FALSE)</f>
        <v>#N/A</v>
      </c>
      <c r="K23" s="15" t="e">
        <f ca="1">VLOOKUP(CONCATENATE(LEFT(K$7, 7), "hscp", $B23), [0]!data_range, 5, FALSE)</f>
        <v>#N/A</v>
      </c>
      <c r="L23" s="68"/>
      <c r="M23" s="14"/>
      <c r="N23" s="14"/>
      <c r="O23" s="14"/>
      <c r="P23" s="14"/>
      <c r="Q23" s="14"/>
      <c r="R23" s="14"/>
      <c r="S23" s="14"/>
      <c r="T23" s="9"/>
      <c r="U23" s="9"/>
      <c r="V23" s="9"/>
      <c r="W23" s="9"/>
      <c r="X23" s="9"/>
      <c r="Y23" s="9"/>
      <c r="Z23" s="9"/>
      <c r="AA23" s="3" t="e">
        <f t="shared" ca="1" si="0"/>
        <v>#N/A</v>
      </c>
      <c r="AB23" s="3" t="e">
        <f t="shared" ca="1" si="1"/>
        <v>#N/A</v>
      </c>
      <c r="AC23" s="3" t="e">
        <f t="shared" ca="1" si="1"/>
        <v>#N/A</v>
      </c>
    </row>
    <row r="24" spans="2:29" ht="15" x14ac:dyDescent="0.25">
      <c r="B24" s="23" t="s">
        <v>103</v>
      </c>
      <c r="C24" s="15" t="e">
        <f ca="1">VLOOKUP(CONCATENATE(LEFT(C$7, 7), "hscp", $B24), [0]!data_range, 5, FALSE)</f>
        <v>#N/A</v>
      </c>
      <c r="D24" s="15" t="e">
        <f ca="1">VLOOKUP(CONCATENATE(LEFT(D$7, 7), "hscp", $B24), [0]!data_range, 5, FALSE)</f>
        <v>#N/A</v>
      </c>
      <c r="E24" s="15" t="e">
        <f ca="1">VLOOKUP(CONCATENATE(LEFT(E$7, 7), "hscp", $B24), [0]!data_range, 5, FALSE)</f>
        <v>#N/A</v>
      </c>
      <c r="F24" s="15" t="e">
        <f ca="1">VLOOKUP(CONCATENATE(LEFT(F$7, 7), "hscp", $B24), [0]!data_range, 5, FALSE)</f>
        <v>#N/A</v>
      </c>
      <c r="G24" s="15" t="e">
        <f ca="1">VLOOKUP(CONCATENATE(LEFT(G$7, 7), "hscp", $B24), [0]!data_range, 5, FALSE)</f>
        <v>#N/A</v>
      </c>
      <c r="H24" s="15" t="e">
        <f ca="1">VLOOKUP(CONCATENATE(LEFT(H$7, 7), "hscp", $B24), [0]!data_range, 5, FALSE)</f>
        <v>#N/A</v>
      </c>
      <c r="I24" s="15" t="e">
        <f ca="1">VLOOKUP(CONCATENATE(LEFT(I$7, 7), "hscp", $B24), [0]!data_range, 5, FALSE)</f>
        <v>#N/A</v>
      </c>
      <c r="J24" s="15" t="e">
        <f ca="1">VLOOKUP(CONCATENATE(LEFT(J$7, 7), "hscp", $B24), [0]!data_range, 5, FALSE)</f>
        <v>#N/A</v>
      </c>
      <c r="K24" s="15" t="e">
        <f ca="1">VLOOKUP(CONCATENATE(LEFT(K$7, 7), "hscp", $B24), [0]!data_range, 5, FALSE)</f>
        <v>#N/A</v>
      </c>
      <c r="L24" s="68"/>
      <c r="M24" s="14"/>
      <c r="N24" s="14"/>
      <c r="O24" s="14"/>
      <c r="P24" s="14"/>
      <c r="Q24" s="14"/>
      <c r="R24" s="14"/>
      <c r="S24" s="14"/>
      <c r="T24" s="9"/>
      <c r="U24" s="9"/>
      <c r="V24" s="9"/>
      <c r="W24" s="9"/>
      <c r="X24" s="9"/>
      <c r="Y24" s="9"/>
      <c r="Z24" s="9"/>
      <c r="AA24" s="3" t="e">
        <f t="shared" ref="AA24:AA39" ca="1" si="2">R24=H24</f>
        <v>#N/A</v>
      </c>
      <c r="AB24" s="3" t="e">
        <f t="shared" ref="AB24:AB39" ca="1" si="3">S24=J24</f>
        <v>#N/A</v>
      </c>
      <c r="AC24" s="3" t="e">
        <f t="shared" ref="AC24:AC39" ca="1" si="4">T24=K24</f>
        <v>#N/A</v>
      </c>
    </row>
    <row r="25" spans="2:29" ht="15" x14ac:dyDescent="0.25">
      <c r="B25" s="23" t="s">
        <v>104</v>
      </c>
      <c r="C25" s="15" t="e">
        <f ca="1">VLOOKUP(CONCATENATE(LEFT(C$7, 7), "hscp", $B25), [0]!data_range, 5, FALSE)</f>
        <v>#N/A</v>
      </c>
      <c r="D25" s="15" t="e">
        <f ca="1">VLOOKUP(CONCATENATE(LEFT(D$7, 7), "hscp", $B25), [0]!data_range, 5, FALSE)</f>
        <v>#N/A</v>
      </c>
      <c r="E25" s="15" t="e">
        <f ca="1">VLOOKUP(CONCATENATE(LEFT(E$7, 7), "hscp", $B25), [0]!data_range, 5, FALSE)</f>
        <v>#N/A</v>
      </c>
      <c r="F25" s="15" t="e">
        <f ca="1">VLOOKUP(CONCATENATE(LEFT(F$7, 7), "hscp", $B25), [0]!data_range, 5, FALSE)</f>
        <v>#N/A</v>
      </c>
      <c r="G25" s="15" t="e">
        <f ca="1">VLOOKUP(CONCATENATE(LEFT(G$7, 7), "hscp", $B25), [0]!data_range, 5, FALSE)</f>
        <v>#N/A</v>
      </c>
      <c r="H25" s="15" t="e">
        <f ca="1">VLOOKUP(CONCATENATE(LEFT(H$7, 7), "hscp", $B25), [0]!data_range, 5, FALSE)</f>
        <v>#N/A</v>
      </c>
      <c r="I25" s="15" t="e">
        <f ca="1">VLOOKUP(CONCATENATE(LEFT(I$7, 7), "hscp", $B25), [0]!data_range, 5, FALSE)</f>
        <v>#N/A</v>
      </c>
      <c r="J25" s="15" t="e">
        <f ca="1">VLOOKUP(CONCATENATE(LEFT(J$7, 7), "hscp", $B25), [0]!data_range, 5, FALSE)</f>
        <v>#N/A</v>
      </c>
      <c r="K25" s="15" t="e">
        <f ca="1">VLOOKUP(CONCATENATE(LEFT(K$7, 7), "hscp", $B25), [0]!data_range, 5, FALSE)</f>
        <v>#N/A</v>
      </c>
      <c r="L25" s="68"/>
      <c r="M25" s="14"/>
      <c r="N25" s="14"/>
      <c r="O25" s="14"/>
      <c r="P25" s="14"/>
      <c r="Q25" s="14"/>
      <c r="R25" s="14"/>
      <c r="S25" s="14"/>
      <c r="T25" s="9"/>
      <c r="U25" s="9"/>
      <c r="V25" s="9"/>
      <c r="W25" s="9"/>
      <c r="X25" s="9"/>
      <c r="Y25" s="9"/>
      <c r="Z25" s="9"/>
      <c r="AA25" s="3" t="e">
        <f t="shared" ca="1" si="2"/>
        <v>#N/A</v>
      </c>
      <c r="AB25" s="3" t="e">
        <f t="shared" ca="1" si="3"/>
        <v>#N/A</v>
      </c>
      <c r="AC25" s="3" t="e">
        <f t="shared" ca="1" si="4"/>
        <v>#N/A</v>
      </c>
    </row>
    <row r="26" spans="2:29" ht="15" x14ac:dyDescent="0.25">
      <c r="B26" s="23" t="s">
        <v>105</v>
      </c>
      <c r="C26" s="15" t="e">
        <f ca="1">VLOOKUP(CONCATENATE(LEFT(C$7, 7), "hscp", $B26), [0]!data_range, 5, FALSE)</f>
        <v>#N/A</v>
      </c>
      <c r="D26" s="15" t="e">
        <f ca="1">VLOOKUP(CONCATENATE(LEFT(D$7, 7), "hscp", $B26), [0]!data_range, 5, FALSE)</f>
        <v>#N/A</v>
      </c>
      <c r="E26" s="15" t="e">
        <f ca="1">VLOOKUP(CONCATENATE(LEFT(E$7, 7), "hscp", $B26), [0]!data_range, 5, FALSE)</f>
        <v>#N/A</v>
      </c>
      <c r="F26" s="15" t="e">
        <f ca="1">VLOOKUP(CONCATENATE(LEFT(F$7, 7), "hscp", $B26), [0]!data_range, 5, FALSE)</f>
        <v>#N/A</v>
      </c>
      <c r="G26" s="15" t="e">
        <f ca="1">VLOOKUP(CONCATENATE(LEFT(G$7, 7), "hscp", $B26), [0]!data_range, 5, FALSE)</f>
        <v>#N/A</v>
      </c>
      <c r="H26" s="15" t="e">
        <f ca="1">VLOOKUP(CONCATENATE(LEFT(H$7, 7), "hscp", $B26), [0]!data_range, 5, FALSE)</f>
        <v>#N/A</v>
      </c>
      <c r="I26" s="15" t="e">
        <f ca="1">VLOOKUP(CONCATENATE(LEFT(I$7, 7), "hscp", $B26), [0]!data_range, 5, FALSE)</f>
        <v>#N/A</v>
      </c>
      <c r="J26" s="15" t="e">
        <f ca="1">VLOOKUP(CONCATENATE(LEFT(J$7, 7), "hscp", $B26), [0]!data_range, 5, FALSE)</f>
        <v>#N/A</v>
      </c>
      <c r="K26" s="15" t="e">
        <f ca="1">VLOOKUP(CONCATENATE(LEFT(K$7, 7), "hscp", $B26), [0]!data_range, 5, FALSE)</f>
        <v>#N/A</v>
      </c>
      <c r="L26" s="68"/>
      <c r="M26" s="14"/>
      <c r="N26" s="14"/>
      <c r="O26" s="14"/>
      <c r="P26" s="14"/>
      <c r="Q26" s="14"/>
      <c r="R26" s="14"/>
      <c r="S26" s="14"/>
      <c r="T26" s="9"/>
      <c r="U26" s="9"/>
      <c r="V26" s="9"/>
      <c r="W26" s="9"/>
      <c r="X26" s="9"/>
      <c r="Y26" s="9"/>
      <c r="Z26" s="9"/>
      <c r="AA26" s="3" t="e">
        <f t="shared" ca="1" si="2"/>
        <v>#N/A</v>
      </c>
      <c r="AB26" s="3" t="e">
        <f t="shared" ca="1" si="3"/>
        <v>#N/A</v>
      </c>
      <c r="AC26" s="3" t="e">
        <f t="shared" ca="1" si="4"/>
        <v>#N/A</v>
      </c>
    </row>
    <row r="27" spans="2:29" ht="15" x14ac:dyDescent="0.25">
      <c r="B27" s="23" t="s">
        <v>106</v>
      </c>
      <c r="C27" s="15" t="e">
        <f ca="1">VLOOKUP(CONCATENATE(LEFT(C$7, 7), "hscp", $B27), [0]!data_range, 5, FALSE)</f>
        <v>#N/A</v>
      </c>
      <c r="D27" s="15" t="e">
        <f ca="1">VLOOKUP(CONCATENATE(LEFT(D$7, 7), "hscp", $B27), [0]!data_range, 5, FALSE)</f>
        <v>#N/A</v>
      </c>
      <c r="E27" s="15" t="e">
        <f ca="1">VLOOKUP(CONCATENATE(LEFT(E$7, 7), "hscp", $B27), [0]!data_range, 5, FALSE)</f>
        <v>#N/A</v>
      </c>
      <c r="F27" s="15" t="e">
        <f ca="1">VLOOKUP(CONCATENATE(LEFT(F$7, 7), "hscp", $B27), [0]!data_range, 5, FALSE)</f>
        <v>#N/A</v>
      </c>
      <c r="G27" s="15" t="e">
        <f ca="1">VLOOKUP(CONCATENATE(LEFT(G$7, 7), "hscp", $B27), [0]!data_range, 5, FALSE)</f>
        <v>#N/A</v>
      </c>
      <c r="H27" s="15" t="e">
        <f ca="1">VLOOKUP(CONCATENATE(LEFT(H$7, 7), "hscp", $B27), [0]!data_range, 5, FALSE)</f>
        <v>#N/A</v>
      </c>
      <c r="I27" s="15" t="e">
        <f ca="1">VLOOKUP(CONCATENATE(LEFT(I$7, 7), "hscp", $B27), [0]!data_range, 5, FALSE)</f>
        <v>#N/A</v>
      </c>
      <c r="J27" s="15" t="e">
        <f ca="1">VLOOKUP(CONCATENATE(LEFT(J$7, 7), "hscp", $B27), [0]!data_range, 5, FALSE)</f>
        <v>#N/A</v>
      </c>
      <c r="K27" s="15" t="e">
        <f ca="1">VLOOKUP(CONCATENATE(LEFT(K$7, 7), "hscp", $B27), [0]!data_range, 5, FALSE)</f>
        <v>#N/A</v>
      </c>
      <c r="L27" s="68"/>
      <c r="M27" s="14"/>
      <c r="N27" s="14"/>
      <c r="O27" s="14"/>
      <c r="P27" s="14"/>
      <c r="Q27" s="14"/>
      <c r="R27" s="14"/>
      <c r="S27" s="14"/>
      <c r="T27" s="9"/>
      <c r="U27" s="9"/>
      <c r="V27" s="9"/>
      <c r="W27" s="9"/>
      <c r="X27" s="9"/>
      <c r="Y27" s="9"/>
      <c r="Z27" s="9"/>
      <c r="AA27" s="3" t="e">
        <f t="shared" ca="1" si="2"/>
        <v>#N/A</v>
      </c>
      <c r="AB27" s="3" t="e">
        <f t="shared" ca="1" si="3"/>
        <v>#N/A</v>
      </c>
      <c r="AC27" s="3" t="e">
        <f t="shared" ca="1" si="4"/>
        <v>#N/A</v>
      </c>
    </row>
    <row r="28" spans="2:29" ht="15" x14ac:dyDescent="0.25">
      <c r="B28" s="23" t="s">
        <v>107</v>
      </c>
      <c r="C28" s="15" t="e">
        <f ca="1">VLOOKUP(CONCATENATE(LEFT(C$7, 7), "hscp", $B28), [0]!data_range, 5, FALSE)</f>
        <v>#N/A</v>
      </c>
      <c r="D28" s="15" t="e">
        <f ca="1">VLOOKUP(CONCATENATE(LEFT(D$7, 7), "hscp", $B28), [0]!data_range, 5, FALSE)</f>
        <v>#N/A</v>
      </c>
      <c r="E28" s="15" t="e">
        <f ca="1">VLOOKUP(CONCATENATE(LEFT(E$7, 7), "hscp", $B28), [0]!data_range, 5, FALSE)</f>
        <v>#N/A</v>
      </c>
      <c r="F28" s="15" t="e">
        <f ca="1">VLOOKUP(CONCATENATE(LEFT(F$7, 7), "hscp", $B28), [0]!data_range, 5, FALSE)</f>
        <v>#N/A</v>
      </c>
      <c r="G28" s="15" t="e">
        <f ca="1">VLOOKUP(CONCATENATE(LEFT(G$7, 7), "hscp", $B28), [0]!data_range, 5, FALSE)</f>
        <v>#N/A</v>
      </c>
      <c r="H28" s="15" t="e">
        <f ca="1">VLOOKUP(CONCATENATE(LEFT(H$7, 7), "hscp", $B28), [0]!data_range, 5, FALSE)</f>
        <v>#N/A</v>
      </c>
      <c r="I28" s="15" t="e">
        <f ca="1">VLOOKUP(CONCATENATE(LEFT(I$7, 7), "hscp", $B28), [0]!data_range, 5, FALSE)</f>
        <v>#N/A</v>
      </c>
      <c r="J28" s="15" t="e">
        <f ca="1">VLOOKUP(CONCATENATE(LEFT(J$7, 7), "hscp", $B28), [0]!data_range, 5, FALSE)</f>
        <v>#N/A</v>
      </c>
      <c r="K28" s="15" t="e">
        <f ca="1">VLOOKUP(CONCATENATE(LEFT(K$7, 7), "hscp", $B28), [0]!data_range, 5, FALSE)</f>
        <v>#N/A</v>
      </c>
      <c r="L28" s="68"/>
      <c r="M28" s="14"/>
      <c r="N28" s="14"/>
      <c r="O28" s="14"/>
      <c r="P28" s="14"/>
      <c r="Q28" s="14"/>
      <c r="R28" s="14"/>
      <c r="S28" s="14"/>
      <c r="T28" s="9"/>
      <c r="U28" s="9"/>
      <c r="V28" s="9"/>
      <c r="W28" s="9"/>
      <c r="X28" s="9"/>
      <c r="Y28" s="9"/>
      <c r="Z28" s="9"/>
      <c r="AA28" s="3" t="e">
        <f t="shared" ca="1" si="2"/>
        <v>#N/A</v>
      </c>
      <c r="AB28" s="3" t="e">
        <f t="shared" ca="1" si="3"/>
        <v>#N/A</v>
      </c>
      <c r="AC28" s="3" t="e">
        <f t="shared" ca="1" si="4"/>
        <v>#N/A</v>
      </c>
    </row>
    <row r="29" spans="2:29" ht="15" x14ac:dyDescent="0.25">
      <c r="B29" s="23" t="s">
        <v>108</v>
      </c>
      <c r="C29" s="15" t="e">
        <f ca="1">VLOOKUP(CONCATENATE(LEFT(C$7, 7), "hscp", $B29), [0]!data_range, 5, FALSE)</f>
        <v>#N/A</v>
      </c>
      <c r="D29" s="15" t="e">
        <f ca="1">VLOOKUP(CONCATENATE(LEFT(D$7, 7), "hscp", $B29), [0]!data_range, 5, FALSE)</f>
        <v>#N/A</v>
      </c>
      <c r="E29" s="15" t="e">
        <f ca="1">VLOOKUP(CONCATENATE(LEFT(E$7, 7), "hscp", $B29), [0]!data_range, 5, FALSE)</f>
        <v>#N/A</v>
      </c>
      <c r="F29" s="15" t="e">
        <f ca="1">VLOOKUP(CONCATENATE(LEFT(F$7, 7), "hscp", $B29), [0]!data_range, 5, FALSE)</f>
        <v>#N/A</v>
      </c>
      <c r="G29" s="15" t="e">
        <f ca="1">VLOOKUP(CONCATENATE(LEFT(G$7, 7), "hscp", $B29), [0]!data_range, 5, FALSE)</f>
        <v>#N/A</v>
      </c>
      <c r="H29" s="15" t="e">
        <f ca="1">VLOOKUP(CONCATENATE(LEFT(H$7, 7), "hscp", $B29), [0]!data_range, 5, FALSE)</f>
        <v>#N/A</v>
      </c>
      <c r="I29" s="15" t="e">
        <f ca="1">VLOOKUP(CONCATENATE(LEFT(I$7, 7), "hscp", $B29), [0]!data_range, 5, FALSE)</f>
        <v>#N/A</v>
      </c>
      <c r="J29" s="15" t="e">
        <f ca="1">VLOOKUP(CONCATENATE(LEFT(J$7, 7), "hscp", $B29), [0]!data_range, 5, FALSE)</f>
        <v>#N/A</v>
      </c>
      <c r="K29" s="15" t="e">
        <f ca="1">VLOOKUP(CONCATENATE(LEFT(K$7, 7), "hscp", $B29), [0]!data_range, 5, FALSE)</f>
        <v>#N/A</v>
      </c>
      <c r="L29" s="68"/>
      <c r="M29" s="14"/>
      <c r="N29" s="14"/>
      <c r="O29" s="14"/>
      <c r="P29" s="14"/>
      <c r="Q29" s="14"/>
      <c r="R29" s="14"/>
      <c r="S29" s="14"/>
      <c r="T29" s="9"/>
      <c r="U29" s="9"/>
      <c r="V29" s="9"/>
      <c r="W29" s="9"/>
      <c r="X29" s="9"/>
      <c r="Y29" s="9"/>
      <c r="Z29" s="9"/>
      <c r="AA29" s="3" t="e">
        <f t="shared" ca="1" si="2"/>
        <v>#N/A</v>
      </c>
      <c r="AB29" s="3" t="e">
        <f t="shared" ca="1" si="3"/>
        <v>#N/A</v>
      </c>
      <c r="AC29" s="3" t="e">
        <f t="shared" ca="1" si="4"/>
        <v>#N/A</v>
      </c>
    </row>
    <row r="30" spans="2:29" ht="15" x14ac:dyDescent="0.25">
      <c r="B30" s="23" t="s">
        <v>109</v>
      </c>
      <c r="C30" s="15" t="e">
        <f ca="1">VLOOKUP(CONCATENATE(LEFT(C$7, 7), "hscp", $B30), [0]!data_range, 5, FALSE)</f>
        <v>#N/A</v>
      </c>
      <c r="D30" s="15" t="e">
        <f ca="1">VLOOKUP(CONCATENATE(LEFT(D$7, 7), "hscp", $B30), [0]!data_range, 5, FALSE)</f>
        <v>#N/A</v>
      </c>
      <c r="E30" s="15" t="e">
        <f ca="1">VLOOKUP(CONCATENATE(LEFT(E$7, 7), "hscp", $B30), [0]!data_range, 5, FALSE)</f>
        <v>#N/A</v>
      </c>
      <c r="F30" s="15" t="e">
        <f ca="1">VLOOKUP(CONCATENATE(LEFT(F$7, 7), "hscp", $B30), [0]!data_range, 5, FALSE)</f>
        <v>#N/A</v>
      </c>
      <c r="G30" s="15" t="e">
        <f ca="1">VLOOKUP(CONCATENATE(LEFT(G$7, 7), "hscp", $B30), [0]!data_range, 5, FALSE)</f>
        <v>#N/A</v>
      </c>
      <c r="H30" s="15" t="e">
        <f ca="1">VLOOKUP(CONCATENATE(LEFT(H$7, 7), "hscp", $B30), [0]!data_range, 5, FALSE)</f>
        <v>#N/A</v>
      </c>
      <c r="I30" s="15" t="e">
        <f ca="1">VLOOKUP(CONCATENATE(LEFT(I$7, 7), "hscp", $B30), [0]!data_range, 5, FALSE)</f>
        <v>#N/A</v>
      </c>
      <c r="J30" s="15" t="e">
        <f ca="1">VLOOKUP(CONCATENATE(LEFT(J$7, 7), "hscp", $B30), [0]!data_range, 5, FALSE)</f>
        <v>#N/A</v>
      </c>
      <c r="K30" s="15" t="e">
        <f ca="1">VLOOKUP(CONCATENATE(LEFT(K$7, 7), "hscp", $B30), [0]!data_range, 5, FALSE)</f>
        <v>#N/A</v>
      </c>
      <c r="L30" s="68"/>
      <c r="M30" s="14"/>
      <c r="N30" s="14"/>
      <c r="O30" s="14"/>
      <c r="P30" s="14"/>
      <c r="Q30" s="14"/>
      <c r="R30" s="14"/>
      <c r="S30" s="14"/>
      <c r="T30" s="9"/>
      <c r="U30" s="9"/>
      <c r="V30" s="9"/>
      <c r="W30" s="9"/>
      <c r="X30" s="9"/>
      <c r="Y30" s="9"/>
      <c r="Z30" s="9"/>
      <c r="AA30" s="3" t="e">
        <f t="shared" ca="1" si="2"/>
        <v>#N/A</v>
      </c>
      <c r="AB30" s="3" t="e">
        <f t="shared" ca="1" si="3"/>
        <v>#N/A</v>
      </c>
      <c r="AC30" s="3" t="e">
        <f t="shared" ca="1" si="4"/>
        <v>#N/A</v>
      </c>
    </row>
    <row r="31" spans="2:29" ht="15" x14ac:dyDescent="0.25">
      <c r="B31" s="23" t="s">
        <v>110</v>
      </c>
      <c r="C31" s="15" t="e">
        <f ca="1">VLOOKUP(CONCATENATE(LEFT(C$7, 7), "hscp", $B31), [0]!data_range, 5, FALSE)</f>
        <v>#N/A</v>
      </c>
      <c r="D31" s="15" t="e">
        <f ca="1">VLOOKUP(CONCATENATE(LEFT(D$7, 7), "hscp", $B31), [0]!data_range, 5, FALSE)</f>
        <v>#N/A</v>
      </c>
      <c r="E31" s="15" t="e">
        <f ca="1">VLOOKUP(CONCATENATE(LEFT(E$7, 7), "hscp", $B31), [0]!data_range, 5, FALSE)</f>
        <v>#N/A</v>
      </c>
      <c r="F31" s="15" t="e">
        <f ca="1">VLOOKUP(CONCATENATE(LEFT(F$7, 7), "hscp", $B31), [0]!data_range, 5, FALSE)</f>
        <v>#N/A</v>
      </c>
      <c r="G31" s="15" t="e">
        <f ca="1">VLOOKUP(CONCATENATE(LEFT(G$7, 7), "hscp", $B31), [0]!data_range, 5, FALSE)</f>
        <v>#N/A</v>
      </c>
      <c r="H31" s="15" t="e">
        <f ca="1">VLOOKUP(CONCATENATE(LEFT(H$7, 7), "hscp", $B31), [0]!data_range, 5, FALSE)</f>
        <v>#N/A</v>
      </c>
      <c r="I31" s="15" t="e">
        <f ca="1">VLOOKUP(CONCATENATE(LEFT(I$7, 7), "hscp", $B31), [0]!data_range, 5, FALSE)</f>
        <v>#N/A</v>
      </c>
      <c r="J31" s="15" t="e">
        <f ca="1">VLOOKUP(CONCATENATE(LEFT(J$7, 7), "hscp", $B31), [0]!data_range, 5, FALSE)</f>
        <v>#N/A</v>
      </c>
      <c r="K31" s="15" t="e">
        <f ca="1">VLOOKUP(CONCATENATE(LEFT(K$7, 7), "hscp", $B31), [0]!data_range, 5, FALSE)</f>
        <v>#N/A</v>
      </c>
      <c r="L31" s="68"/>
      <c r="M31" s="14"/>
      <c r="N31" s="14"/>
      <c r="O31" s="14"/>
      <c r="P31" s="14"/>
      <c r="Q31" s="14"/>
      <c r="R31" s="14"/>
      <c r="S31" s="14"/>
      <c r="T31" s="9"/>
      <c r="U31" s="9"/>
      <c r="V31" s="9"/>
      <c r="W31" s="9"/>
      <c r="X31" s="9"/>
      <c r="Y31" s="9"/>
      <c r="Z31" s="9"/>
      <c r="AA31" s="3" t="e">
        <f t="shared" ca="1" si="2"/>
        <v>#N/A</v>
      </c>
      <c r="AB31" s="3" t="e">
        <f t="shared" ca="1" si="3"/>
        <v>#N/A</v>
      </c>
      <c r="AC31" s="3" t="e">
        <f t="shared" ca="1" si="4"/>
        <v>#N/A</v>
      </c>
    </row>
    <row r="32" spans="2:29" ht="15" x14ac:dyDescent="0.25">
      <c r="B32" s="23" t="s">
        <v>111</v>
      </c>
      <c r="C32" s="15" t="e">
        <f ca="1">VLOOKUP(CONCATENATE(LEFT(C$7, 7), "hscp", $B32), [0]!data_range, 5, FALSE)</f>
        <v>#N/A</v>
      </c>
      <c r="D32" s="15" t="e">
        <f ca="1">VLOOKUP(CONCATENATE(LEFT(D$7, 7), "hscp", $B32), [0]!data_range, 5, FALSE)</f>
        <v>#N/A</v>
      </c>
      <c r="E32" s="15" t="e">
        <f ca="1">VLOOKUP(CONCATENATE(LEFT(E$7, 7), "hscp", $B32), [0]!data_range, 5, FALSE)</f>
        <v>#N/A</v>
      </c>
      <c r="F32" s="15" t="e">
        <f ca="1">VLOOKUP(CONCATENATE(LEFT(F$7, 7), "hscp", $B32), [0]!data_range, 5, FALSE)</f>
        <v>#N/A</v>
      </c>
      <c r="G32" s="15" t="e">
        <f ca="1">VLOOKUP(CONCATENATE(LEFT(G$7, 7), "hscp", $B32), [0]!data_range, 5, FALSE)</f>
        <v>#N/A</v>
      </c>
      <c r="H32" s="15" t="e">
        <f ca="1">VLOOKUP(CONCATENATE(LEFT(H$7, 7), "hscp", $B32), [0]!data_range, 5, FALSE)</f>
        <v>#N/A</v>
      </c>
      <c r="I32" s="15" t="e">
        <f ca="1">VLOOKUP(CONCATENATE(LEFT(I$7, 7), "hscp", $B32), [0]!data_range, 5, FALSE)</f>
        <v>#N/A</v>
      </c>
      <c r="J32" s="15" t="e">
        <f ca="1">VLOOKUP(CONCATENATE(LEFT(J$7, 7), "hscp", $B32), [0]!data_range, 5, FALSE)</f>
        <v>#N/A</v>
      </c>
      <c r="K32" s="15" t="e">
        <f ca="1">VLOOKUP(CONCATENATE(LEFT(K$7, 7), "hscp", $B32), [0]!data_range, 5, FALSE)</f>
        <v>#N/A</v>
      </c>
      <c r="L32" s="68"/>
      <c r="M32" s="14"/>
      <c r="N32" s="14"/>
      <c r="O32" s="14"/>
      <c r="P32" s="14"/>
      <c r="Q32" s="14"/>
      <c r="R32" s="14"/>
      <c r="S32" s="14"/>
      <c r="T32" s="9"/>
      <c r="U32" s="9"/>
      <c r="V32" s="9"/>
      <c r="W32" s="9"/>
      <c r="X32" s="9"/>
      <c r="Y32" s="9"/>
      <c r="Z32" s="9"/>
      <c r="AA32" s="3" t="e">
        <f t="shared" ca="1" si="2"/>
        <v>#N/A</v>
      </c>
      <c r="AB32" s="3" t="e">
        <f t="shared" ca="1" si="3"/>
        <v>#N/A</v>
      </c>
      <c r="AC32" s="3" t="e">
        <f t="shared" ca="1" si="4"/>
        <v>#N/A</v>
      </c>
    </row>
    <row r="33" spans="2:29" ht="15" x14ac:dyDescent="0.25">
      <c r="B33" s="23" t="s">
        <v>112</v>
      </c>
      <c r="C33" s="15" t="e">
        <f ca="1">VLOOKUP(CONCATENATE(LEFT(C$7, 7), "hscp", $B33), [0]!data_range, 5, FALSE)</f>
        <v>#N/A</v>
      </c>
      <c r="D33" s="15" t="e">
        <f ca="1">VLOOKUP(CONCATENATE(LEFT(D$7, 7), "hscp", $B33), [0]!data_range, 5, FALSE)</f>
        <v>#N/A</v>
      </c>
      <c r="E33" s="15" t="e">
        <f ca="1">VLOOKUP(CONCATENATE(LEFT(E$7, 7), "hscp", $B33), [0]!data_range, 5, FALSE)</f>
        <v>#N/A</v>
      </c>
      <c r="F33" s="15" t="e">
        <f ca="1">VLOOKUP(CONCATENATE(LEFT(F$7, 7), "hscp", $B33), [0]!data_range, 5, FALSE)</f>
        <v>#N/A</v>
      </c>
      <c r="G33" s="15" t="e">
        <f ca="1">VLOOKUP(CONCATENATE(LEFT(G$7, 7), "hscp", $B33), [0]!data_range, 5, FALSE)</f>
        <v>#N/A</v>
      </c>
      <c r="H33" s="15" t="e">
        <f ca="1">VLOOKUP(CONCATENATE(LEFT(H$7, 7), "hscp", $B33), [0]!data_range, 5, FALSE)</f>
        <v>#N/A</v>
      </c>
      <c r="I33" s="15" t="e">
        <f ca="1">VLOOKUP(CONCATENATE(LEFT(I$7, 7), "hscp", $B33), [0]!data_range, 5, FALSE)</f>
        <v>#N/A</v>
      </c>
      <c r="J33" s="15" t="e">
        <f ca="1">VLOOKUP(CONCATENATE(LEFT(J$7, 7), "hscp", $B33), [0]!data_range, 5, FALSE)</f>
        <v>#N/A</v>
      </c>
      <c r="K33" s="15" t="e">
        <f ca="1">VLOOKUP(CONCATENATE(LEFT(K$7, 7), "hscp", $B33), [0]!data_range, 5, FALSE)</f>
        <v>#N/A</v>
      </c>
      <c r="L33" s="68"/>
      <c r="M33" s="14"/>
      <c r="N33" s="14"/>
      <c r="O33" s="14"/>
      <c r="P33" s="14"/>
      <c r="Q33" s="14"/>
      <c r="R33" s="14"/>
      <c r="S33" s="14"/>
      <c r="T33" s="9"/>
      <c r="U33" s="9"/>
      <c r="V33" s="9"/>
      <c r="W33" s="9"/>
      <c r="X33" s="9"/>
      <c r="Y33" s="9"/>
      <c r="Z33" s="9"/>
      <c r="AA33" s="3" t="e">
        <f t="shared" ca="1" si="2"/>
        <v>#N/A</v>
      </c>
      <c r="AB33" s="3" t="e">
        <f t="shared" ca="1" si="3"/>
        <v>#N/A</v>
      </c>
      <c r="AC33" s="3" t="e">
        <f t="shared" ca="1" si="4"/>
        <v>#N/A</v>
      </c>
    </row>
    <row r="34" spans="2:29" ht="15" x14ac:dyDescent="0.25">
      <c r="B34" s="23" t="s">
        <v>113</v>
      </c>
      <c r="C34" s="15" t="e">
        <f ca="1">VLOOKUP(CONCATENATE(LEFT(C$7, 7), "hscp", $B34), [0]!data_range, 5, FALSE)</f>
        <v>#N/A</v>
      </c>
      <c r="D34" s="15" t="e">
        <f ca="1">VLOOKUP(CONCATENATE(LEFT(D$7, 7), "hscp", $B34), [0]!data_range, 5, FALSE)</f>
        <v>#N/A</v>
      </c>
      <c r="E34" s="15" t="e">
        <f ca="1">VLOOKUP(CONCATENATE(LEFT(E$7, 7), "hscp", $B34), [0]!data_range, 5, FALSE)</f>
        <v>#N/A</v>
      </c>
      <c r="F34" s="15" t="e">
        <f ca="1">VLOOKUP(CONCATENATE(LEFT(F$7, 7), "hscp", $B34), [0]!data_range, 5, FALSE)</f>
        <v>#N/A</v>
      </c>
      <c r="G34" s="15" t="e">
        <f ca="1">VLOOKUP(CONCATENATE(LEFT(G$7, 7), "hscp", $B34), [0]!data_range, 5, FALSE)</f>
        <v>#N/A</v>
      </c>
      <c r="H34" s="15" t="e">
        <f ca="1">VLOOKUP(CONCATENATE(LEFT(H$7, 7), "hscp", $B34), [0]!data_range, 5, FALSE)</f>
        <v>#N/A</v>
      </c>
      <c r="I34" s="15" t="e">
        <f ca="1">VLOOKUP(CONCATENATE(LEFT(I$7, 7), "hscp", $B34), [0]!data_range, 5, FALSE)</f>
        <v>#N/A</v>
      </c>
      <c r="J34" s="15" t="e">
        <f ca="1">VLOOKUP(CONCATENATE(LEFT(J$7, 7), "hscp", $B34), [0]!data_range, 5, FALSE)</f>
        <v>#N/A</v>
      </c>
      <c r="K34" s="15" t="e">
        <f ca="1">VLOOKUP(CONCATENATE(LEFT(K$7, 7), "hscp", $B34), [0]!data_range, 5, FALSE)</f>
        <v>#N/A</v>
      </c>
      <c r="L34" s="68"/>
      <c r="M34" s="14"/>
      <c r="N34" s="14"/>
      <c r="O34" s="14"/>
      <c r="P34" s="14"/>
      <c r="Q34" s="14"/>
      <c r="R34" s="14"/>
      <c r="S34" s="14"/>
      <c r="T34" s="9"/>
      <c r="U34" s="9"/>
      <c r="V34" s="9"/>
      <c r="W34" s="9"/>
      <c r="X34" s="9"/>
      <c r="Y34" s="9"/>
      <c r="Z34" s="9"/>
      <c r="AA34" s="3" t="e">
        <f t="shared" ca="1" si="2"/>
        <v>#N/A</v>
      </c>
      <c r="AB34" s="3" t="e">
        <f t="shared" ca="1" si="3"/>
        <v>#N/A</v>
      </c>
      <c r="AC34" s="3" t="e">
        <f t="shared" ca="1" si="4"/>
        <v>#N/A</v>
      </c>
    </row>
    <row r="35" spans="2:29" ht="15" x14ac:dyDescent="0.25">
      <c r="B35" s="23" t="s">
        <v>114</v>
      </c>
      <c r="C35" s="15" t="e">
        <f ca="1">VLOOKUP(CONCATENATE(LEFT(C$7, 7), "hscp", $B35), [0]!data_range, 5, FALSE)</f>
        <v>#N/A</v>
      </c>
      <c r="D35" s="15" t="e">
        <f ca="1">VLOOKUP(CONCATENATE(LEFT(D$7, 7), "hscp", $B35), [0]!data_range, 5, FALSE)</f>
        <v>#N/A</v>
      </c>
      <c r="E35" s="15" t="e">
        <f ca="1">VLOOKUP(CONCATENATE(LEFT(E$7, 7), "hscp", $B35), [0]!data_range, 5, FALSE)</f>
        <v>#N/A</v>
      </c>
      <c r="F35" s="15" t="e">
        <f ca="1">VLOOKUP(CONCATENATE(LEFT(F$7, 7), "hscp", $B35), [0]!data_range, 5, FALSE)</f>
        <v>#N/A</v>
      </c>
      <c r="G35" s="15" t="e">
        <f ca="1">VLOOKUP(CONCATENATE(LEFT(G$7, 7), "hscp", $B35), [0]!data_range, 5, FALSE)</f>
        <v>#N/A</v>
      </c>
      <c r="H35" s="15" t="e">
        <f ca="1">VLOOKUP(CONCATENATE(LEFT(H$7, 7), "hscp", $B35), [0]!data_range, 5, FALSE)</f>
        <v>#N/A</v>
      </c>
      <c r="I35" s="15" t="e">
        <f ca="1">VLOOKUP(CONCATENATE(LEFT(I$7, 7), "hscp", $B35), [0]!data_range, 5, FALSE)</f>
        <v>#N/A</v>
      </c>
      <c r="J35" s="15" t="e">
        <f ca="1">VLOOKUP(CONCATENATE(LEFT(J$7, 7), "hscp", $B35), [0]!data_range, 5, FALSE)</f>
        <v>#N/A</v>
      </c>
      <c r="K35" s="15" t="e">
        <f ca="1">VLOOKUP(CONCATENATE(LEFT(K$7, 7), "hscp", $B35), [0]!data_range, 5, FALSE)</f>
        <v>#N/A</v>
      </c>
      <c r="L35" s="68"/>
      <c r="M35" s="14"/>
      <c r="N35" s="14"/>
      <c r="O35" s="14"/>
      <c r="P35" s="14"/>
      <c r="Q35" s="14"/>
      <c r="R35" s="14"/>
      <c r="S35" s="14"/>
      <c r="T35" s="9"/>
      <c r="U35" s="9"/>
      <c r="V35" s="9"/>
      <c r="W35" s="9"/>
      <c r="X35" s="9"/>
      <c r="Y35" s="9"/>
      <c r="Z35" s="9"/>
      <c r="AA35" s="3" t="e">
        <f t="shared" ca="1" si="2"/>
        <v>#N/A</v>
      </c>
      <c r="AB35" s="3" t="e">
        <f t="shared" ca="1" si="3"/>
        <v>#N/A</v>
      </c>
      <c r="AC35" s="3" t="e">
        <f t="shared" ca="1" si="4"/>
        <v>#N/A</v>
      </c>
    </row>
    <row r="36" spans="2:29" ht="15" x14ac:dyDescent="0.25">
      <c r="B36" s="23" t="s">
        <v>115</v>
      </c>
      <c r="C36" s="15" t="e">
        <f ca="1">VLOOKUP(CONCATENATE(LEFT(C$7, 7), "hscp", $B36), [0]!data_range, 5, FALSE)</f>
        <v>#N/A</v>
      </c>
      <c r="D36" s="15" t="e">
        <f ca="1">VLOOKUP(CONCATENATE(LEFT(D$7, 7), "hscp", $B36), [0]!data_range, 5, FALSE)</f>
        <v>#N/A</v>
      </c>
      <c r="E36" s="15" t="e">
        <f ca="1">VLOOKUP(CONCATENATE(LEFT(E$7, 7), "hscp", $B36), [0]!data_range, 5, FALSE)</f>
        <v>#N/A</v>
      </c>
      <c r="F36" s="15" t="e">
        <f ca="1">VLOOKUP(CONCATENATE(LEFT(F$7, 7), "hscp", $B36), [0]!data_range, 5, FALSE)</f>
        <v>#N/A</v>
      </c>
      <c r="G36" s="15" t="e">
        <f ca="1">VLOOKUP(CONCATENATE(LEFT(G$7, 7), "hscp", $B36), [0]!data_range, 5, FALSE)</f>
        <v>#N/A</v>
      </c>
      <c r="H36" s="15" t="e">
        <f ca="1">VLOOKUP(CONCATENATE(LEFT(H$7, 7), "hscp", $B36), [0]!data_range, 5, FALSE)</f>
        <v>#N/A</v>
      </c>
      <c r="I36" s="15" t="e">
        <f ca="1">VLOOKUP(CONCATENATE(LEFT(I$7, 7), "hscp", $B36), [0]!data_range, 5, FALSE)</f>
        <v>#N/A</v>
      </c>
      <c r="J36" s="15" t="e">
        <f ca="1">VLOOKUP(CONCATENATE(LEFT(J$7, 7), "hscp", $B36), [0]!data_range, 5, FALSE)</f>
        <v>#N/A</v>
      </c>
      <c r="K36" s="15" t="e">
        <f ca="1">VLOOKUP(CONCATENATE(LEFT(K$7, 7), "hscp", $B36), [0]!data_range, 5, FALSE)</f>
        <v>#N/A</v>
      </c>
      <c r="L36" s="68"/>
      <c r="M36" s="14"/>
      <c r="N36" s="14"/>
      <c r="O36" s="14"/>
      <c r="P36" s="14"/>
      <c r="Q36" s="14"/>
      <c r="R36" s="14"/>
      <c r="S36" s="14"/>
      <c r="T36" s="9"/>
      <c r="U36" s="9"/>
      <c r="V36" s="9"/>
      <c r="W36" s="9"/>
      <c r="X36" s="9"/>
      <c r="Y36" s="9"/>
      <c r="Z36" s="9"/>
      <c r="AA36" s="3" t="e">
        <f t="shared" ca="1" si="2"/>
        <v>#N/A</v>
      </c>
      <c r="AB36" s="3" t="e">
        <f t="shared" ca="1" si="3"/>
        <v>#N/A</v>
      </c>
      <c r="AC36" s="3" t="e">
        <f t="shared" ca="1" si="4"/>
        <v>#N/A</v>
      </c>
    </row>
    <row r="37" spans="2:29" ht="15" x14ac:dyDescent="0.25">
      <c r="B37" s="23" t="s">
        <v>116</v>
      </c>
      <c r="C37" s="15" t="e">
        <f ca="1">VLOOKUP(CONCATENATE(LEFT(C$7, 7), "hscp", $B37), [0]!data_range, 5, FALSE)</f>
        <v>#N/A</v>
      </c>
      <c r="D37" s="15" t="e">
        <f ca="1">VLOOKUP(CONCATENATE(LEFT(D$7, 7), "hscp", $B37), [0]!data_range, 5, FALSE)</f>
        <v>#N/A</v>
      </c>
      <c r="E37" s="15" t="e">
        <f ca="1">VLOOKUP(CONCATENATE(LEFT(E$7, 7), "hscp", $B37), [0]!data_range, 5, FALSE)</f>
        <v>#N/A</v>
      </c>
      <c r="F37" s="15" t="e">
        <f ca="1">VLOOKUP(CONCATENATE(LEFT(F$7, 7), "hscp", $B37), [0]!data_range, 5, FALSE)</f>
        <v>#N/A</v>
      </c>
      <c r="G37" s="15" t="e">
        <f ca="1">VLOOKUP(CONCATENATE(LEFT(G$7, 7), "hscp", $B37), [0]!data_range, 5, FALSE)</f>
        <v>#N/A</v>
      </c>
      <c r="H37" s="15" t="e">
        <f ca="1">VLOOKUP(CONCATENATE(LEFT(H$7, 7), "hscp", $B37), [0]!data_range, 5, FALSE)</f>
        <v>#N/A</v>
      </c>
      <c r="I37" s="15" t="e">
        <f ca="1">VLOOKUP(CONCATENATE(LEFT(I$7, 7), "hscp", $B37), [0]!data_range, 5, FALSE)</f>
        <v>#N/A</v>
      </c>
      <c r="J37" s="15" t="e">
        <f ca="1">VLOOKUP(CONCATENATE(LEFT(J$7, 7), "hscp", $B37), [0]!data_range, 5, FALSE)</f>
        <v>#N/A</v>
      </c>
      <c r="K37" s="15" t="e">
        <f ca="1">VLOOKUP(CONCATENATE(LEFT(K$7, 7), "hscp", $B37), [0]!data_range, 5, FALSE)</f>
        <v>#N/A</v>
      </c>
      <c r="L37" s="68"/>
      <c r="M37" s="14"/>
      <c r="N37" s="14"/>
      <c r="O37" s="14"/>
      <c r="P37" s="14"/>
      <c r="Q37" s="14"/>
      <c r="R37" s="14"/>
      <c r="S37" s="14"/>
      <c r="T37" s="9"/>
      <c r="U37" s="9"/>
      <c r="V37" s="9"/>
      <c r="W37" s="9"/>
      <c r="X37" s="9"/>
      <c r="Y37" s="9"/>
      <c r="Z37" s="9"/>
      <c r="AA37" s="3" t="e">
        <f t="shared" ca="1" si="2"/>
        <v>#N/A</v>
      </c>
      <c r="AB37" s="3" t="e">
        <f t="shared" ca="1" si="3"/>
        <v>#N/A</v>
      </c>
      <c r="AC37" s="3" t="e">
        <f t="shared" ca="1" si="4"/>
        <v>#N/A</v>
      </c>
    </row>
    <row r="38" spans="2:29" ht="15" x14ac:dyDescent="0.25">
      <c r="B38" s="23" t="s">
        <v>13</v>
      </c>
      <c r="C38" s="15" t="e">
        <f ca="1">VLOOKUP(CONCATENATE(LEFT(C$7, 7), "hscp", $B38), [0]!data_range, 5, FALSE)</f>
        <v>#N/A</v>
      </c>
      <c r="D38" s="15" t="e">
        <f ca="1">VLOOKUP(CONCATENATE(LEFT(D$7, 7), "hscp", $B38), [0]!data_range, 5, FALSE)</f>
        <v>#N/A</v>
      </c>
      <c r="E38" s="15" t="e">
        <f ca="1">VLOOKUP(CONCATENATE(LEFT(E$7, 7), "hscp", $B38), [0]!data_range, 5, FALSE)</f>
        <v>#N/A</v>
      </c>
      <c r="F38" s="15" t="e">
        <f ca="1">VLOOKUP(CONCATENATE(LEFT(F$7, 7), "hscp", $B38), [0]!data_range, 5, FALSE)</f>
        <v>#N/A</v>
      </c>
      <c r="G38" s="15" t="e">
        <f ca="1">VLOOKUP(CONCATENATE(LEFT(G$7, 7), "hscp", $B38), [0]!data_range, 5, FALSE)</f>
        <v>#N/A</v>
      </c>
      <c r="H38" s="15" t="e">
        <f ca="1">VLOOKUP(CONCATENATE(LEFT(H$7, 7), "hscp", $B38), [0]!data_range, 5, FALSE)</f>
        <v>#N/A</v>
      </c>
      <c r="I38" s="15" t="e">
        <f ca="1">VLOOKUP(CONCATENATE(LEFT(I$7, 7), "hscp", $B38), [0]!data_range, 5, FALSE)</f>
        <v>#N/A</v>
      </c>
      <c r="J38" s="15" t="e">
        <f ca="1">VLOOKUP(CONCATENATE(LEFT(J$7, 7), "hscp", $B38), [0]!data_range, 5, FALSE)</f>
        <v>#N/A</v>
      </c>
      <c r="K38" s="15" t="e">
        <f ca="1">VLOOKUP(CONCATENATE(LEFT(K$7, 7), "hscp", $B38), [0]!data_range, 5, FALSE)</f>
        <v>#N/A</v>
      </c>
      <c r="L38" s="68"/>
      <c r="M38" s="14"/>
      <c r="N38" s="14"/>
      <c r="O38" s="14"/>
      <c r="P38" s="14"/>
      <c r="Q38" s="14"/>
      <c r="R38" s="14"/>
      <c r="S38" s="14"/>
      <c r="T38" s="9"/>
      <c r="U38" s="9"/>
      <c r="V38" s="9"/>
      <c r="W38" s="9"/>
      <c r="X38" s="9"/>
      <c r="Y38" s="9"/>
      <c r="Z38" s="9"/>
      <c r="AA38" s="3" t="e">
        <f t="shared" ca="1" si="2"/>
        <v>#N/A</v>
      </c>
      <c r="AB38" s="3" t="e">
        <f t="shared" ca="1" si="3"/>
        <v>#N/A</v>
      </c>
      <c r="AC38" s="3" t="e">
        <f t="shared" ca="1" si="4"/>
        <v>#N/A</v>
      </c>
    </row>
    <row r="39" spans="2:29" ht="15" x14ac:dyDescent="0.25">
      <c r="B39" s="36" t="s">
        <v>14</v>
      </c>
      <c r="C39" s="64" t="e">
        <f ca="1">VLOOKUP(CONCATENATE(LEFT(C$7, 7), "Scotland", $B39), [0]!data_range, 5, FALSE)</f>
        <v>#N/A</v>
      </c>
      <c r="D39" s="64" t="e">
        <f ca="1">VLOOKUP(CONCATENATE(LEFT(D$7, 7), "Scotland", $B39), [0]!data_range, 5, FALSE)</f>
        <v>#N/A</v>
      </c>
      <c r="E39" s="64" t="e">
        <f ca="1">VLOOKUP(CONCATENATE(LEFT(E$7, 7), "Scotland", $B39), [0]!data_range, 5, FALSE)</f>
        <v>#N/A</v>
      </c>
      <c r="F39" s="64" t="e">
        <f ca="1">VLOOKUP(CONCATENATE(LEFT(F$7, 7), "Scotland", $B39), [0]!data_range, 5, FALSE)</f>
        <v>#N/A</v>
      </c>
      <c r="G39" s="64" t="e">
        <f ca="1">VLOOKUP(CONCATENATE(LEFT(G$7, 7), "Scotland", $B39), [0]!data_range, 5, FALSE)</f>
        <v>#N/A</v>
      </c>
      <c r="H39" s="64" t="e">
        <f ca="1">VLOOKUP(CONCATENATE(LEFT(H$7, 7), "Scotland", $B39), [0]!data_range, 5, FALSE)</f>
        <v>#N/A</v>
      </c>
      <c r="I39" s="64" t="e">
        <f ca="1">VLOOKUP(CONCATENATE(LEFT(I$7, 7), "Scotland", $B39), [0]!data_range, 5, FALSE)</f>
        <v>#N/A</v>
      </c>
      <c r="J39" s="64" t="e">
        <f ca="1">VLOOKUP(CONCATENATE(LEFT(J$7, 7), "Scotland", $B39), [0]!data_range, 5, FALSE)</f>
        <v>#N/A</v>
      </c>
      <c r="K39" s="64" t="e">
        <f ca="1">VLOOKUP(CONCATENATE(LEFT(K$7, 7), "Scotland", $B39), [0]!data_range, 5, FALSE)</f>
        <v>#N/A</v>
      </c>
      <c r="L39" s="1"/>
      <c r="M39" s="69"/>
      <c r="N39" s="69"/>
      <c r="O39" s="69"/>
      <c r="P39" s="69"/>
      <c r="Q39" s="69"/>
      <c r="R39" s="69"/>
      <c r="S39" s="69"/>
      <c r="T39" s="9"/>
      <c r="U39" s="9"/>
      <c r="V39" s="9"/>
      <c r="W39" s="9"/>
      <c r="X39" s="9"/>
      <c r="Y39" s="9"/>
      <c r="Z39" s="9"/>
      <c r="AA39" s="3" t="e">
        <f t="shared" ca="1" si="2"/>
        <v>#N/A</v>
      </c>
      <c r="AB39" s="3" t="e">
        <f t="shared" ca="1" si="3"/>
        <v>#N/A</v>
      </c>
      <c r="AC39" s="3" t="e">
        <f t="shared" ca="1" si="4"/>
        <v>#N/A</v>
      </c>
    </row>
    <row r="40" spans="2:29" x14ac:dyDescent="0.2">
      <c r="J40" s="23"/>
      <c r="K40" s="23"/>
      <c r="L40" s="7"/>
      <c r="M40" s="9"/>
      <c r="N40" s="9"/>
      <c r="O40" s="9"/>
      <c r="P40" s="9"/>
      <c r="Q40" s="9"/>
      <c r="R40" s="9"/>
      <c r="S40" s="9"/>
      <c r="T40" s="9"/>
      <c r="U40" s="9"/>
      <c r="V40" s="9"/>
      <c r="W40" s="9"/>
      <c r="X40" s="9"/>
      <c r="Y40" s="9"/>
      <c r="Z40" s="9"/>
    </row>
    <row r="41" spans="2:29" x14ac:dyDescent="0.2">
      <c r="J41" s="23"/>
      <c r="K41" s="23"/>
      <c r="L41" s="5"/>
    </row>
    <row r="42" spans="2:29" x14ac:dyDescent="0.2">
      <c r="C42" s="62"/>
      <c r="J42" s="23"/>
      <c r="K42" s="23"/>
      <c r="L42" s="5"/>
    </row>
    <row r="43" spans="2:29" x14ac:dyDescent="0.2">
      <c r="B43" s="19" t="s">
        <v>18</v>
      </c>
      <c r="J43" s="23"/>
      <c r="K43" s="23"/>
      <c r="L43" s="5"/>
    </row>
    <row r="44" spans="2:29" x14ac:dyDescent="0.2">
      <c r="J44" s="23"/>
      <c r="K44" s="23"/>
      <c r="L44" s="5"/>
    </row>
    <row r="45" spans="2:29" x14ac:dyDescent="0.2">
      <c r="B45" s="21" t="s">
        <v>155</v>
      </c>
      <c r="J45" s="23"/>
      <c r="K45" s="23"/>
      <c r="L45" s="5"/>
    </row>
    <row r="46" spans="2:29" x14ac:dyDescent="0.2">
      <c r="B46" s="21" t="s">
        <v>148</v>
      </c>
      <c r="J46" s="23"/>
      <c r="K46" s="23"/>
      <c r="L46" s="5"/>
    </row>
    <row r="47" spans="2:29" x14ac:dyDescent="0.2">
      <c r="B47" s="21" t="e">
        <f ca="1">"    1. Data for " &amp; [0]!fy_max &amp;" are incomplete and will be revised in October 20" &amp; RIGHT([0]!fy_max, 2) &amp; " publication"</f>
        <v>#N/A</v>
      </c>
      <c r="J47" s="23"/>
      <c r="K47" s="23"/>
      <c r="L47" s="5"/>
    </row>
    <row r="48" spans="2:29" x14ac:dyDescent="0.2">
      <c r="J48" s="23"/>
      <c r="K48" s="23"/>
      <c r="L48" s="5"/>
    </row>
    <row r="49" spans="10:12" x14ac:dyDescent="0.2">
      <c r="J49" s="23"/>
      <c r="K49" s="23"/>
      <c r="L49" s="5"/>
    </row>
    <row r="50" spans="10:12" x14ac:dyDescent="0.2">
      <c r="J50" s="23"/>
      <c r="K50" s="23"/>
      <c r="L50" s="5"/>
    </row>
    <row r="51" spans="10:12" x14ac:dyDescent="0.2">
      <c r="J51" s="23"/>
      <c r="K51" s="23"/>
      <c r="L51" s="5"/>
    </row>
    <row r="52" spans="10:12" x14ac:dyDescent="0.2">
      <c r="J52" s="23"/>
      <c r="K52" s="23"/>
      <c r="L52" s="5"/>
    </row>
    <row r="53" spans="10:12" x14ac:dyDescent="0.2">
      <c r="J53" s="23"/>
      <c r="K53" s="23"/>
      <c r="L53" s="5"/>
    </row>
    <row r="54" spans="10:12" x14ac:dyDescent="0.2">
      <c r="J54" s="23"/>
      <c r="K54" s="23"/>
      <c r="L54" s="5"/>
    </row>
    <row r="55" spans="10:12" x14ac:dyDescent="0.2">
      <c r="J55" s="23"/>
      <c r="K55" s="23"/>
      <c r="L55" s="5"/>
    </row>
    <row r="56" spans="10:12" x14ac:dyDescent="0.2">
      <c r="J56" s="23"/>
      <c r="K56" s="23"/>
      <c r="L56" s="5"/>
    </row>
    <row r="57" spans="10:12" x14ac:dyDescent="0.2">
      <c r="J57" s="23"/>
      <c r="K57" s="23"/>
      <c r="L57" s="5"/>
    </row>
    <row r="58" spans="10:12" x14ac:dyDescent="0.2">
      <c r="J58" s="23"/>
      <c r="K58" s="23"/>
      <c r="L58" s="5"/>
    </row>
    <row r="59" spans="10:12" x14ac:dyDescent="0.2">
      <c r="J59" s="23"/>
      <c r="K59" s="23"/>
      <c r="L59" s="5"/>
    </row>
    <row r="60" spans="10:12" x14ac:dyDescent="0.2">
      <c r="J60" s="23"/>
      <c r="K60" s="23"/>
      <c r="L60" s="5"/>
    </row>
    <row r="61" spans="10:12" x14ac:dyDescent="0.2">
      <c r="J61" s="23"/>
      <c r="K61" s="23"/>
      <c r="L61" s="5"/>
    </row>
    <row r="62" spans="10:12" x14ac:dyDescent="0.2">
      <c r="J62" s="23"/>
      <c r="K62" s="23"/>
      <c r="L62" s="5"/>
    </row>
    <row r="63" spans="10:12" x14ac:dyDescent="0.2">
      <c r="J63" s="23"/>
      <c r="K63" s="23"/>
      <c r="L63" s="5"/>
    </row>
    <row r="64" spans="10:12" x14ac:dyDescent="0.2">
      <c r="J64" s="23"/>
      <c r="K64" s="23"/>
      <c r="L64" s="5"/>
    </row>
    <row r="65" spans="10:12" x14ac:dyDescent="0.2">
      <c r="J65" s="23"/>
      <c r="K65" s="23"/>
      <c r="L65" s="5"/>
    </row>
    <row r="66" spans="10:12" x14ac:dyDescent="0.2">
      <c r="J66" s="23"/>
      <c r="K66" s="23"/>
      <c r="L66" s="5"/>
    </row>
    <row r="67" spans="10:12" x14ac:dyDescent="0.2">
      <c r="J67" s="23"/>
      <c r="K67" s="23"/>
      <c r="L67" s="5"/>
    </row>
    <row r="68" spans="10:12" x14ac:dyDescent="0.2">
      <c r="J68" s="23"/>
      <c r="K68" s="23"/>
      <c r="L68" s="5"/>
    </row>
    <row r="69" spans="10:12" x14ac:dyDescent="0.2">
      <c r="J69" s="23"/>
      <c r="K69" s="23"/>
      <c r="L69" s="5"/>
    </row>
    <row r="70" spans="10:12" x14ac:dyDescent="0.2">
      <c r="J70" s="23"/>
      <c r="K70" s="23"/>
      <c r="L70" s="5"/>
    </row>
    <row r="71" spans="10:12" x14ac:dyDescent="0.2">
      <c r="J71" s="23"/>
      <c r="K71" s="23"/>
      <c r="L71" s="5"/>
    </row>
    <row r="72" spans="10:12" x14ac:dyDescent="0.2">
      <c r="J72" s="23"/>
      <c r="K72" s="23"/>
      <c r="L72" s="5"/>
    </row>
    <row r="73" spans="10:12" x14ac:dyDescent="0.2">
      <c r="J73" s="23"/>
      <c r="K73" s="23"/>
      <c r="L73" s="5"/>
    </row>
    <row r="74" spans="10:12" x14ac:dyDescent="0.2">
      <c r="J74" s="23"/>
      <c r="K74" s="23"/>
      <c r="L74" s="5"/>
    </row>
    <row r="75" spans="10:12" x14ac:dyDescent="0.2">
      <c r="J75" s="23"/>
      <c r="K75" s="23"/>
      <c r="L75" s="5"/>
    </row>
    <row r="76" spans="10:12" x14ac:dyDescent="0.2">
      <c r="J76" s="23"/>
      <c r="K76" s="23"/>
      <c r="L76" s="5"/>
    </row>
    <row r="77" spans="10:12" x14ac:dyDescent="0.2">
      <c r="J77" s="23"/>
      <c r="K77" s="23"/>
      <c r="L77" s="5"/>
    </row>
    <row r="78" spans="10:12" x14ac:dyDescent="0.2">
      <c r="J78" s="23"/>
      <c r="K78" s="23"/>
      <c r="L78" s="5"/>
    </row>
    <row r="79" spans="10:12" x14ac:dyDescent="0.2">
      <c r="J79" s="23"/>
      <c r="K79" s="23"/>
      <c r="L79" s="5"/>
    </row>
    <row r="80" spans="10:12" x14ac:dyDescent="0.2">
      <c r="J80" s="23"/>
      <c r="K80" s="23"/>
      <c r="L80" s="5"/>
    </row>
    <row r="81" spans="10:12" x14ac:dyDescent="0.2">
      <c r="J81" s="23"/>
      <c r="K81" s="23"/>
      <c r="L81" s="5"/>
    </row>
    <row r="82" spans="10:12" x14ac:dyDescent="0.2">
      <c r="J82" s="23"/>
      <c r="K82" s="23"/>
      <c r="L82" s="5"/>
    </row>
    <row r="83" spans="10:12" x14ac:dyDescent="0.2">
      <c r="J83" s="23"/>
      <c r="K83" s="23"/>
      <c r="L83" s="5"/>
    </row>
    <row r="84" spans="10:12" x14ac:dyDescent="0.2">
      <c r="J84" s="23"/>
      <c r="K84" s="23"/>
      <c r="L84" s="5"/>
    </row>
    <row r="85" spans="10:12" x14ac:dyDescent="0.2">
      <c r="J85" s="23"/>
      <c r="K85" s="23"/>
      <c r="L85" s="5"/>
    </row>
    <row r="86" spans="10:12" x14ac:dyDescent="0.2">
      <c r="J86" s="23"/>
      <c r="K86" s="23"/>
      <c r="L86" s="5"/>
    </row>
    <row r="87" spans="10:12" x14ac:dyDescent="0.2">
      <c r="J87" s="23"/>
      <c r="K87" s="23"/>
      <c r="L87" s="5"/>
    </row>
    <row r="88" spans="10:12" x14ac:dyDescent="0.2">
      <c r="J88" s="23"/>
      <c r="K88" s="23"/>
      <c r="L88" s="5"/>
    </row>
    <row r="89" spans="10:12" x14ac:dyDescent="0.2">
      <c r="J89" s="23"/>
      <c r="K89" s="23"/>
      <c r="L89" s="5"/>
    </row>
    <row r="90" spans="10:12" x14ac:dyDescent="0.2">
      <c r="J90" s="23"/>
      <c r="K90" s="23"/>
      <c r="L90" s="5"/>
    </row>
    <row r="91" spans="10:12" x14ac:dyDescent="0.2">
      <c r="J91" s="23"/>
      <c r="K91" s="23"/>
      <c r="L91" s="5"/>
    </row>
    <row r="92" spans="10:12" x14ac:dyDescent="0.2">
      <c r="J92" s="23"/>
      <c r="K92" s="23"/>
      <c r="L92" s="5"/>
    </row>
    <row r="93" spans="10:12" x14ac:dyDescent="0.2">
      <c r="J93" s="23"/>
      <c r="K93" s="23"/>
      <c r="L93" s="5"/>
    </row>
    <row r="94" spans="10:12" x14ac:dyDescent="0.2">
      <c r="J94" s="23"/>
      <c r="K94" s="23"/>
      <c r="L94" s="5"/>
    </row>
    <row r="95" spans="10:12" x14ac:dyDescent="0.2">
      <c r="J95" s="23"/>
      <c r="K95" s="23"/>
      <c r="L95" s="5"/>
    </row>
    <row r="96" spans="10:12" x14ac:dyDescent="0.2">
      <c r="J96" s="23"/>
      <c r="K96" s="23"/>
      <c r="L96" s="5"/>
    </row>
    <row r="97" spans="10:12" x14ac:dyDescent="0.2">
      <c r="J97" s="23"/>
      <c r="K97" s="23"/>
      <c r="L97" s="5"/>
    </row>
    <row r="98" spans="10:12" x14ac:dyDescent="0.2">
      <c r="J98" s="23"/>
      <c r="K98" s="23"/>
      <c r="L98" s="5"/>
    </row>
    <row r="99" spans="10:12" x14ac:dyDescent="0.2">
      <c r="J99" s="23"/>
      <c r="K99" s="23"/>
      <c r="L99" s="5"/>
    </row>
    <row r="100" spans="10:12" x14ac:dyDescent="0.2">
      <c r="J100" s="23"/>
      <c r="K100" s="23"/>
      <c r="L100" s="5"/>
    </row>
    <row r="101" spans="10:12" x14ac:dyDescent="0.2">
      <c r="J101" s="23"/>
      <c r="K101" s="23"/>
      <c r="L101" s="5"/>
    </row>
    <row r="102" spans="10:12" x14ac:dyDescent="0.2">
      <c r="J102" s="23"/>
      <c r="K102" s="23"/>
      <c r="L102" s="5"/>
    </row>
    <row r="103" spans="10:12" x14ac:dyDescent="0.2">
      <c r="J103" s="23"/>
      <c r="K103" s="23"/>
      <c r="L103" s="5"/>
    </row>
    <row r="104" spans="10:12" x14ac:dyDescent="0.2">
      <c r="J104" s="23"/>
      <c r="K104" s="23"/>
      <c r="L104" s="5"/>
    </row>
    <row r="105" spans="10:12" x14ac:dyDescent="0.2">
      <c r="J105" s="23"/>
      <c r="K105" s="23"/>
      <c r="L105" s="5"/>
    </row>
    <row r="106" spans="10:12" x14ac:dyDescent="0.2">
      <c r="J106" s="23"/>
      <c r="K106" s="23"/>
      <c r="L106" s="5"/>
    </row>
    <row r="107" spans="10:12" x14ac:dyDescent="0.2">
      <c r="J107" s="23"/>
      <c r="K107" s="23"/>
      <c r="L107" s="5"/>
    </row>
    <row r="108" spans="10:12" x14ac:dyDescent="0.2">
      <c r="J108" s="23"/>
      <c r="K108" s="23"/>
      <c r="L108" s="5"/>
    </row>
    <row r="109" spans="10:12" x14ac:dyDescent="0.2">
      <c r="J109" s="23"/>
      <c r="K109" s="23"/>
      <c r="L109" s="5"/>
    </row>
    <row r="110" spans="10:12" x14ac:dyDescent="0.2">
      <c r="J110" s="23"/>
      <c r="K110" s="23"/>
      <c r="L110" s="5"/>
    </row>
    <row r="111" spans="10:12" x14ac:dyDescent="0.2">
      <c r="J111" s="23"/>
      <c r="K111" s="23"/>
      <c r="L111" s="5"/>
    </row>
    <row r="112" spans="10:12" x14ac:dyDescent="0.2">
      <c r="J112" s="23"/>
      <c r="K112" s="23"/>
      <c r="L112" s="5"/>
    </row>
    <row r="113" spans="10:12" x14ac:dyDescent="0.2">
      <c r="J113" s="23"/>
      <c r="K113" s="23"/>
      <c r="L113" s="5"/>
    </row>
    <row r="114" spans="10:12" x14ac:dyDescent="0.2">
      <c r="J114" s="23"/>
      <c r="K114" s="23"/>
      <c r="L114" s="5"/>
    </row>
    <row r="115" spans="10:12" x14ac:dyDescent="0.2">
      <c r="J115" s="23"/>
      <c r="K115" s="23"/>
      <c r="L115" s="5"/>
    </row>
    <row r="116" spans="10:12" x14ac:dyDescent="0.2">
      <c r="J116" s="23"/>
      <c r="K116" s="23"/>
      <c r="L116" s="5"/>
    </row>
    <row r="117" spans="10:12" x14ac:dyDescent="0.2">
      <c r="J117" s="23"/>
      <c r="K117" s="23"/>
      <c r="L117" s="5"/>
    </row>
    <row r="118" spans="10:12" x14ac:dyDescent="0.2">
      <c r="J118" s="23"/>
      <c r="K118" s="23"/>
      <c r="L118" s="5"/>
    </row>
    <row r="119" spans="10:12" x14ac:dyDescent="0.2">
      <c r="J119" s="23"/>
      <c r="K119" s="23"/>
      <c r="L119" s="5"/>
    </row>
    <row r="120" spans="10:12" x14ac:dyDescent="0.2">
      <c r="J120" s="23"/>
      <c r="K120" s="23"/>
      <c r="L120" s="5"/>
    </row>
    <row r="121" spans="10:12" x14ac:dyDescent="0.2">
      <c r="J121" s="23"/>
      <c r="K121" s="23"/>
      <c r="L121" s="5"/>
    </row>
    <row r="122" spans="10:12" x14ac:dyDescent="0.2">
      <c r="J122" s="23"/>
      <c r="K122" s="23"/>
      <c r="L122" s="5"/>
    </row>
    <row r="123" spans="10:12" x14ac:dyDescent="0.2">
      <c r="J123" s="23"/>
      <c r="K123" s="23"/>
      <c r="L123" s="5"/>
    </row>
    <row r="124" spans="10:12" x14ac:dyDescent="0.2">
      <c r="J124" s="23"/>
      <c r="K124" s="23"/>
      <c r="L124" s="5"/>
    </row>
    <row r="125" spans="10:12" x14ac:dyDescent="0.2">
      <c r="J125" s="23"/>
      <c r="K125" s="23"/>
      <c r="L125" s="5"/>
    </row>
    <row r="126" spans="10:12" x14ac:dyDescent="0.2">
      <c r="J126" s="23"/>
      <c r="K126" s="23"/>
      <c r="L126" s="5"/>
    </row>
    <row r="127" spans="10:12" x14ac:dyDescent="0.2">
      <c r="J127" s="23"/>
      <c r="K127" s="23"/>
      <c r="L127" s="5"/>
    </row>
    <row r="128" spans="10:12" x14ac:dyDescent="0.2">
      <c r="J128" s="23"/>
      <c r="K128" s="23"/>
      <c r="L128" s="5"/>
    </row>
    <row r="129" spans="10:12" x14ac:dyDescent="0.2">
      <c r="J129" s="23"/>
      <c r="K129" s="23"/>
      <c r="L129" s="5"/>
    </row>
    <row r="130" spans="10:12" x14ac:dyDescent="0.2">
      <c r="J130" s="23"/>
      <c r="K130" s="23"/>
      <c r="L130" s="5"/>
    </row>
    <row r="131" spans="10:12" x14ac:dyDescent="0.2">
      <c r="J131" s="23"/>
      <c r="K131" s="23"/>
      <c r="L131" s="5"/>
    </row>
    <row r="132" spans="10:12" x14ac:dyDescent="0.2">
      <c r="J132" s="23"/>
      <c r="K132" s="23"/>
      <c r="L132" s="5"/>
    </row>
    <row r="133" spans="10:12" x14ac:dyDescent="0.2">
      <c r="J133" s="23"/>
      <c r="K133" s="23"/>
      <c r="L133" s="5"/>
    </row>
    <row r="134" spans="10:12" x14ac:dyDescent="0.2">
      <c r="J134" s="23"/>
      <c r="K134" s="23"/>
      <c r="L134" s="5"/>
    </row>
    <row r="135" spans="10:12" x14ac:dyDescent="0.2">
      <c r="J135" s="23"/>
      <c r="K135" s="23"/>
      <c r="L135" s="5"/>
    </row>
    <row r="136" spans="10:12" x14ac:dyDescent="0.2">
      <c r="J136" s="23"/>
      <c r="K136" s="23"/>
      <c r="L136" s="5"/>
    </row>
    <row r="137" spans="10:12" x14ac:dyDescent="0.2">
      <c r="J137" s="23"/>
      <c r="K137" s="23"/>
      <c r="L137" s="5"/>
    </row>
    <row r="138" spans="10:12" x14ac:dyDescent="0.2">
      <c r="J138" s="23"/>
      <c r="K138" s="23"/>
      <c r="L138" s="5"/>
    </row>
    <row r="139" spans="10:12" x14ac:dyDescent="0.2">
      <c r="J139" s="23"/>
      <c r="K139" s="23"/>
      <c r="L139" s="5"/>
    </row>
    <row r="140" spans="10:12" x14ac:dyDescent="0.2">
      <c r="J140" s="23"/>
      <c r="K140" s="23"/>
      <c r="L140" s="5"/>
    </row>
    <row r="141" spans="10:12" x14ac:dyDescent="0.2">
      <c r="J141" s="23"/>
      <c r="K141" s="23"/>
      <c r="L141" s="5"/>
    </row>
    <row r="142" spans="10:12" x14ac:dyDescent="0.2">
      <c r="J142" s="23"/>
      <c r="K142" s="23"/>
      <c r="L142" s="5"/>
    </row>
    <row r="143" spans="10:12" x14ac:dyDescent="0.2">
      <c r="J143" s="23"/>
      <c r="K143" s="23"/>
      <c r="L143" s="5"/>
    </row>
    <row r="144" spans="10:12" x14ac:dyDescent="0.2">
      <c r="J144" s="23"/>
      <c r="K144" s="23"/>
      <c r="L144" s="5"/>
    </row>
    <row r="145" spans="10:12" x14ac:dyDescent="0.2">
      <c r="J145" s="23"/>
      <c r="K145" s="23"/>
      <c r="L145" s="5"/>
    </row>
    <row r="146" spans="10:12" x14ac:dyDescent="0.2">
      <c r="J146" s="23"/>
      <c r="K146" s="23"/>
      <c r="L146" s="5"/>
    </row>
    <row r="147" spans="10:12" x14ac:dyDescent="0.2">
      <c r="J147" s="23"/>
      <c r="K147" s="23"/>
      <c r="L147" s="5"/>
    </row>
    <row r="148" spans="10:12" x14ac:dyDescent="0.2">
      <c r="J148" s="23"/>
      <c r="K148" s="23"/>
      <c r="L148" s="5"/>
    </row>
    <row r="149" spans="10:12" x14ac:dyDescent="0.2">
      <c r="J149" s="23"/>
      <c r="K149" s="23"/>
      <c r="L149" s="5"/>
    </row>
    <row r="150" spans="10:12" x14ac:dyDescent="0.2">
      <c r="J150" s="23"/>
      <c r="K150" s="23"/>
      <c r="L150" s="5"/>
    </row>
    <row r="151" spans="10:12" x14ac:dyDescent="0.2">
      <c r="J151" s="23"/>
      <c r="K151" s="23"/>
      <c r="L151" s="5"/>
    </row>
    <row r="152" spans="10:12" x14ac:dyDescent="0.2">
      <c r="J152" s="23"/>
      <c r="K152" s="23"/>
      <c r="L152" s="5"/>
    </row>
    <row r="153" spans="10:12" x14ac:dyDescent="0.2">
      <c r="J153" s="23"/>
      <c r="K153" s="23"/>
      <c r="L153" s="5"/>
    </row>
    <row r="154" spans="10:12" x14ac:dyDescent="0.2">
      <c r="J154" s="23"/>
      <c r="K154" s="23"/>
      <c r="L154" s="5"/>
    </row>
    <row r="155" spans="10:12" x14ac:dyDescent="0.2">
      <c r="J155" s="23"/>
      <c r="K155" s="23"/>
      <c r="L155" s="5"/>
    </row>
    <row r="156" spans="10:12" x14ac:dyDescent="0.2">
      <c r="J156" s="23"/>
      <c r="K156" s="23"/>
      <c r="L156" s="5"/>
    </row>
    <row r="157" spans="10:12" x14ac:dyDescent="0.2">
      <c r="L157" s="6"/>
    </row>
    <row r="158" spans="10:12" x14ac:dyDescent="0.2">
      <c r="J158" s="23"/>
      <c r="K158" s="23"/>
      <c r="L158" s="6"/>
    </row>
    <row r="159" spans="10:12" x14ac:dyDescent="0.2">
      <c r="J159" s="23"/>
      <c r="K159" s="23"/>
      <c r="L159" s="6"/>
    </row>
    <row r="160" spans="10:12" x14ac:dyDescent="0.2">
      <c r="J160" s="23"/>
      <c r="K160" s="23"/>
      <c r="L160" s="6"/>
    </row>
    <row r="161" spans="10:12" x14ac:dyDescent="0.2">
      <c r="J161" s="23"/>
      <c r="K161" s="23"/>
      <c r="L161" s="6"/>
    </row>
    <row r="162" spans="10:12" x14ac:dyDescent="0.2">
      <c r="J162" s="23"/>
      <c r="K162" s="23"/>
      <c r="L162" s="6"/>
    </row>
    <row r="163" spans="10:12" x14ac:dyDescent="0.2">
      <c r="J163" s="23"/>
      <c r="K163" s="23"/>
      <c r="L163" s="6"/>
    </row>
    <row r="164" spans="10:12" x14ac:dyDescent="0.2">
      <c r="J164" s="23"/>
      <c r="K164" s="23"/>
      <c r="L164" s="6"/>
    </row>
    <row r="165" spans="10:12" x14ac:dyDescent="0.2">
      <c r="J165" s="23"/>
      <c r="K165" s="23"/>
      <c r="L165" s="6"/>
    </row>
    <row r="166" spans="10:12" x14ac:dyDescent="0.2">
      <c r="J166" s="23"/>
      <c r="K166" s="23"/>
      <c r="L166" s="6"/>
    </row>
    <row r="167" spans="10:12" x14ac:dyDescent="0.2">
      <c r="J167" s="23"/>
      <c r="K167" s="23"/>
      <c r="L167" s="6"/>
    </row>
    <row r="168" spans="10:12" x14ac:dyDescent="0.2">
      <c r="J168" s="23"/>
      <c r="K168" s="23"/>
      <c r="L168" s="6"/>
    </row>
    <row r="169" spans="10:12" x14ac:dyDescent="0.2">
      <c r="J169" s="23"/>
      <c r="K169" s="23"/>
      <c r="L169" s="6"/>
    </row>
    <row r="170" spans="10:12" x14ac:dyDescent="0.2">
      <c r="J170" s="23"/>
      <c r="K170" s="23"/>
      <c r="L170" s="6"/>
    </row>
    <row r="171" spans="10:12" x14ac:dyDescent="0.2">
      <c r="J171" s="23"/>
      <c r="K171" s="23"/>
      <c r="L171" s="6"/>
    </row>
    <row r="172" spans="10:12" x14ac:dyDescent="0.2">
      <c r="J172" s="23"/>
      <c r="K172" s="23"/>
      <c r="L172" s="6"/>
    </row>
    <row r="173" spans="10:12" x14ac:dyDescent="0.2">
      <c r="J173" s="23"/>
      <c r="K173" s="23"/>
      <c r="L173" s="6"/>
    </row>
    <row r="174" spans="10:12" x14ac:dyDescent="0.2">
      <c r="J174" s="23"/>
      <c r="K174" s="23"/>
      <c r="L174" s="6"/>
    </row>
    <row r="175" spans="10:12" x14ac:dyDescent="0.2">
      <c r="J175" s="23"/>
      <c r="K175" s="23"/>
      <c r="L175" s="6"/>
    </row>
    <row r="176" spans="10:12" x14ac:dyDescent="0.2">
      <c r="J176" s="23"/>
      <c r="K176" s="23"/>
      <c r="L176" s="6"/>
    </row>
    <row r="177" spans="10:12" x14ac:dyDescent="0.2">
      <c r="J177" s="23"/>
      <c r="K177" s="23"/>
      <c r="L177" s="6"/>
    </row>
    <row r="178" spans="10:12" x14ac:dyDescent="0.2">
      <c r="J178" s="23"/>
      <c r="K178" s="23"/>
      <c r="L178" s="6"/>
    </row>
    <row r="179" spans="10:12" x14ac:dyDescent="0.2">
      <c r="J179" s="23"/>
      <c r="K179" s="23"/>
      <c r="L179" s="6"/>
    </row>
    <row r="180" spans="10:12" x14ac:dyDescent="0.2">
      <c r="J180" s="23"/>
      <c r="K180" s="23"/>
      <c r="L180" s="6"/>
    </row>
    <row r="181" spans="10:12" x14ac:dyDescent="0.2">
      <c r="J181" s="23"/>
      <c r="K181" s="23"/>
      <c r="L181" s="6"/>
    </row>
    <row r="182" spans="10:12" x14ac:dyDescent="0.2">
      <c r="J182" s="23"/>
      <c r="K182" s="23"/>
      <c r="L182" s="6"/>
    </row>
    <row r="183" spans="10:12" x14ac:dyDescent="0.2">
      <c r="J183" s="23"/>
      <c r="K183" s="23"/>
      <c r="L183" s="6"/>
    </row>
    <row r="184" spans="10:12" x14ac:dyDescent="0.2">
      <c r="J184" s="23"/>
      <c r="K184" s="23"/>
      <c r="L184" s="6"/>
    </row>
    <row r="185" spans="10:12" x14ac:dyDescent="0.2">
      <c r="J185" s="23"/>
      <c r="K185" s="23"/>
      <c r="L185" s="6"/>
    </row>
    <row r="186" spans="10:12" x14ac:dyDescent="0.2">
      <c r="J186" s="23"/>
      <c r="K186" s="23"/>
      <c r="L186" s="6"/>
    </row>
    <row r="187" spans="10:12" x14ac:dyDescent="0.2">
      <c r="J187" s="23"/>
      <c r="K187" s="23"/>
      <c r="L187" s="6"/>
    </row>
    <row r="188" spans="10:12" x14ac:dyDescent="0.2">
      <c r="J188" s="23"/>
      <c r="K188" s="23"/>
      <c r="L188" s="6"/>
    </row>
    <row r="189" spans="10:12" x14ac:dyDescent="0.2">
      <c r="J189" s="23"/>
      <c r="K189" s="23"/>
      <c r="L189" s="6"/>
    </row>
  </sheetData>
  <mergeCells count="1">
    <mergeCell ref="B1:J1"/>
  </mergeCells>
  <phoneticPr fontId="5" type="noConversion"/>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90"/>
  <sheetViews>
    <sheetView showGridLines="0" zoomScaleNormal="100" workbookViewId="0"/>
  </sheetViews>
  <sheetFormatPr defaultRowHeight="12.75" x14ac:dyDescent="0.2"/>
  <cols>
    <col min="1" max="1" width="2.5703125" style="3" customWidth="1"/>
    <col min="2" max="2" width="32.42578125" style="3" customWidth="1"/>
    <col min="3" max="11" width="11.5703125" style="3" customWidth="1"/>
    <col min="12" max="16384" width="9.140625" style="3"/>
  </cols>
  <sheetData>
    <row r="1" spans="2:11" ht="32.25" customHeight="1" x14ac:dyDescent="0.25">
      <c r="B1" s="89" t="str">
        <f>Notes!B1:O1</f>
        <v/>
      </c>
      <c r="C1" s="89"/>
      <c r="D1" s="89"/>
      <c r="E1" s="89"/>
      <c r="F1" s="89"/>
      <c r="G1" s="89"/>
      <c r="H1" s="89"/>
      <c r="I1" s="89"/>
      <c r="J1" s="89"/>
    </row>
    <row r="2" spans="2:11" ht="15.75" x14ac:dyDescent="0.25">
      <c r="B2" s="4" t="s">
        <v>142</v>
      </c>
      <c r="J2" s="23"/>
      <c r="K2" s="23"/>
    </row>
    <row r="3" spans="2:11" ht="18.75" x14ac:dyDescent="0.25">
      <c r="B3" s="4" t="s">
        <v>168</v>
      </c>
      <c r="J3" s="23"/>
      <c r="K3" s="23"/>
    </row>
    <row r="4" spans="2:11" ht="15.75" x14ac:dyDescent="0.25">
      <c r="B4" s="4"/>
      <c r="J4" s="23"/>
      <c r="K4" s="23"/>
    </row>
    <row r="5" spans="2:11" x14ac:dyDescent="0.2">
      <c r="G5" s="10" t="s">
        <v>169</v>
      </c>
      <c r="J5" s="23"/>
      <c r="K5" s="23"/>
    </row>
    <row r="6" spans="2:11"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row>
    <row r="7" spans="2:11" x14ac:dyDescent="0.2">
      <c r="B7" s="65" t="s">
        <v>170</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row>
    <row r="8" spans="2:11" x14ac:dyDescent="0.2">
      <c r="B8" s="23" t="s">
        <v>93</v>
      </c>
      <c r="C8" s="15" t="e">
        <f ca="1">VLOOKUP(CONCATENATE(LEFT(C$7, 7), "ca", $B8), [0]!data_range, 5, FALSE)</f>
        <v>#N/A</v>
      </c>
      <c r="D8" s="15" t="e">
        <f ca="1">VLOOKUP(CONCATENATE(LEFT(D$7, 7), "ca", $B8), [0]!data_range, 5, FALSE)</f>
        <v>#N/A</v>
      </c>
      <c r="E8" s="15" t="e">
        <f ca="1">VLOOKUP(CONCATENATE(LEFT(E$7, 7), "ca", $B8), [0]!data_range, 5, FALSE)</f>
        <v>#N/A</v>
      </c>
      <c r="F8" s="15" t="e">
        <f ca="1">VLOOKUP(CONCATENATE(LEFT(F$7, 7), "ca", $B8), [0]!data_range, 5, FALSE)</f>
        <v>#N/A</v>
      </c>
      <c r="G8" s="15" t="e">
        <f ca="1">VLOOKUP(CONCATENATE(LEFT(G$7, 7), "ca", $B8), [0]!data_range, 5, FALSE)</f>
        <v>#N/A</v>
      </c>
      <c r="H8" s="15" t="e">
        <f ca="1">VLOOKUP(CONCATENATE(LEFT(H$7, 7), "ca", $B8), [0]!data_range, 5, FALSE)</f>
        <v>#N/A</v>
      </c>
      <c r="I8" s="15" t="e">
        <f ca="1">VLOOKUP(CONCATENATE(LEFT(I$7, 7), "ca", $B8), [0]!data_range, 5, FALSE)</f>
        <v>#N/A</v>
      </c>
      <c r="J8" s="15" t="e">
        <f ca="1">VLOOKUP(CONCATENATE(LEFT(J$7, 7), "ca", $B8), [0]!data_range, 5, FALSE)</f>
        <v>#N/A</v>
      </c>
      <c r="K8" s="15" t="e">
        <f ca="1">VLOOKUP(CONCATENATE(LEFT(K$7, 7), "ca", $B8), [0]!data_range, 5, FALSE)</f>
        <v>#N/A</v>
      </c>
    </row>
    <row r="9" spans="2:11" x14ac:dyDescent="0.2">
      <c r="B9" s="23" t="s">
        <v>94</v>
      </c>
      <c r="C9" s="15" t="e">
        <f ca="1">VLOOKUP(CONCATENATE(LEFT(C$7, 7), "ca", $B9), [0]!data_range, 5, FALSE)</f>
        <v>#N/A</v>
      </c>
      <c r="D9" s="15" t="e">
        <f ca="1">VLOOKUP(CONCATENATE(LEFT(D$7, 7), "ca", $B9), [0]!data_range, 5, FALSE)</f>
        <v>#N/A</v>
      </c>
      <c r="E9" s="15" t="e">
        <f ca="1">VLOOKUP(CONCATENATE(LEFT(E$7, 7), "ca", $B9), [0]!data_range, 5, FALSE)</f>
        <v>#N/A</v>
      </c>
      <c r="F9" s="15" t="e">
        <f ca="1">VLOOKUP(CONCATENATE(LEFT(F$7, 7), "ca", $B9), [0]!data_range, 5, FALSE)</f>
        <v>#N/A</v>
      </c>
      <c r="G9" s="15" t="e">
        <f ca="1">VLOOKUP(CONCATENATE(LEFT(G$7, 7), "ca", $B9), [0]!data_range, 5, FALSE)</f>
        <v>#N/A</v>
      </c>
      <c r="H9" s="15" t="e">
        <f ca="1">VLOOKUP(CONCATENATE(LEFT(H$7, 7), "ca", $B9), [0]!data_range, 5, FALSE)</f>
        <v>#N/A</v>
      </c>
      <c r="I9" s="15" t="e">
        <f ca="1">VLOOKUP(CONCATENATE(LEFT(I$7, 7), "ca", $B9), [0]!data_range, 5, FALSE)</f>
        <v>#N/A</v>
      </c>
      <c r="J9" s="15" t="e">
        <f ca="1">VLOOKUP(CONCATENATE(LEFT(J$7, 7), "ca", $B9), [0]!data_range, 5, FALSE)</f>
        <v>#N/A</v>
      </c>
      <c r="K9" s="15" t="e">
        <f ca="1">VLOOKUP(CONCATENATE(LEFT(K$7, 7), "ca", $B9), [0]!data_range, 5, FALSE)</f>
        <v>#N/A</v>
      </c>
    </row>
    <row r="10" spans="2:11" x14ac:dyDescent="0.2">
      <c r="B10" s="23" t="s">
        <v>95</v>
      </c>
      <c r="C10" s="15" t="e">
        <f ca="1">VLOOKUP(CONCATENATE(LEFT(C$7, 7), "ca", $B10), [0]!data_range, 5, FALSE)</f>
        <v>#N/A</v>
      </c>
      <c r="D10" s="15" t="e">
        <f ca="1">VLOOKUP(CONCATENATE(LEFT(D$7, 7), "ca", $B10), [0]!data_range, 5, FALSE)</f>
        <v>#N/A</v>
      </c>
      <c r="E10" s="15" t="e">
        <f ca="1">VLOOKUP(CONCATENATE(LEFT(E$7, 7), "ca", $B10), [0]!data_range, 5, FALSE)</f>
        <v>#N/A</v>
      </c>
      <c r="F10" s="15" t="e">
        <f ca="1">VLOOKUP(CONCATENATE(LEFT(F$7, 7), "ca", $B10), [0]!data_range, 5, FALSE)</f>
        <v>#N/A</v>
      </c>
      <c r="G10" s="15" t="e">
        <f ca="1">VLOOKUP(CONCATENATE(LEFT(G$7, 7), "ca", $B10), [0]!data_range, 5, FALSE)</f>
        <v>#N/A</v>
      </c>
      <c r="H10" s="15" t="e">
        <f ca="1">VLOOKUP(CONCATENATE(LEFT(H$7, 7), "ca", $B10), [0]!data_range, 5, FALSE)</f>
        <v>#N/A</v>
      </c>
      <c r="I10" s="15" t="e">
        <f ca="1">VLOOKUP(CONCATENATE(LEFT(I$7, 7), "ca", $B10), [0]!data_range, 5, FALSE)</f>
        <v>#N/A</v>
      </c>
      <c r="J10" s="15" t="e">
        <f ca="1">VLOOKUP(CONCATENATE(LEFT(J$7, 7), "ca", $B10), [0]!data_range, 5, FALSE)</f>
        <v>#N/A</v>
      </c>
      <c r="K10" s="15" t="e">
        <f ca="1">VLOOKUP(CONCATENATE(LEFT(K$7, 7), "ca", $B10), [0]!data_range, 5, FALSE)</f>
        <v>#N/A</v>
      </c>
    </row>
    <row r="11" spans="2:11" x14ac:dyDescent="0.2">
      <c r="B11" s="23" t="s">
        <v>96</v>
      </c>
      <c r="C11" s="15" t="e">
        <f ca="1">VLOOKUP(CONCATENATE(LEFT(C$7, 7), "ca", $B11), [0]!data_range, 5, FALSE)</f>
        <v>#N/A</v>
      </c>
      <c r="D11" s="15" t="e">
        <f ca="1">VLOOKUP(CONCATENATE(LEFT(D$7, 7), "ca", $B11), [0]!data_range, 5, FALSE)</f>
        <v>#N/A</v>
      </c>
      <c r="E11" s="15" t="e">
        <f ca="1">VLOOKUP(CONCATENATE(LEFT(E$7, 7), "ca", $B11), [0]!data_range, 5, FALSE)</f>
        <v>#N/A</v>
      </c>
      <c r="F11" s="15" t="e">
        <f ca="1">VLOOKUP(CONCATENATE(LEFT(F$7, 7), "ca", $B11), [0]!data_range, 5, FALSE)</f>
        <v>#N/A</v>
      </c>
      <c r="G11" s="15" t="e">
        <f ca="1">VLOOKUP(CONCATENATE(LEFT(G$7, 7), "ca", $B11), [0]!data_range, 5, FALSE)</f>
        <v>#N/A</v>
      </c>
      <c r="H11" s="15" t="e">
        <f ca="1">VLOOKUP(CONCATENATE(LEFT(H$7, 7), "ca", $B11), [0]!data_range, 5, FALSE)</f>
        <v>#N/A</v>
      </c>
      <c r="I11" s="15" t="e">
        <f ca="1">VLOOKUP(CONCATENATE(LEFT(I$7, 7), "ca", $B11), [0]!data_range, 5, FALSE)</f>
        <v>#N/A</v>
      </c>
      <c r="J11" s="15" t="e">
        <f ca="1">VLOOKUP(CONCATENATE(LEFT(J$7, 7), "ca", $B11), [0]!data_range, 5, FALSE)</f>
        <v>#N/A</v>
      </c>
      <c r="K11" s="15" t="e">
        <f ca="1">VLOOKUP(CONCATENATE(LEFT(K$7, 7), "ca", $B11), [0]!data_range, 5, FALSE)</f>
        <v>#N/A</v>
      </c>
    </row>
    <row r="12" spans="2:11" x14ac:dyDescent="0.2">
      <c r="B12" s="23" t="s">
        <v>171</v>
      </c>
      <c r="C12" s="15" t="e">
        <f ca="1">VLOOKUP(CONCATENATE(LEFT(C$7, 7), "ca", $B12), [0]!data_range, 5, FALSE)</f>
        <v>#N/A</v>
      </c>
      <c r="D12" s="15" t="e">
        <f ca="1">VLOOKUP(CONCATENATE(LEFT(D$7, 7), "ca", $B12), [0]!data_range, 5, FALSE)</f>
        <v>#N/A</v>
      </c>
      <c r="E12" s="15" t="e">
        <f ca="1">VLOOKUP(CONCATENATE(LEFT(E$7, 7), "ca", $B12), [0]!data_range, 5, FALSE)</f>
        <v>#N/A</v>
      </c>
      <c r="F12" s="15" t="e">
        <f ca="1">VLOOKUP(CONCATENATE(LEFT(F$7, 7), "ca", $B12), [0]!data_range, 5, FALSE)</f>
        <v>#N/A</v>
      </c>
      <c r="G12" s="15" t="e">
        <f ca="1">VLOOKUP(CONCATENATE(LEFT(G$7, 7), "ca", $B12), [0]!data_range, 5, FALSE)</f>
        <v>#N/A</v>
      </c>
      <c r="H12" s="15" t="e">
        <f ca="1">VLOOKUP(CONCATENATE(LEFT(H$7, 7), "ca", $B12), [0]!data_range, 5, FALSE)</f>
        <v>#N/A</v>
      </c>
      <c r="I12" s="15" t="e">
        <f ca="1">VLOOKUP(CONCATENATE(LEFT(I$7, 7), "ca", $B12), [0]!data_range, 5, FALSE)</f>
        <v>#N/A</v>
      </c>
      <c r="J12" s="15" t="e">
        <f ca="1">VLOOKUP(CONCATENATE(LEFT(J$7, 7), "ca", $B12), [0]!data_range, 5, FALSE)</f>
        <v>#N/A</v>
      </c>
      <c r="K12" s="15" t="e">
        <f ca="1">VLOOKUP(CONCATENATE(LEFT(K$7, 7), "ca", $B12), [0]!data_range, 5, FALSE)</f>
        <v>#N/A</v>
      </c>
    </row>
    <row r="13" spans="2:11" x14ac:dyDescent="0.2">
      <c r="B13" s="23" t="s">
        <v>2</v>
      </c>
      <c r="C13" s="15" t="e">
        <f ca="1">VLOOKUP(CONCATENATE(LEFT(C$7, 7), "ca", $B13), [0]!data_range, 5, FALSE)</f>
        <v>#N/A</v>
      </c>
      <c r="D13" s="15" t="e">
        <f ca="1">VLOOKUP(CONCATENATE(LEFT(D$7, 7), "ca", $B13), [0]!data_range, 5, FALSE)</f>
        <v>#N/A</v>
      </c>
      <c r="E13" s="15" t="e">
        <f ca="1">VLOOKUP(CONCATENATE(LEFT(E$7, 7), "ca", $B13), [0]!data_range, 5, FALSE)</f>
        <v>#N/A</v>
      </c>
      <c r="F13" s="15" t="e">
        <f ca="1">VLOOKUP(CONCATENATE(LEFT(F$7, 7), "ca", $B13), [0]!data_range, 5, FALSE)</f>
        <v>#N/A</v>
      </c>
      <c r="G13" s="15" t="e">
        <f ca="1">VLOOKUP(CONCATENATE(LEFT(G$7, 7), "ca", $B13), [0]!data_range, 5, FALSE)</f>
        <v>#N/A</v>
      </c>
      <c r="H13" s="15" t="e">
        <f ca="1">VLOOKUP(CONCATENATE(LEFT(H$7, 7), "ca", $B13), [0]!data_range, 5, FALSE)</f>
        <v>#N/A</v>
      </c>
      <c r="I13" s="15" t="e">
        <f ca="1">VLOOKUP(CONCATENATE(LEFT(I$7, 7), "ca", $B13), [0]!data_range, 5, FALSE)</f>
        <v>#N/A</v>
      </c>
      <c r="J13" s="15" t="e">
        <f ca="1">VLOOKUP(CONCATENATE(LEFT(J$7, 7), "ca", $B13), [0]!data_range, 5, FALSE)</f>
        <v>#N/A</v>
      </c>
      <c r="K13" s="15" t="e">
        <f ca="1">VLOOKUP(CONCATENATE(LEFT(K$7, 7), "ca", $B13), [0]!data_range, 5, FALSE)</f>
        <v>#N/A</v>
      </c>
    </row>
    <row r="14" spans="2:11" x14ac:dyDescent="0.2">
      <c r="B14" s="23" t="s">
        <v>97</v>
      </c>
      <c r="C14" s="15" t="e">
        <f ca="1">VLOOKUP(CONCATENATE(LEFT(C$7, 7), "ca", $B14), [0]!data_range, 5, FALSE)</f>
        <v>#N/A</v>
      </c>
      <c r="D14" s="15" t="e">
        <f ca="1">VLOOKUP(CONCATENATE(LEFT(D$7, 7), "ca", $B14), [0]!data_range, 5, FALSE)</f>
        <v>#N/A</v>
      </c>
      <c r="E14" s="15" t="e">
        <f ca="1">VLOOKUP(CONCATENATE(LEFT(E$7, 7), "ca", $B14), [0]!data_range, 5, FALSE)</f>
        <v>#N/A</v>
      </c>
      <c r="F14" s="15" t="e">
        <f ca="1">VLOOKUP(CONCATENATE(LEFT(F$7, 7), "ca", $B14), [0]!data_range, 5, FALSE)</f>
        <v>#N/A</v>
      </c>
      <c r="G14" s="15" t="e">
        <f ca="1">VLOOKUP(CONCATENATE(LEFT(G$7, 7), "ca", $B14), [0]!data_range, 5, FALSE)</f>
        <v>#N/A</v>
      </c>
      <c r="H14" s="15" t="e">
        <f ca="1">VLOOKUP(CONCATENATE(LEFT(H$7, 7), "ca", $B14), [0]!data_range, 5, FALSE)</f>
        <v>#N/A</v>
      </c>
      <c r="I14" s="15" t="e">
        <f ca="1">VLOOKUP(CONCATENATE(LEFT(I$7, 7), "ca", $B14), [0]!data_range, 5, FALSE)</f>
        <v>#N/A</v>
      </c>
      <c r="J14" s="15" t="e">
        <f ca="1">VLOOKUP(CONCATENATE(LEFT(J$7, 7), "ca", $B14), [0]!data_range, 5, FALSE)</f>
        <v>#N/A</v>
      </c>
      <c r="K14" s="15" t="e">
        <f ca="1">VLOOKUP(CONCATENATE(LEFT(K$7, 7), "ca", $B14), [0]!data_range, 5, FALSE)</f>
        <v>#N/A</v>
      </c>
    </row>
    <row r="15" spans="2:11" x14ac:dyDescent="0.2">
      <c r="B15" s="23" t="s">
        <v>98</v>
      </c>
      <c r="C15" s="15" t="e">
        <f ca="1">VLOOKUP(CONCATENATE(LEFT(C$7, 7), "ca", $B15), [0]!data_range, 5, FALSE)</f>
        <v>#N/A</v>
      </c>
      <c r="D15" s="15" t="e">
        <f ca="1">VLOOKUP(CONCATENATE(LEFT(D$7, 7), "ca", $B15), [0]!data_range, 5, FALSE)</f>
        <v>#N/A</v>
      </c>
      <c r="E15" s="15" t="e">
        <f ca="1">VLOOKUP(CONCATENATE(LEFT(E$7, 7), "ca", $B15), [0]!data_range, 5, FALSE)</f>
        <v>#N/A</v>
      </c>
      <c r="F15" s="15" t="e">
        <f ca="1">VLOOKUP(CONCATENATE(LEFT(F$7, 7), "ca", $B15), [0]!data_range, 5, FALSE)</f>
        <v>#N/A</v>
      </c>
      <c r="G15" s="15" t="e">
        <f ca="1">VLOOKUP(CONCATENATE(LEFT(G$7, 7), "ca", $B15), [0]!data_range, 5, FALSE)</f>
        <v>#N/A</v>
      </c>
      <c r="H15" s="15" t="e">
        <f ca="1">VLOOKUP(CONCATENATE(LEFT(H$7, 7), "ca", $B15), [0]!data_range, 5, FALSE)</f>
        <v>#N/A</v>
      </c>
      <c r="I15" s="15" t="e">
        <f ca="1">VLOOKUP(CONCATENATE(LEFT(I$7, 7), "ca", $B15), [0]!data_range, 5, FALSE)</f>
        <v>#N/A</v>
      </c>
      <c r="J15" s="15" t="e">
        <f ca="1">VLOOKUP(CONCATENATE(LEFT(J$7, 7), "ca", $B15), [0]!data_range, 5, FALSE)</f>
        <v>#N/A</v>
      </c>
      <c r="K15" s="15" t="e">
        <f ca="1">VLOOKUP(CONCATENATE(LEFT(K$7, 7), "ca", $B15), [0]!data_range, 5, FALSE)</f>
        <v>#N/A</v>
      </c>
    </row>
    <row r="16" spans="2:11" x14ac:dyDescent="0.2">
      <c r="B16" s="23" t="s">
        <v>99</v>
      </c>
      <c r="C16" s="15" t="e">
        <f ca="1">VLOOKUP(CONCATENATE(LEFT(C$7, 7), "ca", $B16), [0]!data_range, 5, FALSE)</f>
        <v>#N/A</v>
      </c>
      <c r="D16" s="15" t="e">
        <f ca="1">VLOOKUP(CONCATENATE(LEFT(D$7, 7), "ca", $B16), [0]!data_range, 5, FALSE)</f>
        <v>#N/A</v>
      </c>
      <c r="E16" s="15" t="e">
        <f ca="1">VLOOKUP(CONCATENATE(LEFT(E$7, 7), "ca", $B16), [0]!data_range, 5, FALSE)</f>
        <v>#N/A</v>
      </c>
      <c r="F16" s="15" t="e">
        <f ca="1">VLOOKUP(CONCATENATE(LEFT(F$7, 7), "ca", $B16), [0]!data_range, 5, FALSE)</f>
        <v>#N/A</v>
      </c>
      <c r="G16" s="15" t="e">
        <f ca="1">VLOOKUP(CONCATENATE(LEFT(G$7, 7), "ca", $B16), [0]!data_range, 5, FALSE)</f>
        <v>#N/A</v>
      </c>
      <c r="H16" s="15" t="e">
        <f ca="1">VLOOKUP(CONCATENATE(LEFT(H$7, 7), "ca", $B16), [0]!data_range, 5, FALSE)</f>
        <v>#N/A</v>
      </c>
      <c r="I16" s="15" t="e">
        <f ca="1">VLOOKUP(CONCATENATE(LEFT(I$7, 7), "ca", $B16), [0]!data_range, 5, FALSE)</f>
        <v>#N/A</v>
      </c>
      <c r="J16" s="15" t="e">
        <f ca="1">VLOOKUP(CONCATENATE(LEFT(J$7, 7), "ca", $B16), [0]!data_range, 5, FALSE)</f>
        <v>#N/A</v>
      </c>
      <c r="K16" s="15" t="e">
        <f ca="1">VLOOKUP(CONCATENATE(LEFT(K$7, 7), "ca", $B16), [0]!data_range, 5, FALSE)</f>
        <v>#N/A</v>
      </c>
    </row>
    <row r="17" spans="2:11" x14ac:dyDescent="0.2">
      <c r="B17" s="23" t="s">
        <v>100</v>
      </c>
      <c r="C17" s="15" t="e">
        <f ca="1">VLOOKUP(CONCATENATE(LEFT(C$7, 7), "ca", $B17), [0]!data_range, 5, FALSE)</f>
        <v>#N/A</v>
      </c>
      <c r="D17" s="15" t="e">
        <f ca="1">VLOOKUP(CONCATENATE(LEFT(D$7, 7), "ca", $B17), [0]!data_range, 5, FALSE)</f>
        <v>#N/A</v>
      </c>
      <c r="E17" s="15" t="e">
        <f ca="1">VLOOKUP(CONCATENATE(LEFT(E$7, 7), "ca", $B17), [0]!data_range, 5, FALSE)</f>
        <v>#N/A</v>
      </c>
      <c r="F17" s="15" t="e">
        <f ca="1">VLOOKUP(CONCATENATE(LEFT(F$7, 7), "ca", $B17), [0]!data_range, 5, FALSE)</f>
        <v>#N/A</v>
      </c>
      <c r="G17" s="15" t="e">
        <f ca="1">VLOOKUP(CONCATENATE(LEFT(G$7, 7), "ca", $B17), [0]!data_range, 5, FALSE)</f>
        <v>#N/A</v>
      </c>
      <c r="H17" s="15" t="e">
        <f ca="1">VLOOKUP(CONCATENATE(LEFT(H$7, 7), "ca", $B17), [0]!data_range, 5, FALSE)</f>
        <v>#N/A</v>
      </c>
      <c r="I17" s="15" t="e">
        <f ca="1">VLOOKUP(CONCATENATE(LEFT(I$7, 7), "ca", $B17), [0]!data_range, 5, FALSE)</f>
        <v>#N/A</v>
      </c>
      <c r="J17" s="15" t="e">
        <f ca="1">VLOOKUP(CONCATENATE(LEFT(J$7, 7), "ca", $B17), [0]!data_range, 5, FALSE)</f>
        <v>#N/A</v>
      </c>
      <c r="K17" s="15" t="e">
        <f ca="1">VLOOKUP(CONCATENATE(LEFT(K$7, 7), "ca", $B17), [0]!data_range, 5, FALSE)</f>
        <v>#N/A</v>
      </c>
    </row>
    <row r="18" spans="2:11" x14ac:dyDescent="0.2">
      <c r="B18" s="23" t="s">
        <v>101</v>
      </c>
      <c r="C18" s="15" t="e">
        <f ca="1">VLOOKUP(CONCATENATE(LEFT(C$7, 7), "ca", $B18), [0]!data_range, 5, FALSE)</f>
        <v>#N/A</v>
      </c>
      <c r="D18" s="15" t="e">
        <f ca="1">VLOOKUP(CONCATENATE(LEFT(D$7, 7), "ca", $B18), [0]!data_range, 5, FALSE)</f>
        <v>#N/A</v>
      </c>
      <c r="E18" s="15" t="e">
        <f ca="1">VLOOKUP(CONCATENATE(LEFT(E$7, 7), "ca", $B18), [0]!data_range, 5, FALSE)</f>
        <v>#N/A</v>
      </c>
      <c r="F18" s="15" t="e">
        <f ca="1">VLOOKUP(CONCATENATE(LEFT(F$7, 7), "ca", $B18), [0]!data_range, 5, FALSE)</f>
        <v>#N/A</v>
      </c>
      <c r="G18" s="15" t="e">
        <f ca="1">VLOOKUP(CONCATENATE(LEFT(G$7, 7), "ca", $B18), [0]!data_range, 5, FALSE)</f>
        <v>#N/A</v>
      </c>
      <c r="H18" s="15" t="e">
        <f ca="1">VLOOKUP(CONCATENATE(LEFT(H$7, 7), "ca", $B18), [0]!data_range, 5, FALSE)</f>
        <v>#N/A</v>
      </c>
      <c r="I18" s="15" t="e">
        <f ca="1">VLOOKUP(CONCATENATE(LEFT(I$7, 7), "ca", $B18), [0]!data_range, 5, FALSE)</f>
        <v>#N/A</v>
      </c>
      <c r="J18" s="15" t="e">
        <f ca="1">VLOOKUP(CONCATENATE(LEFT(J$7, 7), "ca", $B18), [0]!data_range, 5, FALSE)</f>
        <v>#N/A</v>
      </c>
      <c r="K18" s="15" t="e">
        <f ca="1">VLOOKUP(CONCATENATE(LEFT(K$7, 7), "ca", $B18), [0]!data_range, 5, FALSE)</f>
        <v>#N/A</v>
      </c>
    </row>
    <row r="19" spans="2:11" x14ac:dyDescent="0.2">
      <c r="B19" s="23" t="s">
        <v>158</v>
      </c>
      <c r="C19" s="15" t="e">
        <f ca="1">VLOOKUP(CONCATENATE(LEFT(C$7, 7), "ca", $B19), [0]!data_range, 5, FALSE)</f>
        <v>#N/A</v>
      </c>
      <c r="D19" s="15" t="e">
        <f ca="1">VLOOKUP(CONCATENATE(LEFT(D$7, 7), "ca", $B19), [0]!data_range, 5, FALSE)</f>
        <v>#N/A</v>
      </c>
      <c r="E19" s="15" t="e">
        <f ca="1">VLOOKUP(CONCATENATE(LEFT(E$7, 7), "ca", $B19), [0]!data_range, 5, FALSE)</f>
        <v>#N/A</v>
      </c>
      <c r="F19" s="15" t="e">
        <f ca="1">VLOOKUP(CONCATENATE(LEFT(F$7, 7), "ca", $B19), [0]!data_range, 5, FALSE)</f>
        <v>#N/A</v>
      </c>
      <c r="G19" s="15" t="e">
        <f ca="1">VLOOKUP(CONCATENATE(LEFT(G$7, 7), "ca", $B19), [0]!data_range, 5, FALSE)</f>
        <v>#N/A</v>
      </c>
      <c r="H19" s="15" t="e">
        <f ca="1">VLOOKUP(CONCATENATE(LEFT(H$7, 7), "ca", $B19), [0]!data_range, 5, FALSE)</f>
        <v>#N/A</v>
      </c>
      <c r="I19" s="15" t="e">
        <f ca="1">VLOOKUP(CONCATENATE(LEFT(I$7, 7), "ca", $B19), [0]!data_range, 5, FALSE)</f>
        <v>#N/A</v>
      </c>
      <c r="J19" s="15" t="e">
        <f ca="1">VLOOKUP(CONCATENATE(LEFT(J$7, 7), "ca", $B19), [0]!data_range, 5, FALSE)</f>
        <v>#N/A</v>
      </c>
      <c r="K19" s="15" t="e">
        <f ca="1">VLOOKUP(CONCATENATE(LEFT(K$7, 7), "ca", $B19), [0]!data_range, 5, FALSE)</f>
        <v>#N/A</v>
      </c>
    </row>
    <row r="20" spans="2:11" x14ac:dyDescent="0.2">
      <c r="B20" s="23" t="s">
        <v>102</v>
      </c>
      <c r="C20" s="15" t="e">
        <f ca="1">VLOOKUP(CONCATENATE(LEFT(C$7, 7), "ca", $B20), [0]!data_range, 5, FALSE)</f>
        <v>#N/A</v>
      </c>
      <c r="D20" s="15" t="e">
        <f ca="1">VLOOKUP(CONCATENATE(LEFT(D$7, 7), "ca", $B20), [0]!data_range, 5, FALSE)</f>
        <v>#N/A</v>
      </c>
      <c r="E20" s="15" t="e">
        <f ca="1">VLOOKUP(CONCATENATE(LEFT(E$7, 7), "ca", $B20), [0]!data_range, 5, FALSE)</f>
        <v>#N/A</v>
      </c>
      <c r="F20" s="15" t="e">
        <f ca="1">VLOOKUP(CONCATENATE(LEFT(F$7, 7), "ca", $B20), [0]!data_range, 5, FALSE)</f>
        <v>#N/A</v>
      </c>
      <c r="G20" s="15" t="e">
        <f ca="1">VLOOKUP(CONCATENATE(LEFT(G$7, 7), "ca", $B20), [0]!data_range, 5, FALSE)</f>
        <v>#N/A</v>
      </c>
      <c r="H20" s="15" t="e">
        <f ca="1">VLOOKUP(CONCATENATE(LEFT(H$7, 7), "ca", $B20), [0]!data_range, 5, FALSE)</f>
        <v>#N/A</v>
      </c>
      <c r="I20" s="15" t="e">
        <f ca="1">VLOOKUP(CONCATENATE(LEFT(I$7, 7), "ca", $B20), [0]!data_range, 5, FALSE)</f>
        <v>#N/A</v>
      </c>
      <c r="J20" s="15" t="e">
        <f ca="1">VLOOKUP(CONCATENATE(LEFT(J$7, 7), "ca", $B20), [0]!data_range, 5, FALSE)</f>
        <v>#N/A</v>
      </c>
      <c r="K20" s="15" t="e">
        <f ca="1">VLOOKUP(CONCATENATE(LEFT(K$7, 7), "ca", $B20), [0]!data_range, 5, FALSE)</f>
        <v>#N/A</v>
      </c>
    </row>
    <row r="21" spans="2:11" x14ac:dyDescent="0.2">
      <c r="B21" s="23" t="s">
        <v>3</v>
      </c>
      <c r="C21" s="15" t="e">
        <f ca="1">VLOOKUP(CONCATENATE(LEFT(C$7, 7), "ca", $B21), [0]!data_range, 5, FALSE)</f>
        <v>#N/A</v>
      </c>
      <c r="D21" s="15" t="e">
        <f ca="1">VLOOKUP(CONCATENATE(LEFT(D$7, 7), "ca", $B21), [0]!data_range, 5, FALSE)</f>
        <v>#N/A</v>
      </c>
      <c r="E21" s="15" t="e">
        <f ca="1">VLOOKUP(CONCATENATE(LEFT(E$7, 7), "ca", $B21), [0]!data_range, 5, FALSE)</f>
        <v>#N/A</v>
      </c>
      <c r="F21" s="15" t="e">
        <f ca="1">VLOOKUP(CONCATENATE(LEFT(F$7, 7), "ca", $B21), [0]!data_range, 5, FALSE)</f>
        <v>#N/A</v>
      </c>
      <c r="G21" s="15" t="e">
        <f ca="1">VLOOKUP(CONCATENATE(LEFT(G$7, 7), "ca", $B21), [0]!data_range, 5, FALSE)</f>
        <v>#N/A</v>
      </c>
      <c r="H21" s="15" t="e">
        <f ca="1">VLOOKUP(CONCATENATE(LEFT(H$7, 7), "ca", $B21), [0]!data_range, 5, FALSE)</f>
        <v>#N/A</v>
      </c>
      <c r="I21" s="15" t="e">
        <f ca="1">VLOOKUP(CONCATENATE(LEFT(I$7, 7), "ca", $B21), [0]!data_range, 5, FALSE)</f>
        <v>#N/A</v>
      </c>
      <c r="J21" s="15" t="e">
        <f ca="1">VLOOKUP(CONCATENATE(LEFT(J$7, 7), "ca", $B21), [0]!data_range, 5, FALSE)</f>
        <v>#N/A</v>
      </c>
      <c r="K21" s="15" t="e">
        <f ca="1">VLOOKUP(CONCATENATE(LEFT(K$7, 7), "ca", $B21), [0]!data_range, 5, FALSE)</f>
        <v>#N/A</v>
      </c>
    </row>
    <row r="22" spans="2:11" x14ac:dyDescent="0.2">
      <c r="B22" s="23" t="s">
        <v>152</v>
      </c>
      <c r="C22" s="15" t="e">
        <f ca="1">VLOOKUP(CONCATENATE(LEFT(C$7, 7), "ca", $B22), [0]!data_range, 5, FALSE)</f>
        <v>#N/A</v>
      </c>
      <c r="D22" s="15" t="e">
        <f ca="1">VLOOKUP(CONCATENATE(LEFT(D$7, 7), "ca", $B22), [0]!data_range, 5, FALSE)</f>
        <v>#N/A</v>
      </c>
      <c r="E22" s="15" t="e">
        <f ca="1">VLOOKUP(CONCATENATE(LEFT(E$7, 7), "ca", $B22), [0]!data_range, 5, FALSE)</f>
        <v>#N/A</v>
      </c>
      <c r="F22" s="15" t="e">
        <f ca="1">VLOOKUP(CONCATENATE(LEFT(F$7, 7), "ca", $B22), [0]!data_range, 5, FALSE)</f>
        <v>#N/A</v>
      </c>
      <c r="G22" s="15" t="e">
        <f ca="1">VLOOKUP(CONCATENATE(LEFT(G$7, 7), "ca", $B22), [0]!data_range, 5, FALSE)</f>
        <v>#N/A</v>
      </c>
      <c r="H22" s="15" t="e">
        <f ca="1">VLOOKUP(CONCATENATE(LEFT(H$7, 7), "ca", $B22), [0]!data_range, 5, FALSE)</f>
        <v>#N/A</v>
      </c>
      <c r="I22" s="15" t="e">
        <f ca="1">VLOOKUP(CONCATENATE(LEFT(I$7, 7), "ca", $B22), [0]!data_range, 5, FALSE)</f>
        <v>#N/A</v>
      </c>
      <c r="J22" s="15" t="e">
        <f ca="1">VLOOKUP(CONCATENATE(LEFT(J$7, 7), "ca", $B22), [0]!data_range, 5, FALSE)</f>
        <v>#N/A</v>
      </c>
      <c r="K22" s="15" t="e">
        <f ca="1">VLOOKUP(CONCATENATE(LEFT(K$7, 7), "ca", $B22), [0]!data_range, 5, FALSE)</f>
        <v>#N/A</v>
      </c>
    </row>
    <row r="23" spans="2:11" x14ac:dyDescent="0.2">
      <c r="B23" s="23" t="s">
        <v>7</v>
      </c>
      <c r="C23" s="15" t="e">
        <f ca="1">VLOOKUP(CONCATENATE(LEFT(C$7, 7), "ca", $B23), [0]!data_range, 5, FALSE)</f>
        <v>#N/A</v>
      </c>
      <c r="D23" s="15" t="e">
        <f ca="1">VLOOKUP(CONCATENATE(LEFT(D$7, 7), "ca", $B23), [0]!data_range, 5, FALSE)</f>
        <v>#N/A</v>
      </c>
      <c r="E23" s="15" t="e">
        <f ca="1">VLOOKUP(CONCATENATE(LEFT(E$7, 7), "ca", $B23), [0]!data_range, 5, FALSE)</f>
        <v>#N/A</v>
      </c>
      <c r="F23" s="15" t="e">
        <f ca="1">VLOOKUP(CONCATENATE(LEFT(F$7, 7), "ca", $B23), [0]!data_range, 5, FALSE)</f>
        <v>#N/A</v>
      </c>
      <c r="G23" s="15" t="e">
        <f ca="1">VLOOKUP(CONCATENATE(LEFT(G$7, 7), "ca", $B23), [0]!data_range, 5, FALSE)</f>
        <v>#N/A</v>
      </c>
      <c r="H23" s="15" t="e">
        <f ca="1">VLOOKUP(CONCATENATE(LEFT(H$7, 7), "ca", $B23), [0]!data_range, 5, FALSE)</f>
        <v>#N/A</v>
      </c>
      <c r="I23" s="15" t="e">
        <f ca="1">VLOOKUP(CONCATENATE(LEFT(I$7, 7), "ca", $B23), [0]!data_range, 5, FALSE)</f>
        <v>#N/A</v>
      </c>
      <c r="J23" s="15" t="e">
        <f ca="1">VLOOKUP(CONCATENATE(LEFT(J$7, 7), "ca", $B23), [0]!data_range, 5, FALSE)</f>
        <v>#N/A</v>
      </c>
      <c r="K23" s="15" t="e">
        <f ca="1">VLOOKUP(CONCATENATE(LEFT(K$7, 7), "ca", $B23), [0]!data_range, 5, FALSE)</f>
        <v>#N/A</v>
      </c>
    </row>
    <row r="24" spans="2:11" x14ac:dyDescent="0.2">
      <c r="B24" s="23" t="s">
        <v>103</v>
      </c>
      <c r="C24" s="15" t="e">
        <f ca="1">VLOOKUP(CONCATENATE(LEFT(C$7, 7), "ca", $B24), [0]!data_range, 5, FALSE)</f>
        <v>#N/A</v>
      </c>
      <c r="D24" s="15" t="e">
        <f ca="1">VLOOKUP(CONCATENATE(LEFT(D$7, 7), "ca", $B24), [0]!data_range, 5, FALSE)</f>
        <v>#N/A</v>
      </c>
      <c r="E24" s="15" t="e">
        <f ca="1">VLOOKUP(CONCATENATE(LEFT(E$7, 7), "ca", $B24), [0]!data_range, 5, FALSE)</f>
        <v>#N/A</v>
      </c>
      <c r="F24" s="15" t="e">
        <f ca="1">VLOOKUP(CONCATENATE(LEFT(F$7, 7), "ca", $B24), [0]!data_range, 5, FALSE)</f>
        <v>#N/A</v>
      </c>
      <c r="G24" s="15" t="e">
        <f ca="1">VLOOKUP(CONCATENATE(LEFT(G$7, 7), "ca", $B24), [0]!data_range, 5, FALSE)</f>
        <v>#N/A</v>
      </c>
      <c r="H24" s="15" t="e">
        <f ca="1">VLOOKUP(CONCATENATE(LEFT(H$7, 7), "ca", $B24), [0]!data_range, 5, FALSE)</f>
        <v>#N/A</v>
      </c>
      <c r="I24" s="15" t="e">
        <f ca="1">VLOOKUP(CONCATENATE(LEFT(I$7, 7), "ca", $B24), [0]!data_range, 5, FALSE)</f>
        <v>#N/A</v>
      </c>
      <c r="J24" s="15" t="e">
        <f ca="1">VLOOKUP(CONCATENATE(LEFT(J$7, 7), "ca", $B24), [0]!data_range, 5, FALSE)</f>
        <v>#N/A</v>
      </c>
      <c r="K24" s="15" t="e">
        <f ca="1">VLOOKUP(CONCATENATE(LEFT(K$7, 7), "ca", $B24), [0]!data_range, 5, FALSE)</f>
        <v>#N/A</v>
      </c>
    </row>
    <row r="25" spans="2:11" x14ac:dyDescent="0.2">
      <c r="B25" s="23" t="s">
        <v>104</v>
      </c>
      <c r="C25" s="15" t="e">
        <f ca="1">VLOOKUP(CONCATENATE(LEFT(C$7, 7), "ca", $B25), [0]!data_range, 5, FALSE)</f>
        <v>#N/A</v>
      </c>
      <c r="D25" s="15" t="e">
        <f ca="1">VLOOKUP(CONCATENATE(LEFT(D$7, 7), "ca", $B25), [0]!data_range, 5, FALSE)</f>
        <v>#N/A</v>
      </c>
      <c r="E25" s="15" t="e">
        <f ca="1">VLOOKUP(CONCATENATE(LEFT(E$7, 7), "ca", $B25), [0]!data_range, 5, FALSE)</f>
        <v>#N/A</v>
      </c>
      <c r="F25" s="15" t="e">
        <f ca="1">VLOOKUP(CONCATENATE(LEFT(F$7, 7), "ca", $B25), [0]!data_range, 5, FALSE)</f>
        <v>#N/A</v>
      </c>
      <c r="G25" s="15" t="e">
        <f ca="1">VLOOKUP(CONCATENATE(LEFT(G$7, 7), "ca", $B25), [0]!data_range, 5, FALSE)</f>
        <v>#N/A</v>
      </c>
      <c r="H25" s="15" t="e">
        <f ca="1">VLOOKUP(CONCATENATE(LEFT(H$7, 7), "ca", $B25), [0]!data_range, 5, FALSE)</f>
        <v>#N/A</v>
      </c>
      <c r="I25" s="15" t="e">
        <f ca="1">VLOOKUP(CONCATENATE(LEFT(I$7, 7), "ca", $B25), [0]!data_range, 5, FALSE)</f>
        <v>#N/A</v>
      </c>
      <c r="J25" s="15" t="e">
        <f ca="1">VLOOKUP(CONCATENATE(LEFT(J$7, 7), "ca", $B25), [0]!data_range, 5, FALSE)</f>
        <v>#N/A</v>
      </c>
      <c r="K25" s="15" t="e">
        <f ca="1">VLOOKUP(CONCATENATE(LEFT(K$7, 7), "ca", $B25), [0]!data_range, 5, FALSE)</f>
        <v>#N/A</v>
      </c>
    </row>
    <row r="26" spans="2:11" x14ac:dyDescent="0.2">
      <c r="B26" s="23" t="s">
        <v>105</v>
      </c>
      <c r="C26" s="15" t="e">
        <f ca="1">VLOOKUP(CONCATENATE(LEFT(C$7, 7), "ca", $B26), [0]!data_range, 5, FALSE)</f>
        <v>#N/A</v>
      </c>
      <c r="D26" s="15" t="e">
        <f ca="1">VLOOKUP(CONCATENATE(LEFT(D$7, 7), "ca", $B26), [0]!data_range, 5, FALSE)</f>
        <v>#N/A</v>
      </c>
      <c r="E26" s="15" t="e">
        <f ca="1">VLOOKUP(CONCATENATE(LEFT(E$7, 7), "ca", $B26), [0]!data_range, 5, FALSE)</f>
        <v>#N/A</v>
      </c>
      <c r="F26" s="15" t="e">
        <f ca="1">VLOOKUP(CONCATENATE(LEFT(F$7, 7), "ca", $B26), [0]!data_range, 5, FALSE)</f>
        <v>#N/A</v>
      </c>
      <c r="G26" s="15" t="e">
        <f ca="1">VLOOKUP(CONCATENATE(LEFT(G$7, 7), "ca", $B26), [0]!data_range, 5, FALSE)</f>
        <v>#N/A</v>
      </c>
      <c r="H26" s="15" t="e">
        <f ca="1">VLOOKUP(CONCATENATE(LEFT(H$7, 7), "ca", $B26), [0]!data_range, 5, FALSE)</f>
        <v>#N/A</v>
      </c>
      <c r="I26" s="15" t="e">
        <f ca="1">VLOOKUP(CONCATENATE(LEFT(I$7, 7), "ca", $B26), [0]!data_range, 5, FALSE)</f>
        <v>#N/A</v>
      </c>
      <c r="J26" s="15" t="e">
        <f ca="1">VLOOKUP(CONCATENATE(LEFT(J$7, 7), "ca", $B26), [0]!data_range, 5, FALSE)</f>
        <v>#N/A</v>
      </c>
      <c r="K26" s="15" t="e">
        <f ca="1">VLOOKUP(CONCATENATE(LEFT(K$7, 7), "ca", $B26), [0]!data_range, 5, FALSE)</f>
        <v>#N/A</v>
      </c>
    </row>
    <row r="27" spans="2:11" x14ac:dyDescent="0.2">
      <c r="B27" s="23" t="s">
        <v>106</v>
      </c>
      <c r="C27" s="15" t="e">
        <f ca="1">VLOOKUP(CONCATENATE(LEFT(C$7, 7), "ca", $B27), [0]!data_range, 5, FALSE)</f>
        <v>#N/A</v>
      </c>
      <c r="D27" s="15" t="e">
        <f ca="1">VLOOKUP(CONCATENATE(LEFT(D$7, 7), "ca", $B27), [0]!data_range, 5, FALSE)</f>
        <v>#N/A</v>
      </c>
      <c r="E27" s="15" t="e">
        <f ca="1">VLOOKUP(CONCATENATE(LEFT(E$7, 7), "ca", $B27), [0]!data_range, 5, FALSE)</f>
        <v>#N/A</v>
      </c>
      <c r="F27" s="15" t="e">
        <f ca="1">VLOOKUP(CONCATENATE(LEFT(F$7, 7), "ca", $B27), [0]!data_range, 5, FALSE)</f>
        <v>#N/A</v>
      </c>
      <c r="G27" s="15" t="e">
        <f ca="1">VLOOKUP(CONCATENATE(LEFT(G$7, 7), "ca", $B27), [0]!data_range, 5, FALSE)</f>
        <v>#N/A</v>
      </c>
      <c r="H27" s="15" t="e">
        <f ca="1">VLOOKUP(CONCATENATE(LEFT(H$7, 7), "ca", $B27), [0]!data_range, 5, FALSE)</f>
        <v>#N/A</v>
      </c>
      <c r="I27" s="15" t="e">
        <f ca="1">VLOOKUP(CONCATENATE(LEFT(I$7, 7), "ca", $B27), [0]!data_range, 5, FALSE)</f>
        <v>#N/A</v>
      </c>
      <c r="J27" s="15" t="e">
        <f ca="1">VLOOKUP(CONCATENATE(LEFT(J$7, 7), "ca", $B27), [0]!data_range, 5, FALSE)</f>
        <v>#N/A</v>
      </c>
      <c r="K27" s="15" t="e">
        <f ca="1">VLOOKUP(CONCATENATE(LEFT(K$7, 7), "ca", $B27), [0]!data_range, 5, FALSE)</f>
        <v>#N/A</v>
      </c>
    </row>
    <row r="28" spans="2:11" x14ac:dyDescent="0.2">
      <c r="B28" s="23" t="s">
        <v>107</v>
      </c>
      <c r="C28" s="15" t="e">
        <f ca="1">VLOOKUP(CONCATENATE(LEFT(C$7, 7), "ca", $B28), [0]!data_range, 5, FALSE)</f>
        <v>#N/A</v>
      </c>
      <c r="D28" s="15" t="e">
        <f ca="1">VLOOKUP(CONCATENATE(LEFT(D$7, 7), "ca", $B28), [0]!data_range, 5, FALSE)</f>
        <v>#N/A</v>
      </c>
      <c r="E28" s="15" t="e">
        <f ca="1">VLOOKUP(CONCATENATE(LEFT(E$7, 7), "ca", $B28), [0]!data_range, 5, FALSE)</f>
        <v>#N/A</v>
      </c>
      <c r="F28" s="15" t="e">
        <f ca="1">VLOOKUP(CONCATENATE(LEFT(F$7, 7), "ca", $B28), [0]!data_range, 5, FALSE)</f>
        <v>#N/A</v>
      </c>
      <c r="G28" s="15" t="e">
        <f ca="1">VLOOKUP(CONCATENATE(LEFT(G$7, 7), "ca", $B28), [0]!data_range, 5, FALSE)</f>
        <v>#N/A</v>
      </c>
      <c r="H28" s="15" t="e">
        <f ca="1">VLOOKUP(CONCATENATE(LEFT(H$7, 7), "ca", $B28), [0]!data_range, 5, FALSE)</f>
        <v>#N/A</v>
      </c>
      <c r="I28" s="15" t="e">
        <f ca="1">VLOOKUP(CONCATENATE(LEFT(I$7, 7), "ca", $B28), [0]!data_range, 5, FALSE)</f>
        <v>#N/A</v>
      </c>
      <c r="J28" s="15" t="e">
        <f ca="1">VLOOKUP(CONCATENATE(LEFT(J$7, 7), "ca", $B28), [0]!data_range, 5, FALSE)</f>
        <v>#N/A</v>
      </c>
      <c r="K28" s="15" t="e">
        <f ca="1">VLOOKUP(CONCATENATE(LEFT(K$7, 7), "ca", $B28), [0]!data_range, 5, FALSE)</f>
        <v>#N/A</v>
      </c>
    </row>
    <row r="29" spans="2:11" x14ac:dyDescent="0.2">
      <c r="B29" s="23" t="s">
        <v>108</v>
      </c>
      <c r="C29" s="15" t="e">
        <f ca="1">VLOOKUP(CONCATENATE(LEFT(C$7, 7), "ca", $B29), [0]!data_range, 5, FALSE)</f>
        <v>#N/A</v>
      </c>
      <c r="D29" s="15" t="e">
        <f ca="1">VLOOKUP(CONCATENATE(LEFT(D$7, 7), "ca", $B29), [0]!data_range, 5, FALSE)</f>
        <v>#N/A</v>
      </c>
      <c r="E29" s="15" t="e">
        <f ca="1">VLOOKUP(CONCATENATE(LEFT(E$7, 7), "ca", $B29), [0]!data_range, 5, FALSE)</f>
        <v>#N/A</v>
      </c>
      <c r="F29" s="15" t="e">
        <f ca="1">VLOOKUP(CONCATENATE(LEFT(F$7, 7), "ca", $B29), [0]!data_range, 5, FALSE)</f>
        <v>#N/A</v>
      </c>
      <c r="G29" s="15" t="e">
        <f ca="1">VLOOKUP(CONCATENATE(LEFT(G$7, 7), "ca", $B29), [0]!data_range, 5, FALSE)</f>
        <v>#N/A</v>
      </c>
      <c r="H29" s="15" t="e">
        <f ca="1">VLOOKUP(CONCATENATE(LEFT(H$7, 7), "ca", $B29), [0]!data_range, 5, FALSE)</f>
        <v>#N/A</v>
      </c>
      <c r="I29" s="15" t="e">
        <f ca="1">VLOOKUP(CONCATENATE(LEFT(I$7, 7), "ca", $B29), [0]!data_range, 5, FALSE)</f>
        <v>#N/A</v>
      </c>
      <c r="J29" s="15" t="e">
        <f ca="1">VLOOKUP(CONCATENATE(LEFT(J$7, 7), "ca", $B29), [0]!data_range, 5, FALSE)</f>
        <v>#N/A</v>
      </c>
      <c r="K29" s="15" t="e">
        <f ca="1">VLOOKUP(CONCATENATE(LEFT(K$7, 7), "ca", $B29), [0]!data_range, 5, FALSE)</f>
        <v>#N/A</v>
      </c>
    </row>
    <row r="30" spans="2:11" x14ac:dyDescent="0.2">
      <c r="B30" s="23" t="s">
        <v>109</v>
      </c>
      <c r="C30" s="15" t="e">
        <f ca="1">VLOOKUP(CONCATENATE(LEFT(C$7, 7), "ca", $B30), [0]!data_range, 5, FALSE)</f>
        <v>#N/A</v>
      </c>
      <c r="D30" s="15" t="e">
        <f ca="1">VLOOKUP(CONCATENATE(LEFT(D$7, 7), "ca", $B30), [0]!data_range, 5, FALSE)</f>
        <v>#N/A</v>
      </c>
      <c r="E30" s="15" t="e">
        <f ca="1">VLOOKUP(CONCATENATE(LEFT(E$7, 7), "ca", $B30), [0]!data_range, 5, FALSE)</f>
        <v>#N/A</v>
      </c>
      <c r="F30" s="15" t="e">
        <f ca="1">VLOOKUP(CONCATENATE(LEFT(F$7, 7), "ca", $B30), [0]!data_range, 5, FALSE)</f>
        <v>#N/A</v>
      </c>
      <c r="G30" s="15" t="e">
        <f ca="1">VLOOKUP(CONCATENATE(LEFT(G$7, 7), "ca", $B30), [0]!data_range, 5, FALSE)</f>
        <v>#N/A</v>
      </c>
      <c r="H30" s="15" t="e">
        <f ca="1">VLOOKUP(CONCATENATE(LEFT(H$7, 7), "ca", $B30), [0]!data_range, 5, FALSE)</f>
        <v>#N/A</v>
      </c>
      <c r="I30" s="15" t="e">
        <f ca="1">VLOOKUP(CONCATENATE(LEFT(I$7, 7), "ca", $B30), [0]!data_range, 5, FALSE)</f>
        <v>#N/A</v>
      </c>
      <c r="J30" s="15" t="e">
        <f ca="1">VLOOKUP(CONCATENATE(LEFT(J$7, 7), "ca", $B30), [0]!data_range, 5, FALSE)</f>
        <v>#N/A</v>
      </c>
      <c r="K30" s="15" t="e">
        <f ca="1">VLOOKUP(CONCATENATE(LEFT(K$7, 7), "ca", $B30), [0]!data_range, 5, FALSE)</f>
        <v>#N/A</v>
      </c>
    </row>
    <row r="31" spans="2:11" x14ac:dyDescent="0.2">
      <c r="B31" s="23" t="s">
        <v>110</v>
      </c>
      <c r="C31" s="15" t="e">
        <f ca="1">VLOOKUP(CONCATENATE(LEFT(C$7, 7), "ca", $B31), [0]!data_range, 5, FALSE)</f>
        <v>#N/A</v>
      </c>
      <c r="D31" s="15" t="e">
        <f ca="1">VLOOKUP(CONCATENATE(LEFT(D$7, 7), "ca", $B31), [0]!data_range, 5, FALSE)</f>
        <v>#N/A</v>
      </c>
      <c r="E31" s="15" t="e">
        <f ca="1">VLOOKUP(CONCATENATE(LEFT(E$7, 7), "ca", $B31), [0]!data_range, 5, FALSE)</f>
        <v>#N/A</v>
      </c>
      <c r="F31" s="15" t="e">
        <f ca="1">VLOOKUP(CONCATENATE(LEFT(F$7, 7), "ca", $B31), [0]!data_range, 5, FALSE)</f>
        <v>#N/A</v>
      </c>
      <c r="G31" s="15" t="e">
        <f ca="1">VLOOKUP(CONCATENATE(LEFT(G$7, 7), "ca", $B31), [0]!data_range, 5, FALSE)</f>
        <v>#N/A</v>
      </c>
      <c r="H31" s="15" t="e">
        <f ca="1">VLOOKUP(CONCATENATE(LEFT(H$7, 7), "ca", $B31), [0]!data_range, 5, FALSE)</f>
        <v>#N/A</v>
      </c>
      <c r="I31" s="15" t="e">
        <f ca="1">VLOOKUP(CONCATENATE(LEFT(I$7, 7), "ca", $B31), [0]!data_range, 5, FALSE)</f>
        <v>#N/A</v>
      </c>
      <c r="J31" s="15" t="e">
        <f ca="1">VLOOKUP(CONCATENATE(LEFT(J$7, 7), "ca", $B31), [0]!data_range, 5, FALSE)</f>
        <v>#N/A</v>
      </c>
      <c r="K31" s="15" t="e">
        <f ca="1">VLOOKUP(CONCATENATE(LEFT(K$7, 7), "ca", $B31), [0]!data_range, 5, FALSE)</f>
        <v>#N/A</v>
      </c>
    </row>
    <row r="32" spans="2:11" x14ac:dyDescent="0.2">
      <c r="B32" s="23" t="s">
        <v>111</v>
      </c>
      <c r="C32" s="15" t="e">
        <f ca="1">VLOOKUP(CONCATENATE(LEFT(C$7, 7), "ca", $B32), [0]!data_range, 5, FALSE)</f>
        <v>#N/A</v>
      </c>
      <c r="D32" s="15" t="e">
        <f ca="1">VLOOKUP(CONCATENATE(LEFT(D$7, 7), "ca", $B32), [0]!data_range, 5, FALSE)</f>
        <v>#N/A</v>
      </c>
      <c r="E32" s="15" t="e">
        <f ca="1">VLOOKUP(CONCATENATE(LEFT(E$7, 7), "ca", $B32), [0]!data_range, 5, FALSE)</f>
        <v>#N/A</v>
      </c>
      <c r="F32" s="15" t="e">
        <f ca="1">VLOOKUP(CONCATENATE(LEFT(F$7, 7), "ca", $B32), [0]!data_range, 5, FALSE)</f>
        <v>#N/A</v>
      </c>
      <c r="G32" s="15" t="e">
        <f ca="1">VLOOKUP(CONCATENATE(LEFT(G$7, 7), "ca", $B32), [0]!data_range, 5, FALSE)</f>
        <v>#N/A</v>
      </c>
      <c r="H32" s="15" t="e">
        <f ca="1">VLOOKUP(CONCATENATE(LEFT(H$7, 7), "ca", $B32), [0]!data_range, 5, FALSE)</f>
        <v>#N/A</v>
      </c>
      <c r="I32" s="15" t="e">
        <f ca="1">VLOOKUP(CONCATENATE(LEFT(I$7, 7), "ca", $B32), [0]!data_range, 5, FALSE)</f>
        <v>#N/A</v>
      </c>
      <c r="J32" s="15" t="e">
        <f ca="1">VLOOKUP(CONCATENATE(LEFT(J$7, 7), "ca", $B32), [0]!data_range, 5, FALSE)</f>
        <v>#N/A</v>
      </c>
      <c r="K32" s="15" t="e">
        <f ca="1">VLOOKUP(CONCATENATE(LEFT(K$7, 7), "ca", $B32), [0]!data_range, 5, FALSE)</f>
        <v>#N/A</v>
      </c>
    </row>
    <row r="33" spans="2:11" x14ac:dyDescent="0.2">
      <c r="B33" s="23" t="s">
        <v>112</v>
      </c>
      <c r="C33" s="15" t="e">
        <f ca="1">VLOOKUP(CONCATENATE(LEFT(C$7, 7), "ca", $B33), [0]!data_range, 5, FALSE)</f>
        <v>#N/A</v>
      </c>
      <c r="D33" s="15" t="e">
        <f ca="1">VLOOKUP(CONCATENATE(LEFT(D$7, 7), "ca", $B33), [0]!data_range, 5, FALSE)</f>
        <v>#N/A</v>
      </c>
      <c r="E33" s="15" t="e">
        <f ca="1">VLOOKUP(CONCATENATE(LEFT(E$7, 7), "ca", $B33), [0]!data_range, 5, FALSE)</f>
        <v>#N/A</v>
      </c>
      <c r="F33" s="15" t="e">
        <f ca="1">VLOOKUP(CONCATENATE(LEFT(F$7, 7), "ca", $B33), [0]!data_range, 5, FALSE)</f>
        <v>#N/A</v>
      </c>
      <c r="G33" s="15" t="e">
        <f ca="1">VLOOKUP(CONCATENATE(LEFT(G$7, 7), "ca", $B33), [0]!data_range, 5, FALSE)</f>
        <v>#N/A</v>
      </c>
      <c r="H33" s="15" t="e">
        <f ca="1">VLOOKUP(CONCATENATE(LEFT(H$7, 7), "ca", $B33), [0]!data_range, 5, FALSE)</f>
        <v>#N/A</v>
      </c>
      <c r="I33" s="15" t="e">
        <f ca="1">VLOOKUP(CONCATENATE(LEFT(I$7, 7), "ca", $B33), [0]!data_range, 5, FALSE)</f>
        <v>#N/A</v>
      </c>
      <c r="J33" s="15" t="e">
        <f ca="1">VLOOKUP(CONCATENATE(LEFT(J$7, 7), "ca", $B33), [0]!data_range, 5, FALSE)</f>
        <v>#N/A</v>
      </c>
      <c r="K33" s="15" t="e">
        <f ca="1">VLOOKUP(CONCATENATE(LEFT(K$7, 7), "ca", $B33), [0]!data_range, 5, FALSE)</f>
        <v>#N/A</v>
      </c>
    </row>
    <row r="34" spans="2:11" x14ac:dyDescent="0.2">
      <c r="B34" s="23" t="s">
        <v>113</v>
      </c>
      <c r="C34" s="15" t="e">
        <f ca="1">VLOOKUP(CONCATENATE(LEFT(C$7, 7), "ca", $B34), [0]!data_range, 5, FALSE)</f>
        <v>#N/A</v>
      </c>
      <c r="D34" s="15" t="e">
        <f ca="1">VLOOKUP(CONCATENATE(LEFT(D$7, 7), "ca", $B34), [0]!data_range, 5, FALSE)</f>
        <v>#N/A</v>
      </c>
      <c r="E34" s="15" t="e">
        <f ca="1">VLOOKUP(CONCATENATE(LEFT(E$7, 7), "ca", $B34), [0]!data_range, 5, FALSE)</f>
        <v>#N/A</v>
      </c>
      <c r="F34" s="15" t="e">
        <f ca="1">VLOOKUP(CONCATENATE(LEFT(F$7, 7), "ca", $B34), [0]!data_range, 5, FALSE)</f>
        <v>#N/A</v>
      </c>
      <c r="G34" s="15" t="e">
        <f ca="1">VLOOKUP(CONCATENATE(LEFT(G$7, 7), "ca", $B34), [0]!data_range, 5, FALSE)</f>
        <v>#N/A</v>
      </c>
      <c r="H34" s="15" t="e">
        <f ca="1">VLOOKUP(CONCATENATE(LEFT(H$7, 7), "ca", $B34), [0]!data_range, 5, FALSE)</f>
        <v>#N/A</v>
      </c>
      <c r="I34" s="15" t="e">
        <f ca="1">VLOOKUP(CONCATENATE(LEFT(I$7, 7), "ca", $B34), [0]!data_range, 5, FALSE)</f>
        <v>#N/A</v>
      </c>
      <c r="J34" s="15" t="e">
        <f ca="1">VLOOKUP(CONCATENATE(LEFT(J$7, 7), "ca", $B34), [0]!data_range, 5, FALSE)</f>
        <v>#N/A</v>
      </c>
      <c r="K34" s="15" t="e">
        <f ca="1">VLOOKUP(CONCATENATE(LEFT(K$7, 7), "ca", $B34), [0]!data_range, 5, FALSE)</f>
        <v>#N/A</v>
      </c>
    </row>
    <row r="35" spans="2:11" x14ac:dyDescent="0.2">
      <c r="B35" s="23" t="s">
        <v>114</v>
      </c>
      <c r="C35" s="15" t="e">
        <f ca="1">VLOOKUP(CONCATENATE(LEFT(C$7, 7), "ca", $B35), [0]!data_range, 5, FALSE)</f>
        <v>#N/A</v>
      </c>
      <c r="D35" s="15" t="e">
        <f ca="1">VLOOKUP(CONCATENATE(LEFT(D$7, 7), "ca", $B35), [0]!data_range, 5, FALSE)</f>
        <v>#N/A</v>
      </c>
      <c r="E35" s="15" t="e">
        <f ca="1">VLOOKUP(CONCATENATE(LEFT(E$7, 7), "ca", $B35), [0]!data_range, 5, FALSE)</f>
        <v>#N/A</v>
      </c>
      <c r="F35" s="15" t="e">
        <f ca="1">VLOOKUP(CONCATENATE(LEFT(F$7, 7), "ca", $B35), [0]!data_range, 5, FALSE)</f>
        <v>#N/A</v>
      </c>
      <c r="G35" s="15" t="e">
        <f ca="1">VLOOKUP(CONCATENATE(LEFT(G$7, 7), "ca", $B35), [0]!data_range, 5, FALSE)</f>
        <v>#N/A</v>
      </c>
      <c r="H35" s="15" t="e">
        <f ca="1">VLOOKUP(CONCATENATE(LEFT(H$7, 7), "ca", $B35), [0]!data_range, 5, FALSE)</f>
        <v>#N/A</v>
      </c>
      <c r="I35" s="15" t="e">
        <f ca="1">VLOOKUP(CONCATENATE(LEFT(I$7, 7), "ca", $B35), [0]!data_range, 5, FALSE)</f>
        <v>#N/A</v>
      </c>
      <c r="J35" s="15" t="e">
        <f ca="1">VLOOKUP(CONCATENATE(LEFT(J$7, 7), "ca", $B35), [0]!data_range, 5, FALSE)</f>
        <v>#N/A</v>
      </c>
      <c r="K35" s="15" t="e">
        <f ca="1">VLOOKUP(CONCATENATE(LEFT(K$7, 7), "ca", $B35), [0]!data_range, 5, FALSE)</f>
        <v>#N/A</v>
      </c>
    </row>
    <row r="36" spans="2:11" x14ac:dyDescent="0.2">
      <c r="B36" s="23" t="s">
        <v>172</v>
      </c>
      <c r="C36" s="15" t="e">
        <f ca="1">VLOOKUP(CONCATENATE(LEFT(C$7, 7), "ca", $B36), [0]!data_range, 5, FALSE)</f>
        <v>#N/A</v>
      </c>
      <c r="D36" s="15" t="e">
        <f ca="1">VLOOKUP(CONCATENATE(LEFT(D$7, 7), "ca", $B36), [0]!data_range, 5, FALSE)</f>
        <v>#N/A</v>
      </c>
      <c r="E36" s="15" t="e">
        <f ca="1">VLOOKUP(CONCATENATE(LEFT(E$7, 7), "ca", $B36), [0]!data_range, 5, FALSE)</f>
        <v>#N/A</v>
      </c>
      <c r="F36" s="15" t="e">
        <f ca="1">VLOOKUP(CONCATENATE(LEFT(F$7, 7), "ca", $B36), [0]!data_range, 5, FALSE)</f>
        <v>#N/A</v>
      </c>
      <c r="G36" s="15" t="e">
        <f ca="1">VLOOKUP(CONCATENATE(LEFT(G$7, 7), "ca", $B36), [0]!data_range, 5, FALSE)</f>
        <v>#N/A</v>
      </c>
      <c r="H36" s="15" t="e">
        <f ca="1">VLOOKUP(CONCATENATE(LEFT(H$7, 7), "ca", $B36), [0]!data_range, 5, FALSE)</f>
        <v>#N/A</v>
      </c>
      <c r="I36" s="15" t="e">
        <f ca="1">VLOOKUP(CONCATENATE(LEFT(I$7, 7), "ca", $B36), [0]!data_range, 5, FALSE)</f>
        <v>#N/A</v>
      </c>
      <c r="J36" s="15" t="e">
        <f ca="1">VLOOKUP(CONCATENATE(LEFT(J$7, 7), "ca", $B36), [0]!data_range, 5, FALSE)</f>
        <v>#N/A</v>
      </c>
      <c r="K36" s="15" t="e">
        <f ca="1">VLOOKUP(CONCATENATE(LEFT(K$7, 7), "ca", $B36), [0]!data_range, 5, FALSE)</f>
        <v>#N/A</v>
      </c>
    </row>
    <row r="37" spans="2:11" x14ac:dyDescent="0.2">
      <c r="B37" s="23" t="s">
        <v>115</v>
      </c>
      <c r="C37" s="15" t="e">
        <f ca="1">VLOOKUP(CONCATENATE(LEFT(C$7, 7), "ca", $B37), [0]!data_range, 5, FALSE)</f>
        <v>#N/A</v>
      </c>
      <c r="D37" s="15" t="e">
        <f ca="1">VLOOKUP(CONCATENATE(LEFT(D$7, 7), "ca", $B37), [0]!data_range, 5, FALSE)</f>
        <v>#N/A</v>
      </c>
      <c r="E37" s="15" t="e">
        <f ca="1">VLOOKUP(CONCATENATE(LEFT(E$7, 7), "ca", $B37), [0]!data_range, 5, FALSE)</f>
        <v>#N/A</v>
      </c>
      <c r="F37" s="15" t="e">
        <f ca="1">VLOOKUP(CONCATENATE(LEFT(F$7, 7), "ca", $B37), [0]!data_range, 5, FALSE)</f>
        <v>#N/A</v>
      </c>
      <c r="G37" s="15" t="e">
        <f ca="1">VLOOKUP(CONCATENATE(LEFT(G$7, 7), "ca", $B37), [0]!data_range, 5, FALSE)</f>
        <v>#N/A</v>
      </c>
      <c r="H37" s="15" t="e">
        <f ca="1">VLOOKUP(CONCATENATE(LEFT(H$7, 7), "ca", $B37), [0]!data_range, 5, FALSE)</f>
        <v>#N/A</v>
      </c>
      <c r="I37" s="15" t="e">
        <f ca="1">VLOOKUP(CONCATENATE(LEFT(I$7, 7), "ca", $B37), [0]!data_range, 5, FALSE)</f>
        <v>#N/A</v>
      </c>
      <c r="J37" s="15" t="e">
        <f ca="1">VLOOKUP(CONCATENATE(LEFT(J$7, 7), "ca", $B37), [0]!data_range, 5, FALSE)</f>
        <v>#N/A</v>
      </c>
      <c r="K37" s="15" t="e">
        <f ca="1">VLOOKUP(CONCATENATE(LEFT(K$7, 7), "ca", $B37), [0]!data_range, 5, FALSE)</f>
        <v>#N/A</v>
      </c>
    </row>
    <row r="38" spans="2:11" x14ac:dyDescent="0.2">
      <c r="B38" s="23" t="s">
        <v>116</v>
      </c>
      <c r="C38" s="15" t="e">
        <f ca="1">VLOOKUP(CONCATENATE(LEFT(C$7, 7), "ca", $B38), [0]!data_range, 5, FALSE)</f>
        <v>#N/A</v>
      </c>
      <c r="D38" s="15" t="e">
        <f ca="1">VLOOKUP(CONCATENATE(LEFT(D$7, 7), "ca", $B38), [0]!data_range, 5, FALSE)</f>
        <v>#N/A</v>
      </c>
      <c r="E38" s="15" t="e">
        <f ca="1">VLOOKUP(CONCATENATE(LEFT(E$7, 7), "ca", $B38), [0]!data_range, 5, FALSE)</f>
        <v>#N/A</v>
      </c>
      <c r="F38" s="15" t="e">
        <f ca="1">VLOOKUP(CONCATENATE(LEFT(F$7, 7), "ca", $B38), [0]!data_range, 5, FALSE)</f>
        <v>#N/A</v>
      </c>
      <c r="G38" s="15" t="e">
        <f ca="1">VLOOKUP(CONCATENATE(LEFT(G$7, 7), "ca", $B38), [0]!data_range, 5, FALSE)</f>
        <v>#N/A</v>
      </c>
      <c r="H38" s="15" t="e">
        <f ca="1">VLOOKUP(CONCATENATE(LEFT(H$7, 7), "ca", $B38), [0]!data_range, 5, FALSE)</f>
        <v>#N/A</v>
      </c>
      <c r="I38" s="15" t="e">
        <f ca="1">VLOOKUP(CONCATENATE(LEFT(I$7, 7), "ca", $B38), [0]!data_range, 5, FALSE)</f>
        <v>#N/A</v>
      </c>
      <c r="J38" s="15" t="e">
        <f ca="1">VLOOKUP(CONCATENATE(LEFT(J$7, 7), "ca", $B38), [0]!data_range, 5, FALSE)</f>
        <v>#N/A</v>
      </c>
      <c r="K38" s="15" t="e">
        <f ca="1">VLOOKUP(CONCATENATE(LEFT(K$7, 7), "ca", $B38), [0]!data_range, 5, FALSE)</f>
        <v>#N/A</v>
      </c>
    </row>
    <row r="39" spans="2:11" x14ac:dyDescent="0.2">
      <c r="B39" s="23" t="s">
        <v>13</v>
      </c>
      <c r="C39" s="15" t="e">
        <f ca="1">VLOOKUP(CONCATENATE(LEFT(C$7, 7), "ca", $B39), [0]!data_range, 5, FALSE)</f>
        <v>#N/A</v>
      </c>
      <c r="D39" s="15" t="e">
        <f ca="1">VLOOKUP(CONCATENATE(LEFT(D$7, 7), "ca", $B39), [0]!data_range, 5, FALSE)</f>
        <v>#N/A</v>
      </c>
      <c r="E39" s="15" t="e">
        <f ca="1">VLOOKUP(CONCATENATE(LEFT(E$7, 7), "ca", $B39), [0]!data_range, 5, FALSE)</f>
        <v>#N/A</v>
      </c>
      <c r="F39" s="15" t="e">
        <f ca="1">VLOOKUP(CONCATENATE(LEFT(F$7, 7), "ca", $B39), [0]!data_range, 5, FALSE)</f>
        <v>#N/A</v>
      </c>
      <c r="G39" s="15" t="e">
        <f ca="1">VLOOKUP(CONCATENATE(LEFT(G$7, 7), "ca", $B39), [0]!data_range, 5, FALSE)</f>
        <v>#N/A</v>
      </c>
      <c r="H39" s="15" t="e">
        <f ca="1">VLOOKUP(CONCATENATE(LEFT(H$7, 7), "ca", $B39), [0]!data_range, 5, FALSE)</f>
        <v>#N/A</v>
      </c>
      <c r="I39" s="15" t="e">
        <f ca="1">VLOOKUP(CONCATENATE(LEFT(I$7, 7), "ca", $B39), [0]!data_range, 5, FALSE)</f>
        <v>#N/A</v>
      </c>
      <c r="J39" s="15" t="e">
        <f ca="1">VLOOKUP(CONCATENATE(LEFT(J$7, 7), "ca", $B39), [0]!data_range, 5, FALSE)</f>
        <v>#N/A</v>
      </c>
      <c r="K39" s="15" t="e">
        <f ca="1">VLOOKUP(CONCATENATE(LEFT(K$7, 7), "ca", $B39), [0]!data_range, 5, FALSE)</f>
        <v>#N/A</v>
      </c>
    </row>
    <row r="40" spans="2:11" x14ac:dyDescent="0.2">
      <c r="B40" s="36" t="s">
        <v>14</v>
      </c>
      <c r="C40" s="64" t="e">
        <f ca="1">VLOOKUP(CONCATENATE(LEFT(C$7, 7), "Scotland", $B40), [0]!data_range, 5, FALSE)</f>
        <v>#N/A</v>
      </c>
      <c r="D40" s="64" t="e">
        <f ca="1">VLOOKUP(CONCATENATE(LEFT(D$7, 7), "Scotland", $B40), [0]!data_range, 5, FALSE)</f>
        <v>#N/A</v>
      </c>
      <c r="E40" s="64" t="e">
        <f ca="1">VLOOKUP(CONCATENATE(LEFT(E$7, 7), "Scotland", $B40), [0]!data_range, 5, FALSE)</f>
        <v>#N/A</v>
      </c>
      <c r="F40" s="64" t="e">
        <f ca="1">VLOOKUP(CONCATENATE(LEFT(F$7, 7), "Scotland", $B40), [0]!data_range, 5, FALSE)</f>
        <v>#N/A</v>
      </c>
      <c r="G40" s="64" t="e">
        <f ca="1">VLOOKUP(CONCATENATE(LEFT(G$7, 7), "Scotland", $B40), [0]!data_range, 5, FALSE)</f>
        <v>#N/A</v>
      </c>
      <c r="H40" s="64" t="e">
        <f ca="1">VLOOKUP(CONCATENATE(LEFT(H$7, 7), "Scotland", $B40), [0]!data_range, 5, FALSE)</f>
        <v>#N/A</v>
      </c>
      <c r="I40" s="64" t="e">
        <f ca="1">VLOOKUP(CONCATENATE(LEFT(I$7, 7), "Scotland", $B40), [0]!data_range, 5, FALSE)</f>
        <v>#N/A</v>
      </c>
      <c r="J40" s="64" t="e">
        <f ca="1">VLOOKUP(CONCATENATE(LEFT(J$7, 7), "Scotland", $B40), [0]!data_range, 5, FALSE)</f>
        <v>#N/A</v>
      </c>
      <c r="K40" s="64" t="e">
        <f ca="1">VLOOKUP(CONCATENATE(LEFT(K$7, 7), "Scotland", $B40), [0]!data_range, 5, FALSE)</f>
        <v>#N/A</v>
      </c>
    </row>
    <row r="41" spans="2:11" x14ac:dyDescent="0.2">
      <c r="J41" s="23"/>
      <c r="K41" s="23"/>
    </row>
    <row r="42" spans="2:11" x14ac:dyDescent="0.2">
      <c r="J42" s="23"/>
      <c r="K42" s="23"/>
    </row>
    <row r="43" spans="2:11" x14ac:dyDescent="0.2">
      <c r="C43" s="62"/>
      <c r="J43" s="23"/>
      <c r="K43" s="23"/>
    </row>
    <row r="44" spans="2:11" x14ac:dyDescent="0.2">
      <c r="B44" s="19" t="s">
        <v>18</v>
      </c>
      <c r="J44" s="23"/>
      <c r="K44" s="23"/>
    </row>
    <row r="45" spans="2:11" x14ac:dyDescent="0.2">
      <c r="J45" s="23"/>
      <c r="K45" s="23"/>
    </row>
    <row r="46" spans="2:11" x14ac:dyDescent="0.2">
      <c r="B46" s="21" t="s">
        <v>155</v>
      </c>
      <c r="J46" s="23"/>
      <c r="K46" s="23"/>
    </row>
    <row r="47" spans="2:11" x14ac:dyDescent="0.2">
      <c r="B47" s="21" t="s">
        <v>148</v>
      </c>
      <c r="J47" s="23"/>
      <c r="K47" s="23"/>
    </row>
    <row r="48" spans="2:11" x14ac:dyDescent="0.2">
      <c r="B48" s="21" t="e">
        <f ca="1">"    1. Data for " &amp; [0]!fy_max &amp;" are incomplete and will be revised in October 20" &amp; RIGHT([0]!fy_max, 2) &amp; " publication"</f>
        <v>#N/A</v>
      </c>
      <c r="J48" s="23"/>
      <c r="K48" s="23"/>
    </row>
    <row r="49" spans="10:11" x14ac:dyDescent="0.2">
      <c r="J49" s="23"/>
      <c r="K49" s="23"/>
    </row>
    <row r="50" spans="10:11" x14ac:dyDescent="0.2">
      <c r="J50" s="23"/>
      <c r="K50" s="23"/>
    </row>
    <row r="51" spans="10:11" x14ac:dyDescent="0.2">
      <c r="J51" s="23"/>
      <c r="K51" s="23"/>
    </row>
    <row r="52" spans="10:11" x14ac:dyDescent="0.2">
      <c r="J52" s="23"/>
      <c r="K52" s="23"/>
    </row>
    <row r="53" spans="10:11" x14ac:dyDescent="0.2">
      <c r="J53" s="23"/>
      <c r="K53" s="23"/>
    </row>
    <row r="54" spans="10:11" x14ac:dyDescent="0.2">
      <c r="J54" s="23"/>
      <c r="K54" s="23"/>
    </row>
    <row r="55" spans="10:11" x14ac:dyDescent="0.2">
      <c r="J55" s="23"/>
      <c r="K55" s="23"/>
    </row>
    <row r="56" spans="10:11" x14ac:dyDescent="0.2">
      <c r="J56" s="23"/>
      <c r="K56" s="23"/>
    </row>
    <row r="57" spans="10:11" x14ac:dyDescent="0.2">
      <c r="J57" s="23"/>
      <c r="K57" s="23"/>
    </row>
    <row r="58" spans="10:11" x14ac:dyDescent="0.2">
      <c r="J58" s="23"/>
      <c r="K58" s="23"/>
    </row>
    <row r="59" spans="10:11" x14ac:dyDescent="0.2">
      <c r="J59" s="23"/>
      <c r="K59" s="23"/>
    </row>
    <row r="60" spans="10:11" x14ac:dyDescent="0.2">
      <c r="J60" s="23"/>
      <c r="K60" s="23"/>
    </row>
    <row r="61" spans="10:11" x14ac:dyDescent="0.2">
      <c r="J61" s="23"/>
      <c r="K61" s="23"/>
    </row>
    <row r="62" spans="10:11" x14ac:dyDescent="0.2">
      <c r="J62" s="23"/>
      <c r="K62" s="23"/>
    </row>
    <row r="63" spans="10:11" x14ac:dyDescent="0.2">
      <c r="J63" s="23"/>
      <c r="K63" s="23"/>
    </row>
    <row r="64" spans="10:11" x14ac:dyDescent="0.2">
      <c r="J64" s="23"/>
      <c r="K64" s="23"/>
    </row>
    <row r="65" spans="10:11" x14ac:dyDescent="0.2">
      <c r="J65" s="23"/>
      <c r="K65" s="23"/>
    </row>
    <row r="66" spans="10:11" x14ac:dyDescent="0.2">
      <c r="J66" s="23"/>
      <c r="K66" s="23"/>
    </row>
    <row r="67" spans="10:11" x14ac:dyDescent="0.2">
      <c r="J67" s="23"/>
      <c r="K67" s="23"/>
    </row>
    <row r="68" spans="10:11" x14ac:dyDescent="0.2">
      <c r="J68" s="23"/>
      <c r="K68" s="23"/>
    </row>
    <row r="69" spans="10:11" x14ac:dyDescent="0.2">
      <c r="J69" s="23"/>
      <c r="K69" s="23"/>
    </row>
    <row r="70" spans="10:11" x14ac:dyDescent="0.2">
      <c r="J70" s="23"/>
      <c r="K70" s="23"/>
    </row>
    <row r="71" spans="10:11" x14ac:dyDescent="0.2">
      <c r="J71" s="23"/>
      <c r="K71" s="23"/>
    </row>
    <row r="72" spans="10:11" x14ac:dyDescent="0.2">
      <c r="J72" s="23"/>
      <c r="K72" s="23"/>
    </row>
    <row r="73" spans="10:11" x14ac:dyDescent="0.2">
      <c r="J73" s="23"/>
      <c r="K73" s="23"/>
    </row>
    <row r="74" spans="10:11" x14ac:dyDescent="0.2">
      <c r="J74" s="23"/>
      <c r="K74" s="23"/>
    </row>
    <row r="75" spans="10:11" x14ac:dyDescent="0.2">
      <c r="J75" s="23"/>
      <c r="K75" s="23"/>
    </row>
    <row r="76" spans="10:11" x14ac:dyDescent="0.2">
      <c r="J76" s="23"/>
      <c r="K76" s="23"/>
    </row>
    <row r="77" spans="10:11" x14ac:dyDescent="0.2">
      <c r="J77" s="23"/>
      <c r="K77" s="23"/>
    </row>
    <row r="78" spans="10:11" x14ac:dyDescent="0.2">
      <c r="J78" s="23"/>
      <c r="K78" s="23"/>
    </row>
    <row r="79" spans="10:11" x14ac:dyDescent="0.2">
      <c r="J79" s="23"/>
      <c r="K79" s="23"/>
    </row>
    <row r="80" spans="10:11" x14ac:dyDescent="0.2">
      <c r="J80" s="23"/>
      <c r="K80" s="23"/>
    </row>
    <row r="81" spans="10:11" x14ac:dyDescent="0.2">
      <c r="J81" s="23"/>
      <c r="K81" s="23"/>
    </row>
    <row r="82" spans="10:11" x14ac:dyDescent="0.2">
      <c r="J82" s="23"/>
      <c r="K82" s="23"/>
    </row>
    <row r="83" spans="10:11" x14ac:dyDescent="0.2">
      <c r="J83" s="23"/>
      <c r="K83" s="23"/>
    </row>
    <row r="84" spans="10:11" x14ac:dyDescent="0.2">
      <c r="J84" s="23"/>
      <c r="K84" s="23"/>
    </row>
    <row r="85" spans="10:11" x14ac:dyDescent="0.2">
      <c r="J85" s="23"/>
      <c r="K85" s="23"/>
    </row>
    <row r="86" spans="10:11" x14ac:dyDescent="0.2">
      <c r="J86" s="23"/>
      <c r="K86" s="23"/>
    </row>
    <row r="87" spans="10:11" x14ac:dyDescent="0.2">
      <c r="J87" s="23"/>
      <c r="K87" s="23"/>
    </row>
    <row r="88" spans="10:11" x14ac:dyDescent="0.2">
      <c r="J88" s="23"/>
      <c r="K88" s="23"/>
    </row>
    <row r="89" spans="10:11" x14ac:dyDescent="0.2">
      <c r="J89" s="23"/>
      <c r="K89" s="23"/>
    </row>
    <row r="90" spans="10:11" x14ac:dyDescent="0.2">
      <c r="J90" s="23"/>
      <c r="K90" s="23"/>
    </row>
    <row r="91" spans="10:11" x14ac:dyDescent="0.2">
      <c r="J91" s="23"/>
      <c r="K91" s="23"/>
    </row>
    <row r="92" spans="10:11" x14ac:dyDescent="0.2">
      <c r="J92" s="23"/>
      <c r="K92" s="23"/>
    </row>
    <row r="93" spans="10:11" x14ac:dyDescent="0.2">
      <c r="J93" s="23"/>
      <c r="K93" s="23"/>
    </row>
    <row r="94" spans="10:11" x14ac:dyDescent="0.2">
      <c r="J94" s="23"/>
      <c r="K94" s="23"/>
    </row>
    <row r="95" spans="10:11" x14ac:dyDescent="0.2">
      <c r="J95" s="23"/>
      <c r="K95" s="23"/>
    </row>
    <row r="96" spans="10:11" x14ac:dyDescent="0.2">
      <c r="J96" s="23"/>
      <c r="K96" s="23"/>
    </row>
    <row r="97" spans="10:11" x14ac:dyDescent="0.2">
      <c r="J97" s="23"/>
      <c r="K97" s="23"/>
    </row>
    <row r="98" spans="10:11" x14ac:dyDescent="0.2">
      <c r="J98" s="23"/>
      <c r="K98" s="23"/>
    </row>
    <row r="99" spans="10:11" x14ac:dyDescent="0.2">
      <c r="J99" s="23"/>
      <c r="K99" s="23"/>
    </row>
    <row r="100" spans="10:11" x14ac:dyDescent="0.2">
      <c r="J100" s="23"/>
      <c r="K100" s="23"/>
    </row>
    <row r="101" spans="10:11" x14ac:dyDescent="0.2">
      <c r="J101" s="23"/>
      <c r="K101" s="23"/>
    </row>
    <row r="102" spans="10:11" x14ac:dyDescent="0.2">
      <c r="J102" s="23"/>
      <c r="K102" s="23"/>
    </row>
    <row r="103" spans="10:11" x14ac:dyDescent="0.2">
      <c r="J103" s="23"/>
      <c r="K103" s="23"/>
    </row>
    <row r="104" spans="10:11" x14ac:dyDescent="0.2">
      <c r="J104" s="23"/>
      <c r="K104" s="23"/>
    </row>
    <row r="105" spans="10:11" x14ac:dyDescent="0.2">
      <c r="J105" s="23"/>
      <c r="K105" s="23"/>
    </row>
    <row r="106" spans="10:11" x14ac:dyDescent="0.2">
      <c r="J106" s="23"/>
      <c r="K106" s="23"/>
    </row>
    <row r="107" spans="10:11" x14ac:dyDescent="0.2">
      <c r="J107" s="23"/>
      <c r="K107" s="23"/>
    </row>
    <row r="108" spans="10:11" x14ac:dyDescent="0.2">
      <c r="J108" s="23"/>
      <c r="K108" s="23"/>
    </row>
    <row r="109" spans="10:11" x14ac:dyDescent="0.2">
      <c r="J109" s="23"/>
      <c r="K109" s="23"/>
    </row>
    <row r="110" spans="10:11" x14ac:dyDescent="0.2">
      <c r="J110" s="23"/>
      <c r="K110" s="23"/>
    </row>
    <row r="111" spans="10:11" x14ac:dyDescent="0.2">
      <c r="J111" s="23"/>
      <c r="K111" s="23"/>
    </row>
    <row r="112" spans="10:11" x14ac:dyDescent="0.2">
      <c r="J112" s="23"/>
      <c r="K112" s="23"/>
    </row>
    <row r="113" spans="10:11" x14ac:dyDescent="0.2">
      <c r="J113" s="23"/>
      <c r="K113" s="23"/>
    </row>
    <row r="114" spans="10:11" x14ac:dyDescent="0.2">
      <c r="J114" s="23"/>
      <c r="K114" s="23"/>
    </row>
    <row r="115" spans="10:11" x14ac:dyDescent="0.2">
      <c r="J115" s="23"/>
      <c r="K115" s="23"/>
    </row>
    <row r="116" spans="10:11" x14ac:dyDescent="0.2">
      <c r="J116" s="23"/>
      <c r="K116" s="23"/>
    </row>
    <row r="117" spans="10:11" x14ac:dyDescent="0.2">
      <c r="J117" s="23"/>
      <c r="K117" s="23"/>
    </row>
    <row r="118" spans="10:11" x14ac:dyDescent="0.2">
      <c r="J118" s="23"/>
      <c r="K118" s="23"/>
    </row>
    <row r="119" spans="10:11" x14ac:dyDescent="0.2">
      <c r="J119" s="23"/>
      <c r="K119" s="23"/>
    </row>
    <row r="120" spans="10:11" x14ac:dyDescent="0.2">
      <c r="J120" s="23"/>
      <c r="K120" s="23"/>
    </row>
    <row r="121" spans="10:11" x14ac:dyDescent="0.2">
      <c r="J121" s="23"/>
      <c r="K121" s="23"/>
    </row>
    <row r="122" spans="10:11" x14ac:dyDescent="0.2">
      <c r="J122" s="23"/>
      <c r="K122" s="23"/>
    </row>
    <row r="123" spans="10:11" x14ac:dyDescent="0.2">
      <c r="J123" s="23"/>
      <c r="K123" s="23"/>
    </row>
    <row r="124" spans="10:11" x14ac:dyDescent="0.2">
      <c r="J124" s="23"/>
      <c r="K124" s="23"/>
    </row>
    <row r="125" spans="10:11" x14ac:dyDescent="0.2">
      <c r="J125" s="23"/>
      <c r="K125" s="23"/>
    </row>
    <row r="126" spans="10:11" x14ac:dyDescent="0.2">
      <c r="J126" s="23"/>
      <c r="K126" s="23"/>
    </row>
    <row r="127" spans="10:11" x14ac:dyDescent="0.2">
      <c r="J127" s="23"/>
      <c r="K127" s="23"/>
    </row>
    <row r="128" spans="10:11" x14ac:dyDescent="0.2">
      <c r="J128" s="23"/>
      <c r="K128" s="23"/>
    </row>
    <row r="129" spans="10:11" x14ac:dyDescent="0.2">
      <c r="J129" s="23"/>
      <c r="K129" s="23"/>
    </row>
    <row r="130" spans="10:11" x14ac:dyDescent="0.2">
      <c r="J130" s="23"/>
      <c r="K130" s="23"/>
    </row>
    <row r="131" spans="10:11" x14ac:dyDescent="0.2">
      <c r="J131" s="23"/>
      <c r="K131" s="23"/>
    </row>
    <row r="132" spans="10:11" x14ac:dyDescent="0.2">
      <c r="J132" s="23"/>
      <c r="K132" s="23"/>
    </row>
    <row r="133" spans="10:11" x14ac:dyDescent="0.2">
      <c r="J133" s="23"/>
      <c r="K133" s="23"/>
    </row>
    <row r="134" spans="10:11" x14ac:dyDescent="0.2">
      <c r="J134" s="23"/>
      <c r="K134" s="23"/>
    </row>
    <row r="135" spans="10:11" x14ac:dyDescent="0.2">
      <c r="J135" s="23"/>
      <c r="K135" s="23"/>
    </row>
    <row r="136" spans="10:11" x14ac:dyDescent="0.2">
      <c r="J136" s="23"/>
      <c r="K136" s="23"/>
    </row>
    <row r="137" spans="10:11" x14ac:dyDescent="0.2">
      <c r="J137" s="23"/>
      <c r="K137" s="23"/>
    </row>
    <row r="138" spans="10:11" x14ac:dyDescent="0.2">
      <c r="J138" s="23"/>
      <c r="K138" s="23"/>
    </row>
    <row r="139" spans="10:11" x14ac:dyDescent="0.2">
      <c r="J139" s="23"/>
      <c r="K139" s="23"/>
    </row>
    <row r="140" spans="10:11" x14ac:dyDescent="0.2">
      <c r="J140" s="23"/>
      <c r="K140" s="23"/>
    </row>
    <row r="141" spans="10:11" x14ac:dyDescent="0.2">
      <c r="J141" s="23"/>
      <c r="K141" s="23"/>
    </row>
    <row r="142" spans="10:11" x14ac:dyDescent="0.2">
      <c r="J142" s="23"/>
      <c r="K142" s="23"/>
    </row>
    <row r="143" spans="10:11" x14ac:dyDescent="0.2">
      <c r="J143" s="23"/>
      <c r="K143" s="23"/>
    </row>
    <row r="144" spans="10:11" x14ac:dyDescent="0.2">
      <c r="J144" s="23"/>
      <c r="K144" s="23"/>
    </row>
    <row r="145" spans="10:11" x14ac:dyDescent="0.2">
      <c r="J145" s="23"/>
      <c r="K145" s="23"/>
    </row>
    <row r="146" spans="10:11" x14ac:dyDescent="0.2">
      <c r="J146" s="23"/>
      <c r="K146" s="23"/>
    </row>
    <row r="147" spans="10:11" x14ac:dyDescent="0.2">
      <c r="J147" s="23"/>
      <c r="K147" s="23"/>
    </row>
    <row r="148" spans="10:11" x14ac:dyDescent="0.2">
      <c r="J148" s="23"/>
      <c r="K148" s="23"/>
    </row>
    <row r="149" spans="10:11" x14ac:dyDescent="0.2">
      <c r="J149" s="23"/>
      <c r="K149" s="23"/>
    </row>
    <row r="150" spans="10:11" x14ac:dyDescent="0.2">
      <c r="J150" s="23"/>
      <c r="K150" s="23"/>
    </row>
    <row r="151" spans="10:11" x14ac:dyDescent="0.2">
      <c r="J151" s="23"/>
      <c r="K151" s="23"/>
    </row>
    <row r="152" spans="10:11" x14ac:dyDescent="0.2">
      <c r="J152" s="23"/>
      <c r="K152" s="23"/>
    </row>
    <row r="153" spans="10:11" x14ac:dyDescent="0.2">
      <c r="J153" s="23"/>
      <c r="K153" s="23"/>
    </row>
    <row r="154" spans="10:11" x14ac:dyDescent="0.2">
      <c r="J154" s="23"/>
      <c r="K154" s="23"/>
    </row>
    <row r="155" spans="10:11" x14ac:dyDescent="0.2">
      <c r="J155" s="23"/>
      <c r="K155" s="23"/>
    </row>
    <row r="156" spans="10:11" x14ac:dyDescent="0.2">
      <c r="J156" s="23"/>
      <c r="K156" s="23"/>
    </row>
    <row r="157" spans="10:11" x14ac:dyDescent="0.2">
      <c r="J157" s="23"/>
      <c r="K157" s="23"/>
    </row>
    <row r="159" spans="10:11" x14ac:dyDescent="0.2">
      <c r="J159" s="23"/>
      <c r="K159" s="23"/>
    </row>
    <row r="160" spans="10:11" x14ac:dyDescent="0.2">
      <c r="J160" s="23"/>
      <c r="K160" s="23"/>
    </row>
    <row r="161" spans="10:11" x14ac:dyDescent="0.2">
      <c r="J161" s="23"/>
      <c r="K161" s="23"/>
    </row>
    <row r="162" spans="10:11" x14ac:dyDescent="0.2">
      <c r="J162" s="23"/>
      <c r="K162" s="23"/>
    </row>
    <row r="163" spans="10:11" x14ac:dyDescent="0.2">
      <c r="J163" s="23"/>
      <c r="K163" s="23"/>
    </row>
    <row r="164" spans="10:11" x14ac:dyDescent="0.2">
      <c r="J164" s="23"/>
      <c r="K164" s="23"/>
    </row>
    <row r="165" spans="10:11" x14ac:dyDescent="0.2">
      <c r="J165" s="23"/>
      <c r="K165" s="23"/>
    </row>
    <row r="166" spans="10:11" x14ac:dyDescent="0.2">
      <c r="J166" s="23"/>
      <c r="K166" s="23"/>
    </row>
    <row r="167" spans="10:11" x14ac:dyDescent="0.2">
      <c r="J167" s="23"/>
      <c r="K167" s="23"/>
    </row>
    <row r="168" spans="10:11" x14ac:dyDescent="0.2">
      <c r="J168" s="23"/>
      <c r="K168" s="23"/>
    </row>
    <row r="169" spans="10:11" x14ac:dyDescent="0.2">
      <c r="J169" s="23"/>
      <c r="K169" s="23"/>
    </row>
    <row r="170" spans="10:11" x14ac:dyDescent="0.2">
      <c r="J170" s="23"/>
      <c r="K170" s="23"/>
    </row>
    <row r="171" spans="10:11" x14ac:dyDescent="0.2">
      <c r="J171" s="23"/>
      <c r="K171" s="23"/>
    </row>
    <row r="172" spans="10:11" x14ac:dyDescent="0.2">
      <c r="J172" s="23"/>
      <c r="K172" s="23"/>
    </row>
    <row r="173" spans="10:11" x14ac:dyDescent="0.2">
      <c r="J173" s="23"/>
      <c r="K173" s="23"/>
    </row>
    <row r="174" spans="10:11" x14ac:dyDescent="0.2">
      <c r="J174" s="23"/>
      <c r="K174" s="23"/>
    </row>
    <row r="175" spans="10:11" x14ac:dyDescent="0.2">
      <c r="J175" s="23"/>
      <c r="K175" s="23"/>
    </row>
    <row r="176" spans="10:11" x14ac:dyDescent="0.2">
      <c r="J176" s="23"/>
      <c r="K176" s="23"/>
    </row>
    <row r="177" spans="10:11" x14ac:dyDescent="0.2">
      <c r="J177" s="23"/>
      <c r="K177" s="23"/>
    </row>
    <row r="178" spans="10:11" x14ac:dyDescent="0.2">
      <c r="J178" s="23"/>
      <c r="K178" s="23"/>
    </row>
    <row r="179" spans="10:11" x14ac:dyDescent="0.2">
      <c r="J179" s="23"/>
      <c r="K179" s="23"/>
    </row>
    <row r="180" spans="10:11" x14ac:dyDescent="0.2">
      <c r="J180" s="23"/>
      <c r="K180" s="23"/>
    </row>
    <row r="181" spans="10:11" x14ac:dyDescent="0.2">
      <c r="J181" s="23"/>
      <c r="K181" s="23"/>
    </row>
    <row r="182" spans="10:11" x14ac:dyDescent="0.2">
      <c r="J182" s="23"/>
      <c r="K182" s="23"/>
    </row>
    <row r="183" spans="10:11" x14ac:dyDescent="0.2">
      <c r="J183" s="23"/>
      <c r="K183" s="23"/>
    </row>
    <row r="184" spans="10:11" x14ac:dyDescent="0.2">
      <c r="J184" s="23"/>
      <c r="K184" s="23"/>
    </row>
    <row r="185" spans="10:11" x14ac:dyDescent="0.2">
      <c r="J185" s="23"/>
      <c r="K185" s="23"/>
    </row>
    <row r="186" spans="10:11" x14ac:dyDescent="0.2">
      <c r="J186" s="23"/>
      <c r="K186" s="23"/>
    </row>
    <row r="187" spans="10:11" x14ac:dyDescent="0.2">
      <c r="J187" s="23"/>
      <c r="K187" s="23"/>
    </row>
    <row r="188" spans="10:11" x14ac:dyDescent="0.2">
      <c r="J188" s="23"/>
      <c r="K188" s="23"/>
    </row>
    <row r="189" spans="10:11" x14ac:dyDescent="0.2">
      <c r="J189" s="23"/>
      <c r="K189" s="23"/>
    </row>
    <row r="190" spans="10:11" x14ac:dyDescent="0.2">
      <c r="J190" s="23"/>
      <c r="K190" s="23"/>
    </row>
  </sheetData>
  <mergeCells count="1">
    <mergeCell ref="B1:J1"/>
  </mergeCells>
  <hyperlinks>
    <hyperlink ref="B44"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4"/>
  <sheetViews>
    <sheetView showGridLines="0" topLeftCell="A13" zoomScaleNormal="100" zoomScaleSheetLayoutView="100" workbookViewId="0"/>
  </sheetViews>
  <sheetFormatPr defaultRowHeight="12.75" x14ac:dyDescent="0.2"/>
  <cols>
    <col min="1" max="1" width="2.7109375" style="3" customWidth="1"/>
    <col min="2" max="2" width="27.28515625" style="3" customWidth="1"/>
    <col min="3" max="12" width="12.5703125" style="3" customWidth="1"/>
    <col min="13" max="16384" width="9.140625" style="3"/>
  </cols>
  <sheetData>
    <row r="1" spans="2:12" ht="36.75" customHeight="1" x14ac:dyDescent="0.25">
      <c r="B1" s="89" t="str">
        <f>Notes!B1:O1</f>
        <v/>
      </c>
      <c r="C1" s="89"/>
      <c r="D1" s="89"/>
      <c r="E1" s="89"/>
      <c r="F1" s="89"/>
      <c r="G1" s="89"/>
      <c r="H1" s="89"/>
      <c r="I1" s="89"/>
      <c r="J1" s="89"/>
    </row>
    <row r="2" spans="2:12" ht="15.75" x14ac:dyDescent="0.25">
      <c r="B2" s="4" t="s">
        <v>177</v>
      </c>
      <c r="J2" s="23"/>
      <c r="K2" s="23"/>
      <c r="L2" s="23"/>
    </row>
    <row r="3" spans="2:12" ht="15.75" x14ac:dyDescent="0.25">
      <c r="B3" s="4" t="s">
        <v>146</v>
      </c>
      <c r="J3" s="23"/>
      <c r="K3" s="23"/>
      <c r="L3" s="23"/>
    </row>
    <row r="4" spans="2:12" ht="15.75" x14ac:dyDescent="0.25">
      <c r="B4" s="4"/>
      <c r="J4" s="23"/>
      <c r="K4" s="23"/>
      <c r="L4" s="23"/>
    </row>
    <row r="5" spans="2:12" ht="15.75" x14ac:dyDescent="0.25">
      <c r="B5" s="4"/>
      <c r="E5" s="10" t="s">
        <v>15</v>
      </c>
      <c r="I5" s="50"/>
      <c r="J5" s="23"/>
      <c r="K5" s="23"/>
      <c r="L5" s="23"/>
    </row>
    <row r="6" spans="2:12" ht="15.75" x14ac:dyDescent="0.25">
      <c r="B6" s="4"/>
      <c r="D6" s="38" t="e">
        <f t="array" aca="1" ref="D6" ca="1">INDEX(fy_range, MATCH(0, COUNTIF($C$6:C6, fy_range), 0))</f>
        <v>#N/A</v>
      </c>
      <c r="E6" s="38" t="e">
        <f t="array" aca="1" ref="E6" ca="1">INDEX(fy_range, MATCH(0, COUNTIF($C$6:D6, fy_range), 0))</f>
        <v>#N/A</v>
      </c>
      <c r="F6" s="38" t="e">
        <f t="array" aca="1" ref="F6" ca="1">INDEX(fy_range, MATCH(0, COUNTIF($C$6:E6, fy_range), 0))</f>
        <v>#N/A</v>
      </c>
      <c r="G6" s="38" t="e">
        <f t="array" aca="1" ref="G6" ca="1">INDEX(fy_range, MATCH(0, COUNTIF($C$6:F6, fy_range), 0))</f>
        <v>#N/A</v>
      </c>
      <c r="H6" s="38" t="e">
        <f t="array" aca="1" ref="H6" ca="1">INDEX(fy_range, MATCH(0, COUNTIF($C$6:G6, fy_range), 0))</f>
        <v>#N/A</v>
      </c>
      <c r="I6" s="38" t="e">
        <f t="array" aca="1" ref="I6" ca="1">INDEX(fy_range, MATCH(0, COUNTIF($C$6:H6, fy_range), 0))</f>
        <v>#N/A</v>
      </c>
      <c r="J6" s="38" t="e">
        <f t="array" aca="1" ref="J6" ca="1">INDEX(fy_range, MATCH(0, COUNTIF($C$6:I6, fy_range), 0))</f>
        <v>#N/A</v>
      </c>
      <c r="K6" s="38" t="e">
        <f t="array" aca="1" ref="K6" ca="1">INDEX(fy_range, MATCH(0, COUNTIF($C$6:J6, fy_range), 0))</f>
        <v>#N/A</v>
      </c>
      <c r="L6" s="38" t="e">
        <f t="array" aca="1" ref="L6" ca="1">INDEX(fy_range, MATCH(0, COUNTIF($C$6:K6, fy_range), 0))</f>
        <v>#N/A</v>
      </c>
    </row>
    <row r="7" spans="2:12" ht="18.75" customHeight="1" x14ac:dyDescent="0.2">
      <c r="B7" s="70" t="s">
        <v>127</v>
      </c>
      <c r="C7" s="65" t="s">
        <v>121</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L7" s="18" t="e">
        <f ca="1">IF(L$6 = [0]!fy_max, L$6 &amp; calculation!$B$4, L$6)</f>
        <v>#N/A</v>
      </c>
    </row>
    <row r="8" spans="2:12" ht="18.75" customHeight="1" x14ac:dyDescent="0.2">
      <c r="B8" s="71" t="s">
        <v>129</v>
      </c>
      <c r="C8" s="41" t="s">
        <v>122</v>
      </c>
      <c r="D8" s="15" t="e">
        <f ca="1">VLOOKUP(CONCATENATE(LEFT(D$7, 7), "age/sex", $B$8, " ", $C8), [0]!data_range, 5, FALSE)</f>
        <v>#N/A</v>
      </c>
      <c r="E8" s="15" t="e">
        <f ca="1">VLOOKUP(CONCATENATE(LEFT(E$7, 7), "age/sex", $B$8, " ", $C8), [0]!data_range, 5, FALSE)</f>
        <v>#N/A</v>
      </c>
      <c r="F8" s="15" t="e">
        <f ca="1">VLOOKUP(CONCATENATE(LEFT(F$7, 7), "age/sex", $B$8, " ", $C8), [0]!data_range, 5, FALSE)</f>
        <v>#N/A</v>
      </c>
      <c r="G8" s="15" t="e">
        <f ca="1">VLOOKUP(CONCATENATE(LEFT(G$7, 7), "age/sex", $B$8, " ", $C8), [0]!data_range, 5, FALSE)</f>
        <v>#N/A</v>
      </c>
      <c r="H8" s="15" t="e">
        <f ca="1">VLOOKUP(CONCATENATE(LEFT(H$7, 7), "age/sex", $B$8, " ", $C8), [0]!data_range, 5, FALSE)</f>
        <v>#N/A</v>
      </c>
      <c r="I8" s="15" t="e">
        <f ca="1">VLOOKUP(CONCATENATE(LEFT(I$7, 7), "age/sex", $B$8, " ", $C8), [0]!data_range, 5, FALSE)</f>
        <v>#N/A</v>
      </c>
      <c r="J8" s="15" t="e">
        <f ca="1">VLOOKUP(CONCATENATE(LEFT(J$7, 7), "age/sex", $B$8, " ", $C8), [0]!data_range, 5, FALSE)</f>
        <v>#N/A</v>
      </c>
      <c r="K8" s="15" t="e">
        <f ca="1">VLOOKUP(CONCATENATE(LEFT(K$7, 7), "age/sex", $B$8, " ", $C8), [0]!data_range, 5, FALSE)</f>
        <v>#N/A</v>
      </c>
      <c r="L8" s="15" t="e">
        <f ca="1">VLOOKUP(CONCATENATE(LEFT(L$7, 7), "age/sex", $B$8, " ", $C8), [0]!data_range, 5, FALSE)</f>
        <v>#N/A</v>
      </c>
    </row>
    <row r="9" spans="2:12" ht="18.75" customHeight="1" x14ac:dyDescent="0.2">
      <c r="B9" s="9"/>
      <c r="C9" s="41" t="s">
        <v>199</v>
      </c>
      <c r="D9" s="15" t="e">
        <f ca="1">VLOOKUP(CONCATENATE(LEFT(D$7, 7), "age/sex", $B$8, " ", $C9), [0]!data_range, 5, FALSE)</f>
        <v>#N/A</v>
      </c>
      <c r="E9" s="15" t="e">
        <f ca="1">VLOOKUP(CONCATENATE(LEFT(E$7, 7), "age/sex", $B$8, " ", $C9), [0]!data_range, 5, FALSE)</f>
        <v>#N/A</v>
      </c>
      <c r="F9" s="15" t="e">
        <f ca="1">VLOOKUP(CONCATENATE(LEFT(F$7, 7), "age/sex", $B$8, " ", $C9), [0]!data_range, 5, FALSE)</f>
        <v>#N/A</v>
      </c>
      <c r="G9" s="15" t="e">
        <f ca="1">VLOOKUP(CONCATENATE(LEFT(G$7, 7), "age/sex", $B$8, " ", $C9), [0]!data_range, 5, FALSE)</f>
        <v>#N/A</v>
      </c>
      <c r="H9" s="15" t="e">
        <f ca="1">VLOOKUP(CONCATENATE(LEFT(H$7, 7), "age/sex", $B$8, " ", $C9), [0]!data_range, 5, FALSE)</f>
        <v>#N/A</v>
      </c>
      <c r="I9" s="15" t="e">
        <f ca="1">VLOOKUP(CONCATENATE(LEFT(I$7, 7), "age/sex", $B$8, " ", $C9), [0]!data_range, 5, FALSE)</f>
        <v>#N/A</v>
      </c>
      <c r="J9" s="15" t="e">
        <f ca="1">VLOOKUP(CONCATENATE(LEFT(J$7, 7), "age/sex", $B$8, " ", $C9), [0]!data_range, 5, FALSE)</f>
        <v>#N/A</v>
      </c>
      <c r="K9" s="15" t="e">
        <f ca="1">VLOOKUP(CONCATENATE(LEFT(K$7, 7), "age/sex", $B$8, " ", $C9), [0]!data_range, 5, FALSE)</f>
        <v>#N/A</v>
      </c>
      <c r="L9" s="15" t="e">
        <f ca="1">VLOOKUP(CONCATENATE(LEFT(L$7, 7), "age/sex", $B$8, " ", $C9), [0]!data_range, 5, FALSE)</f>
        <v>#N/A</v>
      </c>
    </row>
    <row r="10" spans="2:12" ht="18.75" customHeight="1" x14ac:dyDescent="0.2">
      <c r="B10" s="9"/>
      <c r="C10" s="3" t="s">
        <v>130</v>
      </c>
      <c r="D10" s="15" t="e">
        <f ca="1">VLOOKUP(CONCATENATE(LEFT(D$7, 7), "age/sex", $B$8, " ", $C10), [0]!data_range, 5, FALSE)</f>
        <v>#N/A</v>
      </c>
      <c r="E10" s="15" t="e">
        <f ca="1">VLOOKUP(CONCATENATE(LEFT(E$7, 7), "age/sex", $B$8, " ", $C10), [0]!data_range, 5, FALSE)</f>
        <v>#N/A</v>
      </c>
      <c r="F10" s="15" t="e">
        <f ca="1">VLOOKUP(CONCATENATE(LEFT(F$7, 7), "age/sex", $B$8, " ", $C10), [0]!data_range, 5, FALSE)</f>
        <v>#N/A</v>
      </c>
      <c r="G10" s="15" t="e">
        <f ca="1">VLOOKUP(CONCATENATE(LEFT(G$7, 7), "age/sex", $B$8, " ", $C10), [0]!data_range, 5, FALSE)</f>
        <v>#N/A</v>
      </c>
      <c r="H10" s="15" t="e">
        <f ca="1">VLOOKUP(CONCATENATE(LEFT(H$7, 7), "age/sex", $B$8, " ", $C10), [0]!data_range, 5, FALSE)</f>
        <v>#N/A</v>
      </c>
      <c r="I10" s="15" t="e">
        <f ca="1">VLOOKUP(CONCATENATE(LEFT(I$7, 7), "age/sex", $B$8, " ", $C10), [0]!data_range, 5, FALSE)</f>
        <v>#N/A</v>
      </c>
      <c r="J10" s="15" t="e">
        <f ca="1">VLOOKUP(CONCATENATE(LEFT(J$7, 7), "age/sex", $B$8, " ", $C10), [0]!data_range, 5, FALSE)</f>
        <v>#N/A</v>
      </c>
      <c r="K10" s="15" t="e">
        <f ca="1">VLOOKUP(CONCATENATE(LEFT(K$7, 7), "age/sex", $B$8, " ", $C10), [0]!data_range, 5, FALSE)</f>
        <v>#N/A</v>
      </c>
      <c r="L10" s="15" t="e">
        <f ca="1">VLOOKUP(CONCATENATE(LEFT(L$7, 7), "age/sex", $B$8, " ", $C10), [0]!data_range, 5, FALSE)</f>
        <v>#N/A</v>
      </c>
    </row>
    <row r="11" spans="2:12" ht="18.75" customHeight="1" x14ac:dyDescent="0.2">
      <c r="B11" s="9" t="s">
        <v>131</v>
      </c>
      <c r="C11" s="3" t="s">
        <v>122</v>
      </c>
      <c r="D11" s="15" t="e">
        <f ca="1">VLOOKUP(CONCATENATE(LEFT(D$7, 7), "age/sex", $B$8, " ", $C11), [0]!data_range, 5, FALSE)</f>
        <v>#N/A</v>
      </c>
      <c r="E11" s="15" t="e">
        <f ca="1">VLOOKUP(CONCATENATE(LEFT(E$7, 7), "age/sex", $B$8, " ", $C11), [0]!data_range, 5, FALSE)</f>
        <v>#N/A</v>
      </c>
      <c r="F11" s="15" t="e">
        <f ca="1">VLOOKUP(CONCATENATE(LEFT(F$7, 7), "age/sex", $B$8, " ", $C11), [0]!data_range, 5, FALSE)</f>
        <v>#N/A</v>
      </c>
      <c r="G11" s="15" t="e">
        <f ca="1">VLOOKUP(CONCATENATE(LEFT(G$7, 7), "age/sex", $B$8, " ", $C11), [0]!data_range, 5, FALSE)</f>
        <v>#N/A</v>
      </c>
      <c r="H11" s="15" t="e">
        <f ca="1">VLOOKUP(CONCATENATE(LEFT(H$7, 7), "age/sex", $B$8, " ", $C11), [0]!data_range, 5, FALSE)</f>
        <v>#N/A</v>
      </c>
      <c r="I11" s="15" t="e">
        <f ca="1">VLOOKUP(CONCATENATE(LEFT(I$7, 7), "age/sex", $B$8, " ", $C11), [0]!data_range, 5, FALSE)</f>
        <v>#N/A</v>
      </c>
      <c r="J11" s="15" t="e">
        <f ca="1">VLOOKUP(CONCATENATE(LEFT(J$7, 7), "age/sex", $B$8, " ", $C11), [0]!data_range, 5, FALSE)</f>
        <v>#N/A</v>
      </c>
      <c r="K11" s="15" t="e">
        <f ca="1">VLOOKUP(CONCATENATE(LEFT(K$7, 7), "age/sex", $B$8, " ", $C11), [0]!data_range, 5, FALSE)</f>
        <v>#N/A</v>
      </c>
      <c r="L11" s="15" t="e">
        <f ca="1">VLOOKUP(CONCATENATE(LEFT(L$7, 7), "age/sex", $B$8, " ", $C11), [0]!data_range, 5, FALSE)</f>
        <v>#N/A</v>
      </c>
    </row>
    <row r="12" spans="2:12" ht="18.75" customHeight="1" x14ac:dyDescent="0.2">
      <c r="C12" s="41" t="s">
        <v>199</v>
      </c>
      <c r="D12" s="15" t="e">
        <f ca="1">VLOOKUP(CONCATENATE(LEFT(D$7, 7), "age/sex", $B$8, " ", $C12), [0]!data_range, 5, FALSE)</f>
        <v>#N/A</v>
      </c>
      <c r="E12" s="15" t="e">
        <f ca="1">VLOOKUP(CONCATENATE(LEFT(E$7, 7), "age/sex", $B$8, " ", $C12), [0]!data_range, 5, FALSE)</f>
        <v>#N/A</v>
      </c>
      <c r="F12" s="15" t="e">
        <f ca="1">VLOOKUP(CONCATENATE(LEFT(F$7, 7), "age/sex", $B$8, " ", $C12), [0]!data_range, 5, FALSE)</f>
        <v>#N/A</v>
      </c>
      <c r="G12" s="15" t="e">
        <f ca="1">VLOOKUP(CONCATENATE(LEFT(G$7, 7), "age/sex", $B$8, " ", $C12), [0]!data_range, 5, FALSE)</f>
        <v>#N/A</v>
      </c>
      <c r="H12" s="15" t="e">
        <f ca="1">VLOOKUP(CONCATENATE(LEFT(H$7, 7), "age/sex", $B$8, " ", $C12), [0]!data_range, 5, FALSE)</f>
        <v>#N/A</v>
      </c>
      <c r="I12" s="15" t="e">
        <f ca="1">VLOOKUP(CONCATENATE(LEFT(I$7, 7), "age/sex", $B$8, " ", $C12), [0]!data_range, 5, FALSE)</f>
        <v>#N/A</v>
      </c>
      <c r="J12" s="15" t="e">
        <f ca="1">VLOOKUP(CONCATENATE(LEFT(J$7, 7), "age/sex", $B$8, " ", $C12), [0]!data_range, 5, FALSE)</f>
        <v>#N/A</v>
      </c>
      <c r="K12" s="15" t="e">
        <f ca="1">VLOOKUP(CONCATENATE(LEFT(K$7, 7), "age/sex", $B$8, " ", $C12), [0]!data_range, 5, FALSE)</f>
        <v>#N/A</v>
      </c>
      <c r="L12" s="15" t="e">
        <f ca="1">VLOOKUP(CONCATENATE(LEFT(L$7, 7), "age/sex", $B$8, " ", $C12), [0]!data_range, 5, FALSE)</f>
        <v>#N/A</v>
      </c>
    </row>
    <row r="13" spans="2:12" ht="18.75" customHeight="1" x14ac:dyDescent="0.2">
      <c r="C13" s="3" t="s">
        <v>130</v>
      </c>
      <c r="D13" s="15" t="e">
        <f ca="1">VLOOKUP(CONCATENATE(LEFT(D$7, 7), "age/sex", $B$8, " ", $C13), [0]!data_range, 5, FALSE)</f>
        <v>#N/A</v>
      </c>
      <c r="E13" s="15" t="e">
        <f ca="1">VLOOKUP(CONCATENATE(LEFT(E$7, 7), "age/sex", $B$8, " ", $C13), [0]!data_range, 5, FALSE)</f>
        <v>#N/A</v>
      </c>
      <c r="F13" s="15" t="e">
        <f ca="1">VLOOKUP(CONCATENATE(LEFT(F$7, 7), "age/sex", $B$8, " ", $C13), [0]!data_range, 5, FALSE)</f>
        <v>#N/A</v>
      </c>
      <c r="G13" s="15" t="e">
        <f ca="1">VLOOKUP(CONCATENATE(LEFT(G$7, 7), "age/sex", $B$8, " ", $C13), [0]!data_range, 5, FALSE)</f>
        <v>#N/A</v>
      </c>
      <c r="H13" s="15" t="e">
        <f ca="1">VLOOKUP(CONCATENATE(LEFT(H$7, 7), "age/sex", $B$8, " ", $C13), [0]!data_range, 5, FALSE)</f>
        <v>#N/A</v>
      </c>
      <c r="I13" s="15" t="e">
        <f ca="1">VLOOKUP(CONCATENATE(LEFT(I$7, 7), "age/sex", $B$8, " ", $C13), [0]!data_range, 5, FALSE)</f>
        <v>#N/A</v>
      </c>
      <c r="J13" s="15" t="e">
        <f ca="1">VLOOKUP(CONCATENATE(LEFT(J$7, 7), "age/sex", $B$8, " ", $C13), [0]!data_range, 5, FALSE)</f>
        <v>#N/A</v>
      </c>
      <c r="K13" s="15" t="e">
        <f ca="1">VLOOKUP(CONCATENATE(LEFT(K$7, 7), "age/sex", $B$8, " ", $C13), [0]!data_range, 5, FALSE)</f>
        <v>#N/A</v>
      </c>
      <c r="L13" s="15" t="e">
        <f ca="1">VLOOKUP(CONCATENATE(LEFT(L$7, 7), "age/sex", $B$8, " ", $C13), [0]!data_range, 5, FALSE)</f>
        <v>#N/A</v>
      </c>
    </row>
    <row r="14" spans="2:12" ht="18.75" customHeight="1" x14ac:dyDescent="0.2">
      <c r="B14" s="9" t="s">
        <v>128</v>
      </c>
      <c r="C14" s="3" t="s">
        <v>122</v>
      </c>
      <c r="D14" s="15" t="e">
        <f ca="1">VLOOKUP(CONCATENATE(LEFT(D$7, 7), "age/sex", $B$8, " ", $C14), [0]!data_range, 5, FALSE)</f>
        <v>#N/A</v>
      </c>
      <c r="E14" s="15" t="e">
        <f ca="1">VLOOKUP(CONCATENATE(LEFT(E$7, 7), "age/sex", $B$8, " ", $C14), [0]!data_range, 5, FALSE)</f>
        <v>#N/A</v>
      </c>
      <c r="F14" s="15" t="e">
        <f ca="1">VLOOKUP(CONCATENATE(LEFT(F$7, 7), "age/sex", $B$8, " ", $C14), [0]!data_range, 5, FALSE)</f>
        <v>#N/A</v>
      </c>
      <c r="G14" s="15" t="e">
        <f ca="1">VLOOKUP(CONCATENATE(LEFT(G$7, 7), "age/sex", $B$8, " ", $C14), [0]!data_range, 5, FALSE)</f>
        <v>#N/A</v>
      </c>
      <c r="H14" s="15" t="e">
        <f ca="1">VLOOKUP(CONCATENATE(LEFT(H$7, 7), "age/sex", $B$8, " ", $C14), [0]!data_range, 5, FALSE)</f>
        <v>#N/A</v>
      </c>
      <c r="I14" s="15" t="e">
        <f ca="1">VLOOKUP(CONCATENATE(LEFT(I$7, 7), "age/sex", $B$8, " ", $C14), [0]!data_range, 5, FALSE)</f>
        <v>#N/A</v>
      </c>
      <c r="J14" s="15" t="e">
        <f ca="1">VLOOKUP(CONCATENATE(LEFT(J$7, 7), "age/sex", $B$8, " ", $C14), [0]!data_range, 5, FALSE)</f>
        <v>#N/A</v>
      </c>
      <c r="K14" s="15" t="e">
        <f ca="1">VLOOKUP(CONCATENATE(LEFT(K$7, 7), "age/sex", $B$8, " ", $C14), [0]!data_range, 5, FALSE)</f>
        <v>#N/A</v>
      </c>
      <c r="L14" s="15" t="e">
        <f ca="1">VLOOKUP(CONCATENATE(LEFT(L$7, 7), "age/sex", $B$8, " ", $C14), [0]!data_range, 5, FALSE)</f>
        <v>#N/A</v>
      </c>
    </row>
    <row r="15" spans="2:12" ht="18.75" customHeight="1" x14ac:dyDescent="0.2">
      <c r="C15" s="41" t="s">
        <v>199</v>
      </c>
      <c r="D15" s="15" t="e">
        <f ca="1">VLOOKUP(CONCATENATE(LEFT(D$7, 7), "age/sex", $B$8, " ", $C15), [0]!data_range, 5, FALSE)</f>
        <v>#N/A</v>
      </c>
      <c r="E15" s="15" t="e">
        <f ca="1">VLOOKUP(CONCATENATE(LEFT(E$7, 7), "age/sex", $B$8, " ", $C15), [0]!data_range, 5, FALSE)</f>
        <v>#N/A</v>
      </c>
      <c r="F15" s="15" t="e">
        <f ca="1">VLOOKUP(CONCATENATE(LEFT(F$7, 7), "age/sex", $B$8, " ", $C15), [0]!data_range, 5, FALSE)</f>
        <v>#N/A</v>
      </c>
      <c r="G15" s="15" t="e">
        <f ca="1">VLOOKUP(CONCATENATE(LEFT(G$7, 7), "age/sex", $B$8, " ", $C15), [0]!data_range, 5, FALSE)</f>
        <v>#N/A</v>
      </c>
      <c r="H15" s="15" t="e">
        <f ca="1">VLOOKUP(CONCATENATE(LEFT(H$7, 7), "age/sex", $B$8, " ", $C15), [0]!data_range, 5, FALSE)</f>
        <v>#N/A</v>
      </c>
      <c r="I15" s="15" t="e">
        <f ca="1">VLOOKUP(CONCATENATE(LEFT(I$7, 7), "age/sex", $B$8, " ", $C15), [0]!data_range, 5, FALSE)</f>
        <v>#N/A</v>
      </c>
      <c r="J15" s="15" t="e">
        <f ca="1">VLOOKUP(CONCATENATE(LEFT(J$7, 7), "age/sex", $B$8, " ", $C15), [0]!data_range, 5, FALSE)</f>
        <v>#N/A</v>
      </c>
      <c r="K15" s="15" t="e">
        <f ca="1">VLOOKUP(CONCATENATE(LEFT(K$7, 7), "age/sex", $B$8, " ", $C15), [0]!data_range, 5, FALSE)</f>
        <v>#N/A</v>
      </c>
      <c r="L15" s="15" t="e">
        <f ca="1">VLOOKUP(CONCATENATE(LEFT(L$7, 7), "age/sex", $B$8, " ", $C15), [0]!data_range, 5, FALSE)</f>
        <v>#N/A</v>
      </c>
    </row>
    <row r="16" spans="2:12" ht="18.75" customHeight="1" x14ac:dyDescent="0.2">
      <c r="C16" s="41" t="s">
        <v>130</v>
      </c>
      <c r="D16" s="15" t="e">
        <f ca="1">VLOOKUP(CONCATENATE(LEFT(D$7, 7), "age/sex", $B$8, " ", $C16), [0]!data_range, 5, FALSE)</f>
        <v>#N/A</v>
      </c>
      <c r="E16" s="15" t="e">
        <f ca="1">VLOOKUP(CONCATENATE(LEFT(E$7, 7), "age/sex", $B$8, " ", $C16), [0]!data_range, 5, FALSE)</f>
        <v>#N/A</v>
      </c>
      <c r="F16" s="15" t="e">
        <f ca="1">VLOOKUP(CONCATENATE(LEFT(F$7, 7), "age/sex", $B$8, " ", $C16), [0]!data_range, 5, FALSE)</f>
        <v>#N/A</v>
      </c>
      <c r="G16" s="15" t="e">
        <f ca="1">VLOOKUP(CONCATENATE(LEFT(G$7, 7), "age/sex", $B$8, " ", $C16), [0]!data_range, 5, FALSE)</f>
        <v>#N/A</v>
      </c>
      <c r="H16" s="15" t="e">
        <f ca="1">VLOOKUP(CONCATENATE(LEFT(H$7, 7), "age/sex", $B$8, " ", $C16), [0]!data_range, 5, FALSE)</f>
        <v>#N/A</v>
      </c>
      <c r="I16" s="15" t="e">
        <f ca="1">VLOOKUP(CONCATENATE(LEFT(I$7, 7), "age/sex", $B$8, " ", $C16), [0]!data_range, 5, FALSE)</f>
        <v>#N/A</v>
      </c>
      <c r="J16" s="15" t="e">
        <f ca="1">VLOOKUP(CONCATENATE(LEFT(J$7, 7), "age/sex", $B$8, " ", $C16), [0]!data_range, 5, FALSE)</f>
        <v>#N/A</v>
      </c>
      <c r="K16" s="15" t="e">
        <f ca="1">VLOOKUP(CONCATENATE(LEFT(K$7, 7), "age/sex", $B$8, " ", $C16), [0]!data_range, 5, FALSE)</f>
        <v>#N/A</v>
      </c>
      <c r="L16" s="15" t="e">
        <f ca="1">VLOOKUP(CONCATENATE(LEFT(L$7, 7), "age/sex", $B$8, " ", $C16), [0]!data_range, 5, FALSE)</f>
        <v>#N/A</v>
      </c>
    </row>
    <row r="17" spans="2:12" ht="18.75" customHeight="1" x14ac:dyDescent="0.2">
      <c r="B17" s="9" t="s">
        <v>132</v>
      </c>
      <c r="C17" s="3" t="s">
        <v>122</v>
      </c>
      <c r="D17" s="15" t="e">
        <f ca="1">VLOOKUP(CONCATENATE(LEFT(D$7, 7), "age/sex", $B$8, " ", $C17), [0]!data_range, 5, FALSE)</f>
        <v>#N/A</v>
      </c>
      <c r="E17" s="15" t="e">
        <f ca="1">VLOOKUP(CONCATENATE(LEFT(E$7, 7), "age/sex", $B$8, " ", $C17), [0]!data_range, 5, FALSE)</f>
        <v>#N/A</v>
      </c>
      <c r="F17" s="15" t="e">
        <f ca="1">VLOOKUP(CONCATENATE(LEFT(F$7, 7), "age/sex", $B$8, " ", $C17), [0]!data_range, 5, FALSE)</f>
        <v>#N/A</v>
      </c>
      <c r="G17" s="15" t="e">
        <f ca="1">VLOOKUP(CONCATENATE(LEFT(G$7, 7), "age/sex", $B$8, " ", $C17), [0]!data_range, 5, FALSE)</f>
        <v>#N/A</v>
      </c>
      <c r="H17" s="15" t="e">
        <f ca="1">VLOOKUP(CONCATENATE(LEFT(H$7, 7), "age/sex", $B$8, " ", $C17), [0]!data_range, 5, FALSE)</f>
        <v>#N/A</v>
      </c>
      <c r="I17" s="15" t="e">
        <f ca="1">VLOOKUP(CONCATENATE(LEFT(I$7, 7), "age/sex", $B$8, " ", $C17), [0]!data_range, 5, FALSE)</f>
        <v>#N/A</v>
      </c>
      <c r="J17" s="15" t="e">
        <f ca="1">VLOOKUP(CONCATENATE(LEFT(J$7, 7), "age/sex", $B$8, " ", $C17), [0]!data_range, 5, FALSE)</f>
        <v>#N/A</v>
      </c>
      <c r="K17" s="15" t="e">
        <f ca="1">VLOOKUP(CONCATENATE(LEFT(K$7, 7), "age/sex", $B$8, " ", $C17), [0]!data_range, 5, FALSE)</f>
        <v>#N/A</v>
      </c>
      <c r="L17" s="15" t="e">
        <f ca="1">VLOOKUP(CONCATENATE(LEFT(L$7, 7), "age/sex", $B$8, " ", $C17), [0]!data_range, 5, FALSE)</f>
        <v>#N/A</v>
      </c>
    </row>
    <row r="18" spans="2:12" ht="18.75" customHeight="1" x14ac:dyDescent="0.2">
      <c r="C18" s="41" t="s">
        <v>199</v>
      </c>
      <c r="D18" s="15" t="e">
        <f ca="1">VLOOKUP(CONCATENATE(LEFT(D$7, 7), "age/sex", $B$8, " ", $C18), [0]!data_range, 5, FALSE)</f>
        <v>#N/A</v>
      </c>
      <c r="E18" s="15" t="e">
        <f ca="1">VLOOKUP(CONCATENATE(LEFT(E$7, 7), "age/sex", $B$8, " ", $C18), [0]!data_range, 5, FALSE)</f>
        <v>#N/A</v>
      </c>
      <c r="F18" s="15" t="e">
        <f ca="1">VLOOKUP(CONCATENATE(LEFT(F$7, 7), "age/sex", $B$8, " ", $C18), [0]!data_range, 5, FALSE)</f>
        <v>#N/A</v>
      </c>
      <c r="G18" s="15" t="e">
        <f ca="1">VLOOKUP(CONCATENATE(LEFT(G$7, 7), "age/sex", $B$8, " ", $C18), [0]!data_range, 5, FALSE)</f>
        <v>#N/A</v>
      </c>
      <c r="H18" s="15" t="e">
        <f ca="1">VLOOKUP(CONCATENATE(LEFT(H$7, 7), "age/sex", $B$8, " ", $C18), [0]!data_range, 5, FALSE)</f>
        <v>#N/A</v>
      </c>
      <c r="I18" s="15" t="e">
        <f ca="1">VLOOKUP(CONCATENATE(LEFT(I$7, 7), "age/sex", $B$8, " ", $C18), [0]!data_range, 5, FALSE)</f>
        <v>#N/A</v>
      </c>
      <c r="J18" s="15" t="e">
        <f ca="1">VLOOKUP(CONCATENATE(LEFT(J$7, 7), "age/sex", $B$8, " ", $C18), [0]!data_range, 5, FALSE)</f>
        <v>#N/A</v>
      </c>
      <c r="K18" s="15" t="e">
        <f ca="1">VLOOKUP(CONCATENATE(LEFT(K$7, 7), "age/sex", $B$8, " ", $C18), [0]!data_range, 5, FALSE)</f>
        <v>#N/A</v>
      </c>
      <c r="L18" s="15" t="e">
        <f ca="1">VLOOKUP(CONCATENATE(LEFT(L$7, 7), "age/sex", $B$8, " ", $C18), [0]!data_range, 5, FALSE)</f>
        <v>#N/A</v>
      </c>
    </row>
    <row r="19" spans="2:12" ht="18.75" customHeight="1" x14ac:dyDescent="0.2">
      <c r="C19" s="3" t="s">
        <v>130</v>
      </c>
      <c r="D19" s="15" t="e">
        <f ca="1">VLOOKUP(CONCATENATE(LEFT(D$7, 7), "age/sex", $B$8, " ", $C19), [0]!data_range, 5, FALSE)</f>
        <v>#N/A</v>
      </c>
      <c r="E19" s="15" t="e">
        <f ca="1">VLOOKUP(CONCATENATE(LEFT(E$7, 7), "age/sex", $B$8, " ", $C19), [0]!data_range, 5, FALSE)</f>
        <v>#N/A</v>
      </c>
      <c r="F19" s="15" t="e">
        <f ca="1">VLOOKUP(CONCATENATE(LEFT(F$7, 7), "age/sex", $B$8, " ", $C19), [0]!data_range, 5, FALSE)</f>
        <v>#N/A</v>
      </c>
      <c r="G19" s="15" t="e">
        <f ca="1">VLOOKUP(CONCATENATE(LEFT(G$7, 7), "age/sex", $B$8, " ", $C19), [0]!data_range, 5, FALSE)</f>
        <v>#N/A</v>
      </c>
      <c r="H19" s="15" t="e">
        <f ca="1">VLOOKUP(CONCATENATE(LEFT(H$7, 7), "age/sex", $B$8, " ", $C19), [0]!data_range, 5, FALSE)</f>
        <v>#N/A</v>
      </c>
      <c r="I19" s="15" t="e">
        <f ca="1">VLOOKUP(CONCATENATE(LEFT(I$7, 7), "age/sex", $B$8, " ", $C19), [0]!data_range, 5, FALSE)</f>
        <v>#N/A</v>
      </c>
      <c r="J19" s="15" t="e">
        <f ca="1">VLOOKUP(CONCATENATE(LEFT(J$7, 7), "age/sex", $B$8, " ", $C19), [0]!data_range, 5, FALSE)</f>
        <v>#N/A</v>
      </c>
      <c r="K19" s="15" t="e">
        <f ca="1">VLOOKUP(CONCATENATE(LEFT(K$7, 7), "age/sex", $B$8, " ", $C19), [0]!data_range, 5, FALSE)</f>
        <v>#N/A</v>
      </c>
      <c r="L19" s="15" t="e">
        <f ca="1">VLOOKUP(CONCATENATE(LEFT(L$7, 7), "age/sex", $B$8, " ", $C19), [0]!data_range, 5, FALSE)</f>
        <v>#N/A</v>
      </c>
    </row>
    <row r="20" spans="2:12" ht="18.75" customHeight="1" x14ac:dyDescent="0.2">
      <c r="B20" s="9" t="s">
        <v>133</v>
      </c>
      <c r="C20" s="3" t="s">
        <v>122</v>
      </c>
      <c r="D20" s="15" t="e">
        <f ca="1">VLOOKUP(CONCATENATE(LEFT(D$7, 7), "age/sex", $B$8, " ", $C20), [0]!data_range, 5, FALSE)</f>
        <v>#N/A</v>
      </c>
      <c r="E20" s="15" t="e">
        <f ca="1">VLOOKUP(CONCATENATE(LEFT(E$7, 7), "age/sex", $B$8, " ", $C20), [0]!data_range, 5, FALSE)</f>
        <v>#N/A</v>
      </c>
      <c r="F20" s="15" t="e">
        <f ca="1">VLOOKUP(CONCATENATE(LEFT(F$7, 7), "age/sex", $B$8, " ", $C20), [0]!data_range, 5, FALSE)</f>
        <v>#N/A</v>
      </c>
      <c r="G20" s="15" t="e">
        <f ca="1">VLOOKUP(CONCATENATE(LEFT(G$7, 7), "age/sex", $B$8, " ", $C20), [0]!data_range, 5, FALSE)</f>
        <v>#N/A</v>
      </c>
      <c r="H20" s="15" t="e">
        <f ca="1">VLOOKUP(CONCATENATE(LEFT(H$7, 7), "age/sex", $B$8, " ", $C20), [0]!data_range, 5, FALSE)</f>
        <v>#N/A</v>
      </c>
      <c r="I20" s="15" t="e">
        <f ca="1">VLOOKUP(CONCATENATE(LEFT(I$7, 7), "age/sex", $B$8, " ", $C20), [0]!data_range, 5, FALSE)</f>
        <v>#N/A</v>
      </c>
      <c r="J20" s="15" t="e">
        <f ca="1">VLOOKUP(CONCATENATE(LEFT(J$7, 7), "age/sex", $B$8, " ", $C20), [0]!data_range, 5, FALSE)</f>
        <v>#N/A</v>
      </c>
      <c r="K20" s="15" t="e">
        <f ca="1">VLOOKUP(CONCATENATE(LEFT(K$7, 7), "age/sex", $B$8, " ", $C20), [0]!data_range, 5, FALSE)</f>
        <v>#N/A</v>
      </c>
      <c r="L20" s="15" t="e">
        <f ca="1">VLOOKUP(CONCATENATE(LEFT(L$7, 7), "age/sex", $B$8, " ", $C20), [0]!data_range, 5, FALSE)</f>
        <v>#N/A</v>
      </c>
    </row>
    <row r="21" spans="2:12" ht="18.75" customHeight="1" x14ac:dyDescent="0.2">
      <c r="C21" s="41" t="s">
        <v>199</v>
      </c>
      <c r="D21" s="15" t="e">
        <f ca="1">VLOOKUP(CONCATENATE(LEFT(D$7, 7), "age/sex", $B$8, " ", $C21), [0]!data_range, 5, FALSE)</f>
        <v>#N/A</v>
      </c>
      <c r="E21" s="15" t="e">
        <f ca="1">VLOOKUP(CONCATENATE(LEFT(E$7, 7), "age/sex", $B$8, " ", $C21), [0]!data_range, 5, FALSE)</f>
        <v>#N/A</v>
      </c>
      <c r="F21" s="15" t="e">
        <f ca="1">VLOOKUP(CONCATENATE(LEFT(F$7, 7), "age/sex", $B$8, " ", $C21), [0]!data_range, 5, FALSE)</f>
        <v>#N/A</v>
      </c>
      <c r="G21" s="15" t="e">
        <f ca="1">VLOOKUP(CONCATENATE(LEFT(G$7, 7), "age/sex", $B$8, " ", $C21), [0]!data_range, 5, FALSE)</f>
        <v>#N/A</v>
      </c>
      <c r="H21" s="15" t="e">
        <f ca="1">VLOOKUP(CONCATENATE(LEFT(H$7, 7), "age/sex", $B$8, " ", $C21), [0]!data_range, 5, FALSE)</f>
        <v>#N/A</v>
      </c>
      <c r="I21" s="15" t="e">
        <f ca="1">VLOOKUP(CONCATENATE(LEFT(I$7, 7), "age/sex", $B$8, " ", $C21), [0]!data_range, 5, FALSE)</f>
        <v>#N/A</v>
      </c>
      <c r="J21" s="15" t="e">
        <f ca="1">VLOOKUP(CONCATENATE(LEFT(J$7, 7), "age/sex", $B$8, " ", $C21), [0]!data_range, 5, FALSE)</f>
        <v>#N/A</v>
      </c>
      <c r="K21" s="15" t="e">
        <f ca="1">VLOOKUP(CONCATENATE(LEFT(K$7, 7), "age/sex", $B$8, " ", $C21), [0]!data_range, 5, FALSE)</f>
        <v>#N/A</v>
      </c>
      <c r="L21" s="15" t="e">
        <f ca="1">VLOOKUP(CONCATENATE(LEFT(L$7, 7), "age/sex", $B$8, " ", $C21), [0]!data_range, 5, FALSE)</f>
        <v>#N/A</v>
      </c>
    </row>
    <row r="22" spans="2:12" ht="18.75" customHeight="1" x14ac:dyDescent="0.2">
      <c r="C22" s="3" t="s">
        <v>130</v>
      </c>
      <c r="D22" s="15" t="e">
        <f ca="1">VLOOKUP(CONCATENATE(LEFT(D$7, 7), "age/sex", $B$8, " ", $C22), [0]!data_range, 5, FALSE)</f>
        <v>#N/A</v>
      </c>
      <c r="E22" s="15" t="e">
        <f ca="1">VLOOKUP(CONCATENATE(LEFT(E$7, 7), "age/sex", $B$8, " ", $C22), [0]!data_range, 5, FALSE)</f>
        <v>#N/A</v>
      </c>
      <c r="F22" s="15" t="e">
        <f ca="1">VLOOKUP(CONCATENATE(LEFT(F$7, 7), "age/sex", $B$8, " ", $C22), [0]!data_range, 5, FALSE)</f>
        <v>#N/A</v>
      </c>
      <c r="G22" s="15" t="e">
        <f ca="1">VLOOKUP(CONCATENATE(LEFT(G$7, 7), "age/sex", $B$8, " ", $C22), [0]!data_range, 5, FALSE)</f>
        <v>#N/A</v>
      </c>
      <c r="H22" s="15" t="e">
        <f ca="1">VLOOKUP(CONCATENATE(LEFT(H$7, 7), "age/sex", $B$8, " ", $C22), [0]!data_range, 5, FALSE)</f>
        <v>#N/A</v>
      </c>
      <c r="I22" s="15" t="e">
        <f ca="1">VLOOKUP(CONCATENATE(LEFT(I$7, 7), "age/sex", $B$8, " ", $C22), [0]!data_range, 5, FALSE)</f>
        <v>#N/A</v>
      </c>
      <c r="J22" s="15" t="e">
        <f ca="1">VLOOKUP(CONCATENATE(LEFT(J$7, 7), "age/sex", $B$8, " ", $C22), [0]!data_range, 5, FALSE)</f>
        <v>#N/A</v>
      </c>
      <c r="K22" s="15" t="e">
        <f ca="1">VLOOKUP(CONCATENATE(LEFT(K$7, 7), "age/sex", $B$8, " ", $C22), [0]!data_range, 5, FALSE)</f>
        <v>#N/A</v>
      </c>
      <c r="L22" s="15" t="e">
        <f ca="1">VLOOKUP(CONCATENATE(LEFT(L$7, 7), "age/sex", $B$8, " ", $C22), [0]!data_range, 5, FALSE)</f>
        <v>#N/A</v>
      </c>
    </row>
    <row r="23" spans="2:12" ht="18.75" customHeight="1" x14ac:dyDescent="0.2">
      <c r="B23" s="3" t="s">
        <v>134</v>
      </c>
      <c r="C23" s="9" t="s">
        <v>122</v>
      </c>
      <c r="D23" s="15" t="e">
        <f ca="1">VLOOKUP(CONCATENATE(LEFT(D$7, 7), "age/sex", $B$8, " ", $C23), [0]!data_range, 5, FALSE)</f>
        <v>#N/A</v>
      </c>
      <c r="E23" s="15" t="e">
        <f ca="1">VLOOKUP(CONCATENATE(LEFT(E$7, 7), "age/sex", $B$8, " ", $C23), [0]!data_range, 5, FALSE)</f>
        <v>#N/A</v>
      </c>
      <c r="F23" s="15" t="e">
        <f ca="1">VLOOKUP(CONCATENATE(LEFT(F$7, 7), "age/sex", $B$8, " ", $C23), [0]!data_range, 5, FALSE)</f>
        <v>#N/A</v>
      </c>
      <c r="G23" s="15" t="e">
        <f ca="1">VLOOKUP(CONCATENATE(LEFT(G$7, 7), "age/sex", $B$8, " ", $C23), [0]!data_range, 5, FALSE)</f>
        <v>#N/A</v>
      </c>
      <c r="H23" s="15" t="e">
        <f ca="1">VLOOKUP(CONCATENATE(LEFT(H$7, 7), "age/sex", $B$8, " ", $C23), [0]!data_range, 5, FALSE)</f>
        <v>#N/A</v>
      </c>
      <c r="I23" s="15" t="e">
        <f ca="1">VLOOKUP(CONCATENATE(LEFT(I$7, 7), "age/sex", $B$8, " ", $C23), [0]!data_range, 5, FALSE)</f>
        <v>#N/A</v>
      </c>
      <c r="J23" s="15" t="e">
        <f ca="1">VLOOKUP(CONCATENATE(LEFT(J$7, 7), "age/sex", $B$8, " ", $C23), [0]!data_range, 5, FALSE)</f>
        <v>#N/A</v>
      </c>
      <c r="K23" s="15" t="e">
        <f ca="1">VLOOKUP(CONCATENATE(LEFT(K$7, 7), "age/sex", $B$8, " ", $C23), [0]!data_range, 5, FALSE)</f>
        <v>#N/A</v>
      </c>
      <c r="L23" s="15" t="e">
        <f ca="1">VLOOKUP(CONCATENATE(LEFT(L$7, 7), "age/sex", $B$8, " ", $C23), [0]!data_range, 5, FALSE)</f>
        <v>#N/A</v>
      </c>
    </row>
    <row r="24" spans="2:12" ht="18.75" customHeight="1" x14ac:dyDescent="0.2">
      <c r="C24" s="26" t="s">
        <v>199</v>
      </c>
      <c r="D24" s="15" t="e">
        <f ca="1">VLOOKUP(CONCATENATE(LEFT(D$7, 7), "age/sex", $B$8, " ", $C24), [0]!data_range, 5, FALSE)</f>
        <v>#N/A</v>
      </c>
      <c r="E24" s="15" t="e">
        <f ca="1">VLOOKUP(CONCATENATE(LEFT(E$7, 7), "age/sex", $B$8, " ", $C24), [0]!data_range, 5, FALSE)</f>
        <v>#N/A</v>
      </c>
      <c r="F24" s="15" t="e">
        <f ca="1">VLOOKUP(CONCATENATE(LEFT(F$7, 7), "age/sex", $B$8, " ", $C24), [0]!data_range, 5, FALSE)</f>
        <v>#N/A</v>
      </c>
      <c r="G24" s="15" t="e">
        <f ca="1">VLOOKUP(CONCATENATE(LEFT(G$7, 7), "age/sex", $B$8, " ", $C24), [0]!data_range, 5, FALSE)</f>
        <v>#N/A</v>
      </c>
      <c r="H24" s="15" t="e">
        <f ca="1">VLOOKUP(CONCATENATE(LEFT(H$7, 7), "age/sex", $B$8, " ", $C24), [0]!data_range, 5, FALSE)</f>
        <v>#N/A</v>
      </c>
      <c r="I24" s="15" t="e">
        <f ca="1">VLOOKUP(CONCATENATE(LEFT(I$7, 7), "age/sex", $B$8, " ", $C24), [0]!data_range, 5, FALSE)</f>
        <v>#N/A</v>
      </c>
      <c r="J24" s="15" t="e">
        <f ca="1">VLOOKUP(CONCATENATE(LEFT(J$7, 7), "age/sex", $B$8, " ", $C24), [0]!data_range, 5, FALSE)</f>
        <v>#N/A</v>
      </c>
      <c r="K24" s="15" t="e">
        <f ca="1">VLOOKUP(CONCATENATE(LEFT(K$7, 7), "age/sex", $B$8, " ", $C24), [0]!data_range, 5, FALSE)</f>
        <v>#N/A</v>
      </c>
      <c r="L24" s="15" t="e">
        <f ca="1">VLOOKUP(CONCATENATE(LEFT(L$7, 7), "age/sex", $B$8, " ", $C24), [0]!data_range, 5, FALSE)</f>
        <v>#N/A</v>
      </c>
    </row>
    <row r="25" spans="2:12" ht="18.75" customHeight="1" x14ac:dyDescent="0.2">
      <c r="B25" s="72"/>
      <c r="C25" s="72" t="s">
        <v>130</v>
      </c>
      <c r="D25" s="16" t="e">
        <f ca="1">VLOOKUP(CONCATENATE(LEFT(D$7, 7), "age/sex", $B$8, " ", $C25), [0]!data_range, 5, FALSE)</f>
        <v>#N/A</v>
      </c>
      <c r="E25" s="16" t="e">
        <f ca="1">VLOOKUP(CONCATENATE(LEFT(E$7, 7), "age/sex", $B$8, " ", $C25), [0]!data_range, 5, FALSE)</f>
        <v>#N/A</v>
      </c>
      <c r="F25" s="16" t="e">
        <f ca="1">VLOOKUP(CONCATENATE(LEFT(F$7, 7), "age/sex", $B$8, " ", $C25), [0]!data_range, 5, FALSE)</f>
        <v>#N/A</v>
      </c>
      <c r="G25" s="16" t="e">
        <f ca="1">VLOOKUP(CONCATENATE(LEFT(G$7, 7), "age/sex", $B$8, " ", $C25), [0]!data_range, 5, FALSE)</f>
        <v>#N/A</v>
      </c>
      <c r="H25" s="16" t="e">
        <f ca="1">VLOOKUP(CONCATENATE(LEFT(H$7, 7), "age/sex", $B$8, " ", $C25), [0]!data_range, 5, FALSE)</f>
        <v>#N/A</v>
      </c>
      <c r="I25" s="16" t="e">
        <f ca="1">VLOOKUP(CONCATENATE(LEFT(I$7, 7), "age/sex", $B$8, " ", $C25), [0]!data_range, 5, FALSE)</f>
        <v>#N/A</v>
      </c>
      <c r="J25" s="16" t="e">
        <f ca="1">VLOOKUP(CONCATENATE(LEFT(J$7, 7), "age/sex", $B$8, " ", $C25), [0]!data_range, 5, FALSE)</f>
        <v>#N/A</v>
      </c>
      <c r="K25" s="16" t="e">
        <f ca="1">VLOOKUP(CONCATENATE(LEFT(K$7, 7), "age/sex", $B$8, " ", $C25), [0]!data_range, 5, FALSE)</f>
        <v>#N/A</v>
      </c>
      <c r="L25" s="16" t="e">
        <f ca="1">VLOOKUP(CONCATENATE(LEFT(L$7, 7), "age/sex", $B$8, " ", $C25), [0]!data_range, 5, FALSE)</f>
        <v>#N/A</v>
      </c>
    </row>
    <row r="26" spans="2:12" x14ac:dyDescent="0.2">
      <c r="I26" s="9"/>
      <c r="J26" s="23"/>
      <c r="K26" s="23"/>
      <c r="L26" s="23"/>
    </row>
    <row r="27" spans="2:12" x14ac:dyDescent="0.2">
      <c r="I27" s="9"/>
      <c r="J27" s="23"/>
      <c r="K27" s="23"/>
      <c r="L27" s="23"/>
    </row>
    <row r="28" spans="2:12" x14ac:dyDescent="0.2">
      <c r="I28" s="9"/>
      <c r="J28" s="23"/>
      <c r="K28" s="23"/>
      <c r="L28" s="23"/>
    </row>
    <row r="29" spans="2:12" x14ac:dyDescent="0.2">
      <c r="B29" s="19" t="s">
        <v>18</v>
      </c>
      <c r="I29" s="9"/>
      <c r="J29" s="23"/>
      <c r="K29" s="23"/>
      <c r="L29" s="23"/>
    </row>
    <row r="30" spans="2:12" x14ac:dyDescent="0.2">
      <c r="B30" s="19"/>
      <c r="I30" s="9"/>
      <c r="J30" s="23"/>
      <c r="K30" s="23"/>
      <c r="L30" s="23"/>
    </row>
    <row r="31" spans="2:12" ht="25.5" customHeight="1" x14ac:dyDescent="0.2">
      <c r="B31" s="92" t="s">
        <v>138</v>
      </c>
      <c r="C31" s="92"/>
      <c r="D31" s="92"/>
      <c r="E31" s="92"/>
      <c r="F31" s="92"/>
      <c r="G31" s="92"/>
      <c r="H31" s="92"/>
      <c r="J31" s="23"/>
      <c r="K31" s="23"/>
      <c r="L31" s="23"/>
    </row>
    <row r="32" spans="2:12" x14ac:dyDescent="0.2">
      <c r="B32" s="73"/>
      <c r="C32" s="73"/>
      <c r="D32" s="73"/>
      <c r="E32" s="73"/>
      <c r="F32" s="73"/>
      <c r="G32" s="73"/>
      <c r="H32" s="73"/>
      <c r="J32" s="23"/>
      <c r="K32" s="23"/>
      <c r="L32" s="23"/>
    </row>
    <row r="33" spans="2:8" x14ac:dyDescent="0.2">
      <c r="B33" s="21" t="s">
        <v>155</v>
      </c>
    </row>
    <row r="34" spans="2:8" x14ac:dyDescent="0.2">
      <c r="B34" s="21" t="s">
        <v>148</v>
      </c>
    </row>
    <row r="35" spans="2:8" x14ac:dyDescent="0.2">
      <c r="B35" s="21" t="e">
        <f ca="1">"    1. Data for " &amp; [0]!fy_max &amp;" are incomplete and will be revised in October 20" &amp; RIGHT([0]!fy_max, 2) &amp; " publication"</f>
        <v>#N/A</v>
      </c>
      <c r="D35" s="23"/>
      <c r="E35" s="23"/>
      <c r="F35" s="6"/>
      <c r="G35" s="6"/>
      <c r="H35" s="6"/>
    </row>
    <row r="36" spans="2:8" x14ac:dyDescent="0.2">
      <c r="D36" s="23"/>
      <c r="E36" s="23"/>
      <c r="F36" s="6"/>
      <c r="G36" s="6"/>
      <c r="H36" s="6"/>
    </row>
    <row r="37" spans="2:8" x14ac:dyDescent="0.2">
      <c r="D37" s="23"/>
      <c r="E37" s="23"/>
      <c r="F37" s="6"/>
      <c r="G37" s="6"/>
      <c r="H37" s="6"/>
    </row>
    <row r="38" spans="2:8" x14ac:dyDescent="0.2">
      <c r="D38" s="23"/>
      <c r="E38" s="23"/>
      <c r="F38" s="6"/>
      <c r="G38" s="6"/>
      <c r="H38" s="6"/>
    </row>
    <row r="39" spans="2:8" x14ac:dyDescent="0.2">
      <c r="D39" s="23"/>
      <c r="E39" s="23"/>
      <c r="F39" s="6"/>
      <c r="G39" s="6"/>
      <c r="H39" s="6"/>
    </row>
    <row r="40" spans="2:8" x14ac:dyDescent="0.2">
      <c r="D40" s="23"/>
      <c r="E40" s="23"/>
      <c r="F40" s="6"/>
      <c r="G40" s="6"/>
      <c r="H40" s="6"/>
    </row>
    <row r="41" spans="2:8" x14ac:dyDescent="0.2">
      <c r="D41" s="23"/>
      <c r="E41" s="23"/>
      <c r="F41" s="6"/>
      <c r="G41" s="6"/>
      <c r="H41" s="6"/>
    </row>
    <row r="42" spans="2:8" x14ac:dyDescent="0.2">
      <c r="D42" s="23"/>
      <c r="E42" s="23"/>
      <c r="F42" s="6"/>
      <c r="G42" s="6"/>
      <c r="H42" s="6"/>
    </row>
    <row r="43" spans="2:8" x14ac:dyDescent="0.2">
      <c r="D43" s="23"/>
      <c r="E43" s="23"/>
      <c r="F43" s="6"/>
      <c r="G43" s="6"/>
      <c r="H43" s="6"/>
    </row>
    <row r="44" spans="2:8" x14ac:dyDescent="0.2">
      <c r="D44" s="23"/>
      <c r="E44" s="23"/>
      <c r="F44" s="6"/>
      <c r="G44" s="6"/>
      <c r="H44" s="6"/>
    </row>
  </sheetData>
  <mergeCells count="2">
    <mergeCell ref="B31:H31"/>
    <mergeCell ref="B1:J1"/>
  </mergeCells>
  <phoneticPr fontId="5" type="noConversion"/>
  <hyperlinks>
    <hyperlink ref="B29"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41"/>
  <sheetViews>
    <sheetView showGridLines="0" topLeftCell="A6" zoomScaleNormal="100" workbookViewId="0"/>
  </sheetViews>
  <sheetFormatPr defaultRowHeight="12.75" x14ac:dyDescent="0.2"/>
  <cols>
    <col min="1" max="1" width="2.5703125" style="3" customWidth="1"/>
    <col min="2" max="2" width="40" style="3" customWidth="1"/>
    <col min="3" max="3" width="12.85546875" style="3" customWidth="1"/>
    <col min="4" max="11" width="11.5703125" style="3" customWidth="1"/>
    <col min="12" max="16384" width="9.140625" style="3"/>
  </cols>
  <sheetData>
    <row r="1" spans="2:18" ht="33" customHeight="1" x14ac:dyDescent="0.25">
      <c r="B1" s="89" t="str">
        <f>Notes!B1:O1</f>
        <v/>
      </c>
      <c r="C1" s="89"/>
      <c r="D1" s="89"/>
      <c r="E1" s="89"/>
      <c r="F1" s="89"/>
      <c r="G1" s="89"/>
      <c r="H1" s="89"/>
      <c r="I1" s="89"/>
    </row>
    <row r="2" spans="2:18" ht="15.75" x14ac:dyDescent="0.25">
      <c r="B2" s="4" t="s">
        <v>200</v>
      </c>
      <c r="J2" s="41"/>
      <c r="L2" s="6"/>
    </row>
    <row r="3" spans="2:18" ht="18.75" x14ac:dyDescent="0.25">
      <c r="B3" s="4" t="s">
        <v>160</v>
      </c>
      <c r="I3" s="23"/>
      <c r="J3" s="23"/>
      <c r="K3" s="23"/>
      <c r="L3" s="6"/>
    </row>
    <row r="4" spans="2:18" ht="15.75" x14ac:dyDescent="0.25">
      <c r="B4" s="4"/>
      <c r="I4" s="23"/>
      <c r="J4" s="23"/>
      <c r="K4" s="23"/>
      <c r="L4" s="6"/>
    </row>
    <row r="5" spans="2:18" x14ac:dyDescent="0.2">
      <c r="D5" s="10" t="s">
        <v>15</v>
      </c>
      <c r="H5" s="74"/>
      <c r="I5" s="23"/>
      <c r="J5" s="23"/>
      <c r="K5" s="23"/>
      <c r="L5" s="6"/>
    </row>
    <row r="6" spans="2:18" x14ac:dyDescent="0.2">
      <c r="I6" s="23"/>
      <c r="J6" s="23"/>
      <c r="K6" s="23"/>
      <c r="L6" s="8"/>
      <c r="M6" s="9"/>
      <c r="N6" s="9"/>
      <c r="O6" s="9"/>
      <c r="P6" s="9"/>
      <c r="Q6" s="9"/>
      <c r="R6" s="9"/>
    </row>
    <row r="7" spans="2:18" x14ac:dyDescent="0.2">
      <c r="B7" s="9"/>
      <c r="C7" s="75" t="e">
        <f t="array" aca="1" ref="C7" ca="1">INDEX(fy_range, MATCH(0, COUNTIF($B$7:B7, fy_range), 0))</f>
        <v>#N/A</v>
      </c>
      <c r="D7" s="75" t="e">
        <f t="array" aca="1" ref="D7" ca="1">INDEX(fy_range, MATCH(0, COUNTIF($B$7:C7, fy_range), 0))</f>
        <v>#N/A</v>
      </c>
      <c r="E7" s="75" t="e">
        <f t="array" aca="1" ref="E7" ca="1">INDEX(fy_range, MATCH(0, COUNTIF($B$7:D7, fy_range), 0))</f>
        <v>#N/A</v>
      </c>
      <c r="F7" s="75" t="e">
        <f t="array" aca="1" ref="F7" ca="1">INDEX(fy_range, MATCH(0, COUNTIF($B$7:E7, fy_range), 0))</f>
        <v>#N/A</v>
      </c>
      <c r="G7" s="75" t="e">
        <f t="array" aca="1" ref="G7" ca="1">INDEX(fy_range, MATCH(0, COUNTIF($B$7:F7, fy_range), 0))</f>
        <v>#N/A</v>
      </c>
      <c r="H7" s="75" t="e">
        <f t="array" aca="1" ref="H7" ca="1">INDEX(fy_range, MATCH(0, COUNTIF($B$7:G7, fy_range), 0))</f>
        <v>#N/A</v>
      </c>
      <c r="I7" s="75" t="e">
        <f t="array" aca="1" ref="I7" ca="1">INDEX(fy_range, MATCH(0, COUNTIF($B$7:H7, fy_range), 0))</f>
        <v>#N/A</v>
      </c>
      <c r="J7" s="75" t="e">
        <f t="array" aca="1" ref="J7" ca="1">INDEX(fy_range, MATCH(0, COUNTIF($B$7:I7, fy_range), 0))</f>
        <v>#N/A</v>
      </c>
      <c r="K7" s="75" t="e">
        <f t="array" aca="1" ref="K7" ca="1">INDEX(fy_range, MATCH(0, COUNTIF($B$7:J7, fy_range), 0))</f>
        <v>#N/A</v>
      </c>
      <c r="L7" s="9"/>
      <c r="M7" s="9"/>
      <c r="N7" s="9"/>
      <c r="O7" s="9"/>
      <c r="P7" s="9"/>
      <c r="Q7" s="9"/>
      <c r="R7" s="9"/>
    </row>
    <row r="8" spans="2:18" ht="14.25" x14ac:dyDescent="0.2">
      <c r="B8" s="65" t="s">
        <v>162</v>
      </c>
      <c r="C8" s="18" t="e">
        <f ca="1">IF(C$7 = [0]!fy_max, C$7 &amp; calculation!$B$4, C$7)</f>
        <v>#N/A</v>
      </c>
      <c r="D8" s="18" t="e">
        <f ca="1">IF(D$7 = [0]!fy_max, D$7 &amp; calculation!$B$4, D$7)</f>
        <v>#N/A</v>
      </c>
      <c r="E8" s="18" t="e">
        <f ca="1">IF(E$7 = [0]!fy_max, E$7 &amp; calculation!$B$4, E$7)</f>
        <v>#N/A</v>
      </c>
      <c r="F8" s="18" t="e">
        <f ca="1">IF(F$7 = [0]!fy_max, F$7 &amp; calculation!$B$4, F$7)</f>
        <v>#N/A</v>
      </c>
      <c r="G8" s="18" t="e">
        <f ca="1">IF(G$7 = [0]!fy_max, G$7 &amp; calculation!$B$4, G$7)</f>
        <v>#N/A</v>
      </c>
      <c r="H8" s="18" t="e">
        <f ca="1">IF(H$7 = [0]!fy_max, H$7 &amp; calculation!$B$4, H$7)</f>
        <v>#N/A</v>
      </c>
      <c r="I8" s="18" t="e">
        <f ca="1">IF(I$7 = [0]!fy_max, I$7 &amp; calculation!$B$4, I$7)</f>
        <v>#N/A</v>
      </c>
      <c r="J8" s="18" t="e">
        <f ca="1">IF(J$7 = [0]!fy_max, J$7 &amp; calculation!$B$4, J$7)</f>
        <v>#N/A</v>
      </c>
      <c r="K8" s="18" t="e">
        <f ca="1">IF(K$7 = [0]!fy_max, K$7 &amp; calculation!$B$4, K$7)</f>
        <v>#N/A</v>
      </c>
      <c r="L8" s="12"/>
      <c r="M8" s="12"/>
      <c r="N8" s="12"/>
      <c r="O8" s="12"/>
      <c r="P8" s="12"/>
      <c r="Q8" s="12"/>
      <c r="R8" s="12"/>
    </row>
    <row r="9" spans="2:18" ht="15" x14ac:dyDescent="0.25">
      <c r="B9" s="76" t="s">
        <v>186</v>
      </c>
      <c r="C9" s="15" t="e">
        <f ca="1">VLOOKUP(CONCATENATE(LEFT(C$8, 7), "simd quintile", $B9), [0]!data_range, 5, FALSE)</f>
        <v>#N/A</v>
      </c>
      <c r="D9" s="15" t="e">
        <f ca="1">VLOOKUP(CONCATENATE(LEFT(D$8, 7), "simd quintile", $B9), [0]!data_range, 5, FALSE)</f>
        <v>#N/A</v>
      </c>
      <c r="E9" s="15" t="e">
        <f ca="1">VLOOKUP(CONCATENATE(LEFT(E$8, 7), "simd quintile", $B9), [0]!data_range, 5, FALSE)</f>
        <v>#N/A</v>
      </c>
      <c r="F9" s="15" t="e">
        <f ca="1">VLOOKUP(CONCATENATE(LEFT(F$8, 7), "simd quintile", $B9), [0]!data_range, 5, FALSE)</f>
        <v>#N/A</v>
      </c>
      <c r="G9" s="15" t="e">
        <f ca="1">VLOOKUP(CONCATENATE(LEFT(G$8, 7), "simd quintile", $B9), [0]!data_range, 5, FALSE)</f>
        <v>#N/A</v>
      </c>
      <c r="H9" s="15" t="e">
        <f ca="1">VLOOKUP(CONCATENATE(LEFT(H$8, 7), "simd quintile", $B9), [0]!data_range, 5, FALSE)</f>
        <v>#N/A</v>
      </c>
      <c r="I9" s="15" t="e">
        <f ca="1">VLOOKUP(CONCATENATE(LEFT(I$8, 7), "simd quintile", $B9), [0]!data_range, 5, FALSE)</f>
        <v>#N/A</v>
      </c>
      <c r="J9" s="15" t="e">
        <f ca="1">VLOOKUP(CONCATENATE(LEFT(J$8, 7), "simd quintile", $B9), [0]!data_range, 5, FALSE)</f>
        <v>#N/A</v>
      </c>
      <c r="K9" s="15" t="e">
        <f ca="1">VLOOKUP(CONCATENATE(LEFT(K$8, 7), "simd quintile", $B9), [0]!data_range, 5, FALSE)</f>
        <v>#N/A</v>
      </c>
      <c r="L9" s="14"/>
      <c r="M9" s="14"/>
      <c r="N9" s="14"/>
      <c r="O9" s="14"/>
      <c r="P9" s="14"/>
      <c r="Q9" s="1"/>
      <c r="R9" s="1"/>
    </row>
    <row r="10" spans="2:18" ht="15" x14ac:dyDescent="0.25">
      <c r="B10" s="77">
        <v>2</v>
      </c>
      <c r="C10" s="15" t="e">
        <f ca="1">VLOOKUP(CONCATENATE(LEFT(C$8, 7), "simd quintile", $B10), [0]!data_range, 5, FALSE)</f>
        <v>#N/A</v>
      </c>
      <c r="D10" s="15" t="e">
        <f ca="1">VLOOKUP(CONCATENATE(LEFT(D$8, 7), "simd quintile", $B10), [0]!data_range, 5, FALSE)</f>
        <v>#N/A</v>
      </c>
      <c r="E10" s="15" t="e">
        <f ca="1">VLOOKUP(CONCATENATE(LEFT(E$8, 7), "simd quintile", $B10), [0]!data_range, 5, FALSE)</f>
        <v>#N/A</v>
      </c>
      <c r="F10" s="15" t="e">
        <f ca="1">VLOOKUP(CONCATENATE(LEFT(F$8, 7), "simd quintile", $B10), [0]!data_range, 5, FALSE)</f>
        <v>#N/A</v>
      </c>
      <c r="G10" s="15" t="e">
        <f ca="1">VLOOKUP(CONCATENATE(LEFT(G$8, 7), "simd quintile", $B10), [0]!data_range, 5, FALSE)</f>
        <v>#N/A</v>
      </c>
      <c r="H10" s="15" t="e">
        <f ca="1">VLOOKUP(CONCATENATE(LEFT(H$8, 7), "simd quintile", $B10), [0]!data_range, 5, FALSE)</f>
        <v>#N/A</v>
      </c>
      <c r="I10" s="15" t="e">
        <f ca="1">VLOOKUP(CONCATENATE(LEFT(I$8, 7), "simd quintile", $B10), [0]!data_range, 5, FALSE)</f>
        <v>#N/A</v>
      </c>
      <c r="J10" s="15" t="e">
        <f ca="1">VLOOKUP(CONCATENATE(LEFT(J$8, 7), "simd quintile", $B10), [0]!data_range, 5, FALSE)</f>
        <v>#N/A</v>
      </c>
      <c r="K10" s="15" t="e">
        <f ca="1">VLOOKUP(CONCATENATE(LEFT(K$8, 7), "simd quintile", $B10), [0]!data_range, 5, FALSE)</f>
        <v>#N/A</v>
      </c>
      <c r="L10" s="14"/>
      <c r="M10" s="14"/>
      <c r="N10" s="14"/>
      <c r="O10" s="14"/>
      <c r="P10" s="14"/>
      <c r="Q10" s="1"/>
      <c r="R10" s="1"/>
    </row>
    <row r="11" spans="2:18" ht="15" x14ac:dyDescent="0.25">
      <c r="B11" s="77">
        <v>3</v>
      </c>
      <c r="C11" s="15" t="e">
        <f ca="1">VLOOKUP(CONCATENATE(LEFT(C$8, 7), "simd quintile", $B11), [0]!data_range, 5, FALSE)</f>
        <v>#N/A</v>
      </c>
      <c r="D11" s="15" t="e">
        <f ca="1">VLOOKUP(CONCATENATE(LEFT(D$8, 7), "simd quintile", $B11), [0]!data_range, 5, FALSE)</f>
        <v>#N/A</v>
      </c>
      <c r="E11" s="15" t="e">
        <f ca="1">VLOOKUP(CONCATENATE(LEFT(E$8, 7), "simd quintile", $B11), [0]!data_range, 5, FALSE)</f>
        <v>#N/A</v>
      </c>
      <c r="F11" s="15" t="e">
        <f ca="1">VLOOKUP(CONCATENATE(LEFT(F$8, 7), "simd quintile", $B11), [0]!data_range, 5, FALSE)</f>
        <v>#N/A</v>
      </c>
      <c r="G11" s="15" t="e">
        <f ca="1">VLOOKUP(CONCATENATE(LEFT(G$8, 7), "simd quintile", $B11), [0]!data_range, 5, FALSE)</f>
        <v>#N/A</v>
      </c>
      <c r="H11" s="15" t="e">
        <f ca="1">VLOOKUP(CONCATENATE(LEFT(H$8, 7), "simd quintile", $B11), [0]!data_range, 5, FALSE)</f>
        <v>#N/A</v>
      </c>
      <c r="I11" s="15" t="e">
        <f ca="1">VLOOKUP(CONCATENATE(LEFT(I$8, 7), "simd quintile", $B11), [0]!data_range, 5, FALSE)</f>
        <v>#N/A</v>
      </c>
      <c r="J11" s="15" t="e">
        <f ca="1">VLOOKUP(CONCATENATE(LEFT(J$8, 7), "simd quintile", $B11), [0]!data_range, 5, FALSE)</f>
        <v>#N/A</v>
      </c>
      <c r="K11" s="15" t="e">
        <f ca="1">VLOOKUP(CONCATENATE(LEFT(K$8, 7), "simd quintile", $B11), [0]!data_range, 5, FALSE)</f>
        <v>#N/A</v>
      </c>
      <c r="L11" s="14"/>
      <c r="M11" s="14"/>
      <c r="N11" s="14"/>
      <c r="O11" s="14"/>
      <c r="P11" s="14"/>
      <c r="Q11" s="1"/>
      <c r="R11" s="1"/>
    </row>
    <row r="12" spans="2:18" ht="15" x14ac:dyDescent="0.25">
      <c r="B12" s="77">
        <v>4</v>
      </c>
      <c r="C12" s="15" t="e">
        <f ca="1">VLOOKUP(CONCATENATE(LEFT(C$8, 7), "simd quintile", $B12), [0]!data_range, 5, FALSE)</f>
        <v>#N/A</v>
      </c>
      <c r="D12" s="15" t="e">
        <f ca="1">VLOOKUP(CONCATENATE(LEFT(D$8, 7), "simd quintile", $B12), [0]!data_range, 5, FALSE)</f>
        <v>#N/A</v>
      </c>
      <c r="E12" s="15" t="e">
        <f ca="1">VLOOKUP(CONCATENATE(LEFT(E$8, 7), "simd quintile", $B12), [0]!data_range, 5, FALSE)</f>
        <v>#N/A</v>
      </c>
      <c r="F12" s="15" t="e">
        <f ca="1">VLOOKUP(CONCATENATE(LEFT(F$8, 7), "simd quintile", $B12), [0]!data_range, 5, FALSE)</f>
        <v>#N/A</v>
      </c>
      <c r="G12" s="15" t="e">
        <f ca="1">VLOOKUP(CONCATENATE(LEFT(G$8, 7), "simd quintile", $B12), [0]!data_range, 5, FALSE)</f>
        <v>#N/A</v>
      </c>
      <c r="H12" s="15" t="e">
        <f ca="1">VLOOKUP(CONCATENATE(LEFT(H$8, 7), "simd quintile", $B12), [0]!data_range, 5, FALSE)</f>
        <v>#N/A</v>
      </c>
      <c r="I12" s="15" t="e">
        <f ca="1">VLOOKUP(CONCATENATE(LEFT(I$8, 7), "simd quintile", $B12), [0]!data_range, 5, FALSE)</f>
        <v>#N/A</v>
      </c>
      <c r="J12" s="15" t="e">
        <f ca="1">VLOOKUP(CONCATENATE(LEFT(J$8, 7), "simd quintile", $B12), [0]!data_range, 5, FALSE)</f>
        <v>#N/A</v>
      </c>
      <c r="K12" s="15" t="e">
        <f ca="1">VLOOKUP(CONCATENATE(LEFT(K$8, 7), "simd quintile", $B12), [0]!data_range, 5, FALSE)</f>
        <v>#N/A</v>
      </c>
      <c r="L12" s="14"/>
      <c r="M12" s="14"/>
      <c r="N12" s="14"/>
      <c r="O12" s="14"/>
      <c r="P12" s="14"/>
      <c r="Q12" s="1"/>
      <c r="R12" s="1"/>
    </row>
    <row r="13" spans="2:18" ht="15" x14ac:dyDescent="0.25">
      <c r="B13" s="78" t="s">
        <v>187</v>
      </c>
      <c r="C13" s="16" t="e">
        <f ca="1">VLOOKUP(CONCATENATE(LEFT(C$8, 7), "simd quintile", $B13), [0]!data_range, 5, FALSE)</f>
        <v>#N/A</v>
      </c>
      <c r="D13" s="16" t="e">
        <f ca="1">VLOOKUP(CONCATENATE(LEFT(D$8, 7), "simd quintile", $B13), [0]!data_range, 5, FALSE)</f>
        <v>#N/A</v>
      </c>
      <c r="E13" s="16" t="e">
        <f ca="1">VLOOKUP(CONCATENATE(LEFT(E$8, 7), "simd quintile", $B13), [0]!data_range, 5, FALSE)</f>
        <v>#N/A</v>
      </c>
      <c r="F13" s="16" t="e">
        <f ca="1">VLOOKUP(CONCATENATE(LEFT(F$8, 7), "simd quintile", $B13), [0]!data_range, 5, FALSE)</f>
        <v>#N/A</v>
      </c>
      <c r="G13" s="16" t="e">
        <f ca="1">VLOOKUP(CONCATENATE(LEFT(G$8, 7), "simd quintile", $B13), [0]!data_range, 5, FALSE)</f>
        <v>#N/A</v>
      </c>
      <c r="H13" s="16" t="e">
        <f ca="1">VLOOKUP(CONCATENATE(LEFT(H$8, 7), "simd quintile", $B13), [0]!data_range, 5, FALSE)</f>
        <v>#N/A</v>
      </c>
      <c r="I13" s="16" t="e">
        <f ca="1">VLOOKUP(CONCATENATE(LEFT(I$8, 7), "simd quintile", $B13), [0]!data_range, 5, FALSE)</f>
        <v>#N/A</v>
      </c>
      <c r="J13" s="16" t="e">
        <f ca="1">VLOOKUP(CONCATENATE(LEFT(J$8, 7), "simd quintile", $B13), [0]!data_range, 5, FALSE)</f>
        <v>#N/A</v>
      </c>
      <c r="K13" s="16" t="e">
        <f ca="1">VLOOKUP(CONCATENATE(LEFT(K$8, 7), "simd quintile", $B13), [0]!data_range, 5, FALSE)</f>
        <v>#N/A</v>
      </c>
      <c r="L13" s="14"/>
      <c r="M13" s="14"/>
      <c r="N13" s="14"/>
      <c r="O13" s="14"/>
      <c r="P13" s="14"/>
      <c r="Q13" s="1"/>
      <c r="R13" s="1"/>
    </row>
    <row r="14" spans="2:18" ht="15" x14ac:dyDescent="0.25">
      <c r="B14" s="9"/>
      <c r="C14" s="15"/>
      <c r="D14" s="62"/>
      <c r="E14" s="62"/>
      <c r="F14" s="62"/>
      <c r="G14" s="62"/>
      <c r="H14" s="62"/>
      <c r="I14" s="62"/>
      <c r="J14" s="62"/>
      <c r="K14" s="62"/>
      <c r="L14" s="1"/>
      <c r="M14" s="1"/>
      <c r="N14" s="1"/>
      <c r="O14" s="1"/>
      <c r="P14" s="1"/>
      <c r="Q14" s="17"/>
      <c r="R14" s="17"/>
    </row>
    <row r="15" spans="2:18" ht="15" x14ac:dyDescent="0.25">
      <c r="B15" s="9"/>
      <c r="C15" s="15"/>
      <c r="D15" s="62"/>
      <c r="E15" s="62"/>
      <c r="F15" s="62"/>
      <c r="G15" s="62"/>
      <c r="H15" s="62"/>
      <c r="I15" s="62"/>
      <c r="J15" s="62"/>
      <c r="K15" s="62"/>
      <c r="L15" s="1"/>
      <c r="M15" s="1"/>
      <c r="N15" s="1"/>
      <c r="O15" s="1"/>
      <c r="P15" s="1"/>
      <c r="Q15" s="17"/>
      <c r="R15" s="17"/>
    </row>
    <row r="16" spans="2:18" ht="14.25" x14ac:dyDescent="0.2">
      <c r="B16" s="65" t="s">
        <v>161</v>
      </c>
      <c r="C16" s="18" t="e">
        <f ca="1">IF(C$7 = [0]!fy_max, C$7 &amp; calculation!$B$4, C$7)</f>
        <v>#N/A</v>
      </c>
      <c r="D16" s="18" t="e">
        <f ca="1">IF(D$7 = [0]!fy_max, D$7 &amp; calculation!$B$4, D$7)</f>
        <v>#N/A</v>
      </c>
      <c r="E16" s="18" t="e">
        <f ca="1">IF(E$7 = [0]!fy_max, E$7 &amp; calculation!$B$4, E$7)</f>
        <v>#N/A</v>
      </c>
      <c r="F16" s="18" t="e">
        <f ca="1">IF(F$7 = [0]!fy_max, F$7 &amp; calculation!$B$4, F$7)</f>
        <v>#N/A</v>
      </c>
      <c r="G16" s="18" t="e">
        <f ca="1">IF(G$7 = [0]!fy_max, G$7 &amp; calculation!$B$4, G$7)</f>
        <v>#N/A</v>
      </c>
      <c r="H16" s="18" t="e">
        <f ca="1">IF(H$7 = [0]!fy_max, H$7 &amp; calculation!$B$4, H$7)</f>
        <v>#N/A</v>
      </c>
      <c r="I16" s="18" t="e">
        <f ca="1">IF(I$7 = [0]!fy_max, I$7 &amp; calculation!$B$4, I$7)</f>
        <v>#N/A</v>
      </c>
      <c r="J16" s="18" t="e">
        <f ca="1">IF(J$7 = [0]!fy_max, J$7 &amp; calculation!$B$4, J$7)</f>
        <v>#N/A</v>
      </c>
      <c r="K16" s="18" t="e">
        <f ca="1">IF(K$7 = [0]!fy_max, K$7 &amp; calculation!$B$4, K$7)</f>
        <v>#N/A</v>
      </c>
      <c r="L16" s="12"/>
      <c r="M16" s="12"/>
      <c r="N16" s="12"/>
      <c r="O16" s="12"/>
      <c r="P16" s="12"/>
      <c r="Q16" s="12"/>
      <c r="R16" s="12"/>
    </row>
    <row r="17" spans="2:18" ht="15" x14ac:dyDescent="0.25">
      <c r="B17" s="9" t="s">
        <v>123</v>
      </c>
      <c r="C17" s="15" t="e">
        <f ca="1">VLOOKUP(CONCATENATE(LEFT(C$16, 7), "simd 15", $B17), [0]!data_range, 5, FALSE)</f>
        <v>#N/A</v>
      </c>
      <c r="D17" s="15" t="e">
        <f ca="1">VLOOKUP(CONCATENATE(LEFT(D$16, 7), "simd 15", $B17), [0]!data_range, 5, FALSE)</f>
        <v>#N/A</v>
      </c>
      <c r="E17" s="15" t="e">
        <f ca="1">VLOOKUP(CONCATENATE(LEFT(E$16, 7), "simd 15", $B17), [0]!data_range, 5, FALSE)</f>
        <v>#N/A</v>
      </c>
      <c r="F17" s="15" t="e">
        <f ca="1">VLOOKUP(CONCATENATE(LEFT(F$16, 7), "simd 15", $B17), [0]!data_range, 5, FALSE)</f>
        <v>#N/A</v>
      </c>
      <c r="G17" s="15" t="e">
        <f ca="1">VLOOKUP(CONCATENATE(LEFT(G$16, 7), "simd 15", $B17), [0]!data_range, 5, FALSE)</f>
        <v>#N/A</v>
      </c>
      <c r="H17" s="15" t="e">
        <f ca="1">VLOOKUP(CONCATENATE(LEFT(H$16, 7), "simd 15", $B17), [0]!data_range, 5, FALSE)</f>
        <v>#N/A</v>
      </c>
      <c r="I17" s="15" t="e">
        <f ca="1">VLOOKUP(CONCATENATE(LEFT(I$16, 7), "simd 15", $B17), [0]!data_range, 5, FALSE)</f>
        <v>#N/A</v>
      </c>
      <c r="J17" s="15" t="e">
        <f ca="1">VLOOKUP(CONCATENATE(LEFT(J$16, 7), "simd 15", $B17), [0]!data_range, 5, FALSE)</f>
        <v>#N/A</v>
      </c>
      <c r="K17" s="15" t="e">
        <f ca="1">VLOOKUP(CONCATENATE(LEFT(K$16, 7), "simd 15", $B17), [0]!data_range, 5, FALSE)</f>
        <v>#N/A</v>
      </c>
      <c r="L17" s="14"/>
      <c r="M17" s="14"/>
      <c r="N17" s="14"/>
      <c r="O17" s="14"/>
      <c r="P17" s="14"/>
      <c r="Q17" s="1"/>
      <c r="R17" s="1"/>
    </row>
    <row r="18" spans="2:18" ht="15" x14ac:dyDescent="0.25">
      <c r="B18" s="72" t="s">
        <v>124</v>
      </c>
      <c r="C18" s="16" t="e">
        <f ca="1">VLOOKUP(CONCATENATE(LEFT(C$16, 7), "simd 15", $B18), [0]!data_range, 5, FALSE)</f>
        <v>#N/A</v>
      </c>
      <c r="D18" s="16" t="e">
        <f ca="1">VLOOKUP(CONCATENATE(LEFT(D$16, 7), "simd 15", $B18), [0]!data_range, 5, FALSE)</f>
        <v>#N/A</v>
      </c>
      <c r="E18" s="16" t="e">
        <f ca="1">VLOOKUP(CONCATENATE(LEFT(E$16, 7), "simd 15", $B18), [0]!data_range, 5, FALSE)</f>
        <v>#N/A</v>
      </c>
      <c r="F18" s="16" t="e">
        <f ca="1">VLOOKUP(CONCATENATE(LEFT(F$16, 7), "simd 15", $B18), [0]!data_range, 5, FALSE)</f>
        <v>#N/A</v>
      </c>
      <c r="G18" s="16" t="e">
        <f ca="1">VLOOKUP(CONCATENATE(LEFT(G$16, 7), "simd 15", $B18), [0]!data_range, 5, FALSE)</f>
        <v>#N/A</v>
      </c>
      <c r="H18" s="16" t="e">
        <f ca="1">VLOOKUP(CONCATENATE(LEFT(H$16, 7), "simd 15", $B18), [0]!data_range, 5, FALSE)</f>
        <v>#N/A</v>
      </c>
      <c r="I18" s="16" t="e">
        <f ca="1">VLOOKUP(CONCATENATE(LEFT(I$16, 7), "simd 15", $B18), [0]!data_range, 5, FALSE)</f>
        <v>#N/A</v>
      </c>
      <c r="J18" s="16" t="e">
        <f ca="1">VLOOKUP(CONCATENATE(LEFT(J$16, 7), "simd 15", $B18), [0]!data_range, 5, FALSE)</f>
        <v>#N/A</v>
      </c>
      <c r="K18" s="16" t="e">
        <f ca="1">VLOOKUP(CONCATENATE(LEFT(K$16, 7), "simd 15", $B18), [0]!data_range, 5, FALSE)</f>
        <v>#N/A</v>
      </c>
      <c r="L18" s="14"/>
      <c r="M18" s="14"/>
      <c r="N18" s="14"/>
      <c r="O18" s="14"/>
      <c r="P18" s="14"/>
      <c r="Q18" s="1"/>
      <c r="R18" s="1"/>
    </row>
    <row r="19" spans="2:18" x14ac:dyDescent="0.2">
      <c r="B19" s="9"/>
      <c r="C19" s="62"/>
      <c r="D19" s="62"/>
      <c r="E19" s="62"/>
      <c r="F19" s="62"/>
      <c r="G19" s="62"/>
      <c r="H19" s="9"/>
      <c r="I19" s="23"/>
      <c r="J19" s="23"/>
      <c r="K19" s="23"/>
      <c r="L19" s="8"/>
      <c r="M19" s="9"/>
      <c r="N19" s="9"/>
      <c r="O19" s="9"/>
      <c r="P19" s="9"/>
      <c r="Q19" s="9"/>
      <c r="R19" s="9"/>
    </row>
    <row r="20" spans="2:18" x14ac:dyDescent="0.2">
      <c r="B20" s="9"/>
      <c r="C20" s="15"/>
      <c r="D20" s="62"/>
      <c r="E20" s="62"/>
      <c r="F20" s="62"/>
      <c r="G20" s="62"/>
      <c r="H20" s="9"/>
      <c r="I20" s="23"/>
      <c r="J20" s="23"/>
      <c r="K20" s="23"/>
      <c r="L20" s="8"/>
      <c r="M20" s="9"/>
    </row>
    <row r="21" spans="2:18" x14ac:dyDescent="0.2">
      <c r="C21" s="62"/>
      <c r="D21" s="62"/>
      <c r="E21" s="62"/>
      <c r="F21" s="62"/>
      <c r="G21" s="62"/>
      <c r="H21" s="9"/>
      <c r="I21" s="23"/>
      <c r="J21" s="23"/>
      <c r="K21" s="23"/>
      <c r="L21" s="8"/>
      <c r="M21" s="9"/>
    </row>
    <row r="22" spans="2:18" x14ac:dyDescent="0.2">
      <c r="I22" s="23"/>
      <c r="J22" s="23"/>
      <c r="K22" s="23"/>
      <c r="L22" s="6"/>
    </row>
    <row r="23" spans="2:18" x14ac:dyDescent="0.2">
      <c r="B23" s="19" t="s">
        <v>18</v>
      </c>
      <c r="I23" s="23"/>
      <c r="J23" s="23"/>
      <c r="K23" s="23"/>
      <c r="L23" s="6"/>
    </row>
    <row r="25" spans="2:18" x14ac:dyDescent="0.2">
      <c r="B25" s="21" t="s">
        <v>155</v>
      </c>
    </row>
    <row r="26" spans="2:18" x14ac:dyDescent="0.2">
      <c r="B26" s="21" t="s">
        <v>148</v>
      </c>
    </row>
    <row r="27" spans="2:18" x14ac:dyDescent="0.2">
      <c r="B27" s="21"/>
    </row>
    <row r="28" spans="2:18" x14ac:dyDescent="0.2">
      <c r="B28" s="21" t="e">
        <f ca="1">"1. Data for " &amp; [0]!fy_max &amp;" are incomplete and will be revised in October 20" &amp; RIGHT([0]!fy_max, 2) &amp; " publication"</f>
        <v>#N/A</v>
      </c>
    </row>
    <row r="29" spans="2:18" ht="25.5" customHeight="1" x14ac:dyDescent="0.2">
      <c r="B29" s="93" t="s">
        <v>163</v>
      </c>
      <c r="C29" s="93"/>
      <c r="D29" s="93"/>
      <c r="E29" s="93"/>
      <c r="F29" s="93"/>
      <c r="G29" s="93"/>
      <c r="H29" s="93"/>
      <c r="I29" s="93"/>
      <c r="J29" s="93"/>
      <c r="K29" s="93"/>
      <c r="L29" s="79"/>
      <c r="M29" s="79"/>
    </row>
    <row r="30" spans="2:18" x14ac:dyDescent="0.2">
      <c r="B30" s="80" t="s">
        <v>137</v>
      </c>
      <c r="D30" s="81" t="s">
        <v>136</v>
      </c>
    </row>
    <row r="31" spans="2:18" ht="15" customHeight="1" x14ac:dyDescent="0.2">
      <c r="B31" s="21" t="s">
        <v>164</v>
      </c>
      <c r="C31" s="20"/>
      <c r="D31" s="6"/>
      <c r="E31" s="6"/>
      <c r="F31" s="6"/>
    </row>
    <row r="32" spans="2:18" x14ac:dyDescent="0.2">
      <c r="B32" s="23"/>
      <c r="C32" s="20"/>
      <c r="D32" s="6"/>
      <c r="E32" s="6"/>
      <c r="F32" s="6"/>
    </row>
    <row r="33" spans="2:6" x14ac:dyDescent="0.2">
      <c r="B33" s="23"/>
      <c r="C33" s="20"/>
      <c r="D33" s="6"/>
      <c r="E33" s="6"/>
      <c r="F33" s="6"/>
    </row>
    <row r="34" spans="2:6" x14ac:dyDescent="0.2">
      <c r="B34" s="23"/>
      <c r="C34" s="20"/>
      <c r="D34" s="6"/>
      <c r="E34" s="6"/>
      <c r="F34" s="6"/>
    </row>
    <row r="35" spans="2:6" x14ac:dyDescent="0.2">
      <c r="B35" s="23"/>
      <c r="C35" s="20"/>
      <c r="D35" s="6"/>
      <c r="E35" s="6"/>
      <c r="F35" s="6"/>
    </row>
    <row r="36" spans="2:6" x14ac:dyDescent="0.2">
      <c r="B36" s="23"/>
      <c r="C36" s="20"/>
      <c r="D36" s="6"/>
      <c r="E36" s="6"/>
      <c r="F36" s="6"/>
    </row>
    <row r="37" spans="2:6" x14ac:dyDescent="0.2">
      <c r="B37" s="23"/>
      <c r="C37" s="20"/>
      <c r="D37" s="6"/>
      <c r="E37" s="6"/>
      <c r="F37" s="6"/>
    </row>
    <row r="38" spans="2:6" x14ac:dyDescent="0.2">
      <c r="B38" s="23"/>
      <c r="C38" s="20"/>
      <c r="D38" s="6"/>
      <c r="E38" s="6"/>
      <c r="F38" s="6"/>
    </row>
    <row r="39" spans="2:6" x14ac:dyDescent="0.2">
      <c r="B39" s="23"/>
      <c r="C39" s="20"/>
      <c r="D39" s="6"/>
      <c r="E39" s="6"/>
      <c r="F39" s="6"/>
    </row>
    <row r="40" spans="2:6" x14ac:dyDescent="0.2">
      <c r="B40" s="23"/>
      <c r="C40" s="20"/>
      <c r="D40" s="6"/>
      <c r="E40" s="6"/>
      <c r="F40" s="6"/>
    </row>
    <row r="41" spans="2:6" x14ac:dyDescent="0.2">
      <c r="B41" s="23"/>
      <c r="C41" s="20"/>
      <c r="D41" s="6"/>
      <c r="E41" s="6"/>
      <c r="F41" s="6"/>
    </row>
  </sheetData>
  <mergeCells count="2">
    <mergeCell ref="B1:I1"/>
    <mergeCell ref="B29:K29"/>
  </mergeCells>
  <phoneticPr fontId="5" type="noConversion"/>
  <hyperlinks>
    <hyperlink ref="B23" location="'External Causes of Deaths'!A1" display="External causes of death excluded from analysis"/>
    <hyperlink ref="D30"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6"/>
  <sheetViews>
    <sheetView showGridLines="0" zoomScaleNormal="100" workbookViewId="0"/>
  </sheetViews>
  <sheetFormatPr defaultRowHeight="12.75" x14ac:dyDescent="0.2"/>
  <cols>
    <col min="1" max="1" width="2.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34.5" customHeight="1" x14ac:dyDescent="0.25">
      <c r="B1" s="89" t="str">
        <f>Notes!B1:O1</f>
        <v/>
      </c>
      <c r="C1" s="89"/>
      <c r="D1" s="89"/>
      <c r="E1" s="89"/>
      <c r="F1" s="89"/>
      <c r="G1" s="89"/>
      <c r="H1" s="89"/>
      <c r="I1" s="89"/>
      <c r="J1" s="89"/>
    </row>
    <row r="2" spans="2:29" ht="15.75" x14ac:dyDescent="0.25">
      <c r="B2" s="4" t="s">
        <v>178</v>
      </c>
      <c r="L2" s="5"/>
      <c r="M2" s="6"/>
      <c r="N2" s="6"/>
    </row>
    <row r="3" spans="2:29" ht="15.75" x14ac:dyDescent="0.25">
      <c r="B3" s="4" t="s">
        <v>147</v>
      </c>
      <c r="L3" s="5"/>
      <c r="M3" s="6"/>
      <c r="N3" s="6"/>
    </row>
    <row r="4" spans="2:29" x14ac:dyDescent="0.2">
      <c r="L4" s="7"/>
      <c r="M4" s="8"/>
      <c r="N4" s="8"/>
      <c r="O4" s="9"/>
      <c r="P4" s="9"/>
      <c r="Q4" s="9"/>
      <c r="R4" s="9"/>
      <c r="S4" s="9"/>
      <c r="T4" s="9"/>
      <c r="U4" s="9"/>
      <c r="V4" s="9"/>
      <c r="W4" s="9"/>
      <c r="X4" s="9"/>
      <c r="Y4" s="9"/>
      <c r="Z4" s="9"/>
      <c r="AA4" s="9"/>
      <c r="AB4" s="9"/>
      <c r="AC4" s="9"/>
    </row>
    <row r="5" spans="2:29" x14ac:dyDescent="0.2">
      <c r="G5" s="10" t="s">
        <v>15</v>
      </c>
      <c r="L5" s="7"/>
      <c r="M5" s="8"/>
      <c r="N5" s="8"/>
      <c r="O5" s="9"/>
      <c r="P5" s="9"/>
      <c r="Q5" s="9"/>
      <c r="R5" s="9"/>
      <c r="S5" s="9"/>
      <c r="T5" s="9"/>
      <c r="U5" s="9"/>
      <c r="V5" s="9"/>
      <c r="W5" s="9"/>
      <c r="X5" s="9"/>
      <c r="Y5" s="9"/>
      <c r="Z5" s="9"/>
      <c r="AA5" s="9"/>
      <c r="AB5" s="9"/>
      <c r="AC5" s="9"/>
    </row>
    <row r="6" spans="2:29" x14ac:dyDescent="0.2">
      <c r="C6" s="38" t="e">
        <f t="array" aca="1" ref="C6" ca="1">INDEX(fy_range, MATCH(0, COUNTIF($B$6:B6, fy_range), 0))</f>
        <v>#N/A</v>
      </c>
      <c r="D6" s="38" t="e">
        <f t="array" aca="1" ref="D6" ca="1">INDEX(fy_range, MATCH(0, COUNTIF($B$6:C6, fy_range), 0))</f>
        <v>#N/A</v>
      </c>
      <c r="E6" s="38" t="e">
        <f t="array" aca="1" ref="E6" ca="1">INDEX(fy_range, MATCH(0, COUNTIF($B$6:D6, fy_range), 0))</f>
        <v>#N/A</v>
      </c>
      <c r="F6" s="38" t="e">
        <f t="array" aca="1" ref="F6" ca="1">INDEX(fy_range, MATCH(0, COUNTIF($B$6:E6, fy_range), 0))</f>
        <v>#N/A</v>
      </c>
      <c r="G6" s="38" t="e">
        <f t="array" aca="1" ref="G6" ca="1">INDEX(fy_range, MATCH(0, COUNTIF($B$6:F6, fy_range), 0))</f>
        <v>#N/A</v>
      </c>
      <c r="H6" s="38" t="e">
        <f t="array" aca="1" ref="H6" ca="1">INDEX(fy_range, MATCH(0, COUNTIF($B$6:G6, fy_range), 0))</f>
        <v>#N/A</v>
      </c>
      <c r="I6" s="38" t="e">
        <f t="array" aca="1" ref="I6" ca="1">INDEX(fy_range, MATCH(0, COUNTIF($B$6:H6, fy_range), 0))</f>
        <v>#N/A</v>
      </c>
      <c r="J6" s="38" t="e">
        <f t="array" aca="1" ref="J6" ca="1">INDEX(fy_range, MATCH(0, COUNTIF($B$6:I6, fy_range), 0))</f>
        <v>#N/A</v>
      </c>
      <c r="K6" s="38" t="e">
        <f t="array" aca="1" ref="K6" ca="1">INDEX(fy_range, MATCH(0, COUNTIF($B$6:J6, fy_range), 0))</f>
        <v>#N/A</v>
      </c>
      <c r="L6" s="7"/>
      <c r="M6" s="8"/>
      <c r="N6" s="8"/>
      <c r="O6" s="9"/>
      <c r="P6" s="9"/>
      <c r="Q6" s="9"/>
      <c r="R6" s="9"/>
      <c r="S6" s="9"/>
      <c r="T6" s="9"/>
      <c r="U6" s="9"/>
      <c r="V6" s="9"/>
      <c r="W6" s="9"/>
      <c r="X6" s="9"/>
      <c r="Y6" s="9"/>
      <c r="Z6" s="9"/>
      <c r="AA6" s="9"/>
      <c r="AB6" s="9"/>
      <c r="AC6" s="9"/>
    </row>
    <row r="7" spans="2:29" x14ac:dyDescent="0.2">
      <c r="B7" s="36" t="s">
        <v>125</v>
      </c>
      <c r="C7" s="18" t="e">
        <f ca="1">IF(C$6 = [0]!fy_max, C$6 &amp; calculation!$B$4, C$6)</f>
        <v>#N/A</v>
      </c>
      <c r="D7" s="18" t="e">
        <f ca="1">IF(D$6 = [0]!fy_max, D$6 &amp; calculation!$B$4, D$6)</f>
        <v>#N/A</v>
      </c>
      <c r="E7" s="18" t="e">
        <f ca="1">IF(E$6 = [0]!fy_max, E$6 &amp; calculation!$B$4, E$6)</f>
        <v>#N/A</v>
      </c>
      <c r="F7" s="18" t="e">
        <f ca="1">IF(F$6 = [0]!fy_max, F$6 &amp; calculation!$B$4, F$6)</f>
        <v>#N/A</v>
      </c>
      <c r="G7" s="18" t="e">
        <f ca="1">IF(G$6 = [0]!fy_max, G$6 &amp; calculation!$B$4, G$6)</f>
        <v>#N/A</v>
      </c>
      <c r="H7" s="18" t="e">
        <f ca="1">IF(H$6 = [0]!fy_max, H$6 &amp; calculation!$B$4, H$6)</f>
        <v>#N/A</v>
      </c>
      <c r="I7" s="18" t="e">
        <f ca="1">IF(I$6 = [0]!fy_max, I$6 &amp; calculation!$B$4, I$6)</f>
        <v>#N/A</v>
      </c>
      <c r="J7" s="18" t="e">
        <f ca="1">IF(J$6 = [0]!fy_max, J$6 &amp; calculation!$B$4, J$6)</f>
        <v>#N/A</v>
      </c>
      <c r="K7" s="18" t="e">
        <f ca="1">IF(K$6 = [0]!fy_max, K$6 &amp; calculation!$B$4, K$6)</f>
        <v>#N/A</v>
      </c>
      <c r="L7" s="11"/>
      <c r="M7" s="12"/>
      <c r="N7" s="12"/>
      <c r="O7" s="12"/>
      <c r="P7" s="12"/>
      <c r="Q7" s="12"/>
      <c r="R7" s="12"/>
      <c r="S7" s="12"/>
      <c r="T7" s="9"/>
      <c r="U7" s="9"/>
      <c r="V7" s="9"/>
      <c r="W7" s="9"/>
      <c r="X7" s="9"/>
      <c r="Y7" s="9"/>
      <c r="Z7" s="9"/>
      <c r="AA7" s="9"/>
      <c r="AB7" s="9"/>
      <c r="AC7" s="9"/>
    </row>
    <row r="8" spans="2:29" ht="15" x14ac:dyDescent="0.25">
      <c r="B8" s="25" t="s">
        <v>188</v>
      </c>
      <c r="C8" s="15" t="e">
        <f ca="1">VLOOKUP(CONCATENATE(LEFT(C$7, 7), "urban rural 6", $B8), [0]!data_range, 5, FALSE)</f>
        <v>#N/A</v>
      </c>
      <c r="D8" s="15" t="e">
        <f ca="1">VLOOKUP(CONCATENATE(LEFT(D$7, 7), "urban rural 6", $B8), [0]!data_range, 5, FALSE)</f>
        <v>#N/A</v>
      </c>
      <c r="E8" s="15" t="e">
        <f ca="1">VLOOKUP(CONCATENATE(LEFT(E$7, 7), "urban rural 6", $B8), [0]!data_range, 5, FALSE)</f>
        <v>#N/A</v>
      </c>
      <c r="F8" s="15" t="e">
        <f ca="1">VLOOKUP(CONCATENATE(LEFT(F$7, 7), "urban rural 6", $B8), [0]!data_range, 5, FALSE)</f>
        <v>#N/A</v>
      </c>
      <c r="G8" s="15" t="e">
        <f ca="1">VLOOKUP(CONCATENATE(LEFT(G$7, 7), "urban rural 6", $B8), [0]!data_range, 5, FALSE)</f>
        <v>#N/A</v>
      </c>
      <c r="H8" s="15" t="e">
        <f ca="1">VLOOKUP(CONCATENATE(LEFT(H$7, 7), "urban rural 6", $B8), [0]!data_range, 5, FALSE)</f>
        <v>#N/A</v>
      </c>
      <c r="I8" s="15" t="e">
        <f ca="1">VLOOKUP(CONCATENATE(LEFT(I$7, 7), "urban rural 6", $B8), [0]!data_range, 5, FALSE)</f>
        <v>#N/A</v>
      </c>
      <c r="J8" s="15" t="e">
        <f ca="1">VLOOKUP(CONCATENATE(LEFT(J$7, 7), "urban rural 6", $B8), [0]!data_range, 5, FALSE)</f>
        <v>#N/A</v>
      </c>
      <c r="K8" s="15" t="e">
        <f ca="1">VLOOKUP(CONCATENATE(LEFT(K$7, 7), "urban rural 6", $B8), [0]!data_range, 5, FALSE)</f>
        <v>#N/A</v>
      </c>
      <c r="L8" s="13"/>
      <c r="M8" s="14"/>
      <c r="N8" s="14"/>
      <c r="O8" s="14"/>
      <c r="P8" s="14"/>
      <c r="Q8" s="14"/>
      <c r="R8" s="1"/>
      <c r="S8" s="1"/>
      <c r="T8" s="9"/>
      <c r="U8" s="9"/>
      <c r="V8" s="9"/>
      <c r="W8" s="9"/>
      <c r="X8" s="9"/>
      <c r="Y8" s="9"/>
      <c r="Z8" s="9"/>
      <c r="AA8" s="9"/>
      <c r="AB8" s="9"/>
      <c r="AC8" s="9"/>
    </row>
    <row r="9" spans="2:29" ht="15" x14ac:dyDescent="0.25">
      <c r="B9" s="25" t="s">
        <v>189</v>
      </c>
      <c r="C9" s="15" t="e">
        <f ca="1">VLOOKUP(CONCATENATE(LEFT(C$7, 7), "urban rural 6", $B9), [0]!data_range, 5, FALSE)</f>
        <v>#N/A</v>
      </c>
      <c r="D9" s="15" t="e">
        <f ca="1">VLOOKUP(CONCATENATE(LEFT(D$7, 7), "urban rural 6", $B9), [0]!data_range, 5, FALSE)</f>
        <v>#N/A</v>
      </c>
      <c r="E9" s="15" t="e">
        <f ca="1">VLOOKUP(CONCATENATE(LEFT(E$7, 7), "urban rural 6", $B9), [0]!data_range, 5, FALSE)</f>
        <v>#N/A</v>
      </c>
      <c r="F9" s="15" t="e">
        <f ca="1">VLOOKUP(CONCATENATE(LEFT(F$7, 7), "urban rural 6", $B9), [0]!data_range, 5, FALSE)</f>
        <v>#N/A</v>
      </c>
      <c r="G9" s="15" t="e">
        <f ca="1">VLOOKUP(CONCATENATE(LEFT(G$7, 7), "urban rural 6", $B9), [0]!data_range, 5, FALSE)</f>
        <v>#N/A</v>
      </c>
      <c r="H9" s="15" t="e">
        <f ca="1">VLOOKUP(CONCATENATE(LEFT(H$7, 7), "urban rural 6", $B9), [0]!data_range, 5, FALSE)</f>
        <v>#N/A</v>
      </c>
      <c r="I9" s="15" t="e">
        <f ca="1">VLOOKUP(CONCATENATE(LEFT(I$7, 7), "urban rural 6", $B9), [0]!data_range, 5, FALSE)</f>
        <v>#N/A</v>
      </c>
      <c r="J9" s="15" t="e">
        <f ca="1">VLOOKUP(CONCATENATE(LEFT(J$7, 7), "urban rural 6", $B9), [0]!data_range, 5, FALSE)</f>
        <v>#N/A</v>
      </c>
      <c r="K9" s="15" t="e">
        <f ca="1">VLOOKUP(CONCATENATE(LEFT(K$7, 7), "urban rural 6", $B9), [0]!data_range, 5, FALSE)</f>
        <v>#N/A</v>
      </c>
      <c r="L9" s="13"/>
      <c r="M9" s="14"/>
      <c r="N9" s="14"/>
      <c r="O9" s="14"/>
      <c r="P9" s="14"/>
      <c r="Q9" s="14"/>
      <c r="R9" s="1"/>
      <c r="S9" s="1"/>
      <c r="T9" s="9"/>
      <c r="U9" s="9"/>
      <c r="V9" s="9"/>
      <c r="W9" s="9"/>
      <c r="X9" s="9"/>
      <c r="Y9" s="9"/>
      <c r="Z9" s="9"/>
      <c r="AA9" s="9"/>
      <c r="AB9" s="9"/>
      <c r="AC9" s="9"/>
    </row>
    <row r="10" spans="2:29" ht="15" x14ac:dyDescent="0.25">
      <c r="B10" s="25" t="s">
        <v>190</v>
      </c>
      <c r="C10" s="15" t="e">
        <f ca="1">VLOOKUP(CONCATENATE(LEFT(C$7, 7), "urban rural 6", $B10), [0]!data_range, 5, FALSE)</f>
        <v>#N/A</v>
      </c>
      <c r="D10" s="15" t="e">
        <f ca="1">VLOOKUP(CONCATENATE(LEFT(D$7, 7), "urban rural 6", $B10), [0]!data_range, 5, FALSE)</f>
        <v>#N/A</v>
      </c>
      <c r="E10" s="15" t="e">
        <f ca="1">VLOOKUP(CONCATENATE(LEFT(E$7, 7), "urban rural 6", $B10), [0]!data_range, 5, FALSE)</f>
        <v>#N/A</v>
      </c>
      <c r="F10" s="15" t="e">
        <f ca="1">VLOOKUP(CONCATENATE(LEFT(F$7, 7), "urban rural 6", $B10), [0]!data_range, 5, FALSE)</f>
        <v>#N/A</v>
      </c>
      <c r="G10" s="15" t="e">
        <f ca="1">VLOOKUP(CONCATENATE(LEFT(G$7, 7), "urban rural 6", $B10), [0]!data_range, 5, FALSE)</f>
        <v>#N/A</v>
      </c>
      <c r="H10" s="15" t="e">
        <f ca="1">VLOOKUP(CONCATENATE(LEFT(H$7, 7), "urban rural 6", $B10), [0]!data_range, 5, FALSE)</f>
        <v>#N/A</v>
      </c>
      <c r="I10" s="15" t="e">
        <f ca="1">VLOOKUP(CONCATENATE(LEFT(I$7, 7), "urban rural 6", $B10), [0]!data_range, 5, FALSE)</f>
        <v>#N/A</v>
      </c>
      <c r="J10" s="15" t="e">
        <f ca="1">VLOOKUP(CONCATENATE(LEFT(J$7, 7), "urban rural 6", $B10), [0]!data_range, 5, FALSE)</f>
        <v>#N/A</v>
      </c>
      <c r="K10" s="15" t="e">
        <f ca="1">VLOOKUP(CONCATENATE(LEFT(K$7, 7), "urban rural 6", $B10), [0]!data_range, 5, FALSE)</f>
        <v>#N/A</v>
      </c>
      <c r="L10" s="13"/>
      <c r="M10" s="14"/>
      <c r="N10" s="14"/>
      <c r="O10" s="14"/>
      <c r="P10" s="14"/>
      <c r="Q10" s="14"/>
      <c r="R10" s="1"/>
      <c r="S10" s="1"/>
      <c r="T10" s="9"/>
      <c r="U10" s="9"/>
      <c r="V10" s="9"/>
      <c r="W10" s="9"/>
      <c r="X10" s="9"/>
      <c r="Y10" s="9"/>
      <c r="Z10" s="9"/>
      <c r="AA10" s="9"/>
      <c r="AB10" s="9"/>
      <c r="AC10" s="9"/>
    </row>
    <row r="11" spans="2:29" ht="15" x14ac:dyDescent="0.25">
      <c r="B11" s="25" t="s">
        <v>191</v>
      </c>
      <c r="C11" s="15" t="e">
        <f ca="1">VLOOKUP(CONCATENATE(LEFT(C$7, 7), "urban rural 6", $B11), [0]!data_range, 5, FALSE)</f>
        <v>#N/A</v>
      </c>
      <c r="D11" s="15" t="e">
        <f ca="1">VLOOKUP(CONCATENATE(LEFT(D$7, 7), "urban rural 6", $B11), [0]!data_range, 5, FALSE)</f>
        <v>#N/A</v>
      </c>
      <c r="E11" s="15" t="e">
        <f ca="1">VLOOKUP(CONCATENATE(LEFT(E$7, 7), "urban rural 6", $B11), [0]!data_range, 5, FALSE)</f>
        <v>#N/A</v>
      </c>
      <c r="F11" s="15" t="e">
        <f ca="1">VLOOKUP(CONCATENATE(LEFT(F$7, 7), "urban rural 6", $B11), [0]!data_range, 5, FALSE)</f>
        <v>#N/A</v>
      </c>
      <c r="G11" s="15" t="e">
        <f ca="1">VLOOKUP(CONCATENATE(LEFT(G$7, 7), "urban rural 6", $B11), [0]!data_range, 5, FALSE)</f>
        <v>#N/A</v>
      </c>
      <c r="H11" s="15" t="e">
        <f ca="1">VLOOKUP(CONCATENATE(LEFT(H$7, 7), "urban rural 6", $B11), [0]!data_range, 5, FALSE)</f>
        <v>#N/A</v>
      </c>
      <c r="I11" s="15" t="e">
        <f ca="1">VLOOKUP(CONCATENATE(LEFT(I$7, 7), "urban rural 6", $B11), [0]!data_range, 5, FALSE)</f>
        <v>#N/A</v>
      </c>
      <c r="J11" s="15" t="e">
        <f ca="1">VLOOKUP(CONCATENATE(LEFT(J$7, 7), "urban rural 6", $B11), [0]!data_range, 5, FALSE)</f>
        <v>#N/A</v>
      </c>
      <c r="K11" s="15" t="e">
        <f ca="1">VLOOKUP(CONCATENATE(LEFT(K$7, 7), "urban rural 6", $B11), [0]!data_range, 5, FALSE)</f>
        <v>#N/A</v>
      </c>
      <c r="L11" s="13"/>
      <c r="M11" s="14"/>
      <c r="N11" s="14"/>
      <c r="O11" s="14"/>
      <c r="P11" s="14"/>
      <c r="Q11" s="14"/>
      <c r="R11" s="1"/>
      <c r="S11" s="1"/>
      <c r="T11" s="9"/>
      <c r="U11" s="9"/>
      <c r="V11" s="9"/>
      <c r="W11" s="9"/>
      <c r="X11" s="9"/>
      <c r="Y11" s="9"/>
      <c r="Z11" s="9"/>
      <c r="AA11" s="9"/>
      <c r="AB11" s="9"/>
      <c r="AC11" s="9"/>
    </row>
    <row r="12" spans="2:29" ht="15" x14ac:dyDescent="0.25">
      <c r="B12" s="25" t="s">
        <v>192</v>
      </c>
      <c r="C12" s="15" t="e">
        <f ca="1">VLOOKUP(CONCATENATE(LEFT(C$7, 7), "urban rural 6", $B12), [0]!data_range, 5, FALSE)</f>
        <v>#N/A</v>
      </c>
      <c r="D12" s="15" t="e">
        <f ca="1">VLOOKUP(CONCATENATE(LEFT(D$7, 7), "urban rural 6", $B12), [0]!data_range, 5, FALSE)</f>
        <v>#N/A</v>
      </c>
      <c r="E12" s="15" t="e">
        <f ca="1">VLOOKUP(CONCATENATE(LEFT(E$7, 7), "urban rural 6", $B12), [0]!data_range, 5, FALSE)</f>
        <v>#N/A</v>
      </c>
      <c r="F12" s="15" t="e">
        <f ca="1">VLOOKUP(CONCATENATE(LEFT(F$7, 7), "urban rural 6", $B12), [0]!data_range, 5, FALSE)</f>
        <v>#N/A</v>
      </c>
      <c r="G12" s="15" t="e">
        <f ca="1">VLOOKUP(CONCATENATE(LEFT(G$7, 7), "urban rural 6", $B12), [0]!data_range, 5, FALSE)</f>
        <v>#N/A</v>
      </c>
      <c r="H12" s="15" t="e">
        <f ca="1">VLOOKUP(CONCATENATE(LEFT(H$7, 7), "urban rural 6", $B12), [0]!data_range, 5, FALSE)</f>
        <v>#N/A</v>
      </c>
      <c r="I12" s="15" t="e">
        <f ca="1">VLOOKUP(CONCATENATE(LEFT(I$7, 7), "urban rural 6", $B12), [0]!data_range, 5, FALSE)</f>
        <v>#N/A</v>
      </c>
      <c r="J12" s="15" t="e">
        <f ca="1">VLOOKUP(CONCATENATE(LEFT(J$7, 7), "urban rural 6", $B12), [0]!data_range, 5, FALSE)</f>
        <v>#N/A</v>
      </c>
      <c r="K12" s="15" t="e">
        <f ca="1">VLOOKUP(CONCATENATE(LEFT(K$7, 7), "urban rural 6", $B12), [0]!data_range, 5, FALSE)</f>
        <v>#N/A</v>
      </c>
      <c r="L12" s="13"/>
      <c r="M12" s="14"/>
      <c r="N12" s="14"/>
      <c r="O12" s="14"/>
      <c r="P12" s="14"/>
      <c r="Q12" s="14"/>
      <c r="R12" s="1"/>
      <c r="S12" s="1"/>
      <c r="T12" s="9"/>
      <c r="U12" s="9"/>
      <c r="V12" s="9"/>
      <c r="W12" s="9"/>
      <c r="X12" s="9"/>
      <c r="Y12" s="9"/>
      <c r="Z12" s="9"/>
      <c r="AA12" s="9"/>
      <c r="AB12" s="9"/>
      <c r="AC12" s="9"/>
    </row>
    <row r="13" spans="2:29" ht="15" x14ac:dyDescent="0.25">
      <c r="B13" s="34" t="s">
        <v>193</v>
      </c>
      <c r="C13" s="16" t="e">
        <f ca="1">VLOOKUP(CONCATENATE(LEFT(C$7, 7), "urban rural 6", $B13), [0]!data_range, 5, FALSE)</f>
        <v>#N/A</v>
      </c>
      <c r="D13" s="16" t="e">
        <f ca="1">VLOOKUP(CONCATENATE(LEFT(D$7, 7), "urban rural 6", $B13), [0]!data_range, 5, FALSE)</f>
        <v>#N/A</v>
      </c>
      <c r="E13" s="16" t="e">
        <f ca="1">VLOOKUP(CONCATENATE(LEFT(E$7, 7), "urban rural 6", $B13), [0]!data_range, 5, FALSE)</f>
        <v>#N/A</v>
      </c>
      <c r="F13" s="16" t="e">
        <f ca="1">VLOOKUP(CONCATENATE(LEFT(F$7, 7), "urban rural 6", $B13), [0]!data_range, 5, FALSE)</f>
        <v>#N/A</v>
      </c>
      <c r="G13" s="16" t="e">
        <f ca="1">VLOOKUP(CONCATENATE(LEFT(G$7, 7), "urban rural 6", $B13), [0]!data_range, 5, FALSE)</f>
        <v>#N/A</v>
      </c>
      <c r="H13" s="16" t="e">
        <f ca="1">VLOOKUP(CONCATENATE(LEFT(H$7, 7), "urban rural 6", $B13), [0]!data_range, 5, FALSE)</f>
        <v>#N/A</v>
      </c>
      <c r="I13" s="16" t="e">
        <f ca="1">VLOOKUP(CONCATENATE(LEFT(I$7, 7), "urban rural 6", $B13), [0]!data_range, 5, FALSE)</f>
        <v>#N/A</v>
      </c>
      <c r="J13" s="16" t="e">
        <f ca="1">VLOOKUP(CONCATENATE(LEFT(J$7, 7), "urban rural 6", $B13), [0]!data_range, 5, FALSE)</f>
        <v>#N/A</v>
      </c>
      <c r="K13" s="16" t="e">
        <f ca="1">VLOOKUP(CONCATENATE(LEFT(K$7, 7), "urban rural 6", $B13), [0]!data_range, 5, FALSE)</f>
        <v>#N/A</v>
      </c>
      <c r="L13" s="13"/>
      <c r="M13" s="14"/>
      <c r="N13" s="14"/>
      <c r="O13" s="14"/>
      <c r="P13" s="14"/>
      <c r="Q13" s="14"/>
      <c r="R13" s="1"/>
      <c r="S13" s="1"/>
      <c r="T13" s="9"/>
      <c r="U13" s="9"/>
      <c r="V13" s="9"/>
      <c r="W13" s="9"/>
      <c r="X13" s="9"/>
      <c r="Y13" s="9"/>
      <c r="Z13" s="9"/>
      <c r="AA13" s="9"/>
      <c r="AB13" s="9"/>
      <c r="AC13" s="9"/>
    </row>
    <row r="14" spans="2:29" ht="15" x14ac:dyDescent="0.25">
      <c r="L14" s="17"/>
      <c r="M14" s="17"/>
      <c r="N14" s="17"/>
      <c r="O14" s="17"/>
      <c r="P14" s="17"/>
      <c r="Q14" s="17"/>
      <c r="R14" s="17"/>
      <c r="S14" s="17"/>
      <c r="T14" s="9"/>
      <c r="U14" s="9"/>
      <c r="V14" s="9"/>
      <c r="W14" s="9"/>
      <c r="X14" s="9"/>
      <c r="Y14" s="9"/>
      <c r="Z14" s="9"/>
      <c r="AA14" s="9"/>
      <c r="AB14" s="9"/>
      <c r="AC14" s="9"/>
    </row>
    <row r="15" spans="2:29" ht="15" x14ac:dyDescent="0.25">
      <c r="L15" s="17"/>
      <c r="M15" s="17"/>
      <c r="N15" s="17"/>
      <c r="O15" s="17"/>
      <c r="P15" s="17"/>
      <c r="Q15" s="17"/>
      <c r="R15" s="17"/>
      <c r="S15" s="17"/>
      <c r="T15" s="9"/>
      <c r="U15" s="9"/>
      <c r="V15" s="9"/>
      <c r="W15" s="9"/>
      <c r="X15" s="9"/>
      <c r="Y15" s="9"/>
      <c r="Z15" s="9"/>
      <c r="AA15" s="9"/>
      <c r="AB15" s="9"/>
      <c r="AC15" s="9"/>
    </row>
    <row r="16" spans="2:29" x14ac:dyDescent="0.2">
      <c r="B16" s="36" t="s">
        <v>126</v>
      </c>
      <c r="C16" s="18" t="e">
        <f ca="1">IF(C$6 = [0]!fy_max, C$6 &amp; calculation!$B$4, C$6)</f>
        <v>#N/A</v>
      </c>
      <c r="D16" s="18" t="e">
        <f ca="1">IF(D$6 = [0]!fy_max, D$6 &amp; calculation!$B$4, D$6)</f>
        <v>#N/A</v>
      </c>
      <c r="E16" s="18" t="e">
        <f ca="1">IF(E$6 = [0]!fy_max, E$6 &amp; calculation!$B$4, E$6)</f>
        <v>#N/A</v>
      </c>
      <c r="F16" s="18" t="e">
        <f ca="1">IF(F$6 = [0]!fy_max, F$6 &amp; calculation!$B$4, F$6)</f>
        <v>#N/A</v>
      </c>
      <c r="G16" s="18" t="e">
        <f ca="1">IF(G$6 = [0]!fy_max, G$6 &amp; calculation!$B$4, G$6)</f>
        <v>#N/A</v>
      </c>
      <c r="H16" s="18" t="e">
        <f ca="1">IF(H$6 = [0]!fy_max, H$6 &amp; calculation!$B$4, H$6)</f>
        <v>#N/A</v>
      </c>
      <c r="I16" s="18" t="e">
        <f ca="1">IF(I$6 = [0]!fy_max, I$6 &amp; calculation!$B$4, I$6)</f>
        <v>#N/A</v>
      </c>
      <c r="J16" s="18" t="e">
        <f ca="1">IF(J$6 = [0]!fy_max, J$6 &amp; calculation!$B$4, J$6)</f>
        <v>#N/A</v>
      </c>
      <c r="K16" s="18" t="e">
        <f ca="1">IF(K$6 = [0]!fy_max, K$6 &amp; calculation!$B$4, K$6)</f>
        <v>#N/A</v>
      </c>
      <c r="L16" s="11"/>
      <c r="M16" s="12"/>
      <c r="N16" s="12"/>
      <c r="O16" s="12"/>
      <c r="P16" s="12"/>
      <c r="Q16" s="12"/>
      <c r="R16" s="12"/>
      <c r="S16" s="12"/>
      <c r="T16" s="9"/>
      <c r="U16" s="9"/>
      <c r="V16" s="9"/>
      <c r="W16" s="9"/>
      <c r="X16" s="9"/>
      <c r="Y16" s="9"/>
      <c r="Z16" s="9"/>
      <c r="AA16" s="9"/>
      <c r="AB16" s="9"/>
      <c r="AC16" s="9"/>
    </row>
    <row r="17" spans="2:29" ht="15" x14ac:dyDescent="0.25">
      <c r="B17" s="26" t="s">
        <v>194</v>
      </c>
      <c r="C17" s="15" t="e">
        <f ca="1">VLOOKUP(CONCATENATE(LEFT(C$16, 7), "urban rural 2", $B17), [0]!data_range, 5, FALSE)</f>
        <v>#N/A</v>
      </c>
      <c r="D17" s="15" t="e">
        <f ca="1">VLOOKUP(CONCATENATE(LEFT(D$16, 7), "urban rural 2", $B17), [0]!data_range, 5, FALSE)</f>
        <v>#N/A</v>
      </c>
      <c r="E17" s="15" t="e">
        <f ca="1">VLOOKUP(CONCATENATE(LEFT(E$16, 7), "urban rural 2", $B17), [0]!data_range, 5, FALSE)</f>
        <v>#N/A</v>
      </c>
      <c r="F17" s="15" t="e">
        <f ca="1">VLOOKUP(CONCATENATE(LEFT(F$16, 7), "urban rural 2", $B17), [0]!data_range, 5, FALSE)</f>
        <v>#N/A</v>
      </c>
      <c r="G17" s="15" t="e">
        <f ca="1">VLOOKUP(CONCATENATE(LEFT(G$16, 7), "urban rural 2", $B17), [0]!data_range, 5, FALSE)</f>
        <v>#N/A</v>
      </c>
      <c r="H17" s="15" t="e">
        <f ca="1">VLOOKUP(CONCATENATE(LEFT(H$16, 7), "urban rural 2", $B17), [0]!data_range, 5, FALSE)</f>
        <v>#N/A</v>
      </c>
      <c r="I17" s="15" t="e">
        <f ca="1">VLOOKUP(CONCATENATE(LEFT(I$16, 7), "urban rural 2", $B17), [0]!data_range, 5, FALSE)</f>
        <v>#N/A</v>
      </c>
      <c r="J17" s="15" t="e">
        <f ca="1">VLOOKUP(CONCATENATE(LEFT(J$16, 7), "urban rural 2", $B17), [0]!data_range, 5, FALSE)</f>
        <v>#N/A</v>
      </c>
      <c r="K17" s="15" t="e">
        <f ca="1">VLOOKUP(CONCATENATE(LEFT(K$16, 7), "urban rural 2", $B17), [0]!data_range, 5, FALSE)</f>
        <v>#N/A</v>
      </c>
      <c r="L17" s="17"/>
      <c r="M17" s="14"/>
      <c r="N17" s="14"/>
      <c r="O17" s="14"/>
      <c r="P17" s="14"/>
      <c r="Q17" s="14"/>
      <c r="R17" s="1"/>
      <c r="S17" s="1"/>
      <c r="T17" s="9"/>
      <c r="U17" s="9"/>
      <c r="V17" s="9"/>
      <c r="W17" s="9"/>
      <c r="X17" s="9"/>
      <c r="Y17" s="9"/>
      <c r="Z17" s="9"/>
      <c r="AA17" s="9"/>
      <c r="AB17" s="9"/>
      <c r="AC17" s="9"/>
    </row>
    <row r="18" spans="2:29" ht="15" x14ac:dyDescent="0.25">
      <c r="B18" s="35" t="s">
        <v>195</v>
      </c>
      <c r="C18" s="16" t="e">
        <f ca="1">VLOOKUP(CONCATENATE(LEFT(C$16, 7), "urban rural 2", $B18), [0]!data_range, 5, FALSE)</f>
        <v>#N/A</v>
      </c>
      <c r="D18" s="16" t="e">
        <f ca="1">VLOOKUP(CONCATENATE(LEFT(D$16, 7), "urban rural 2", $B18), [0]!data_range, 5, FALSE)</f>
        <v>#N/A</v>
      </c>
      <c r="E18" s="16" t="e">
        <f ca="1">VLOOKUP(CONCATENATE(LEFT(E$16, 7), "urban rural 2", $B18), [0]!data_range, 5, FALSE)</f>
        <v>#N/A</v>
      </c>
      <c r="F18" s="16" t="e">
        <f ca="1">VLOOKUP(CONCATENATE(LEFT(F$16, 7), "urban rural 2", $B18), [0]!data_range, 5, FALSE)</f>
        <v>#N/A</v>
      </c>
      <c r="G18" s="16" t="e">
        <f ca="1">VLOOKUP(CONCATENATE(LEFT(G$16, 7), "urban rural 2", $B18), [0]!data_range, 5, FALSE)</f>
        <v>#N/A</v>
      </c>
      <c r="H18" s="16" t="e">
        <f ca="1">VLOOKUP(CONCATENATE(LEFT(H$16, 7), "urban rural 2", $B18), [0]!data_range, 5, FALSE)</f>
        <v>#N/A</v>
      </c>
      <c r="I18" s="16" t="e">
        <f ca="1">VLOOKUP(CONCATENATE(LEFT(I$16, 7), "urban rural 2", $B18), [0]!data_range, 5, FALSE)</f>
        <v>#N/A</v>
      </c>
      <c r="J18" s="16" t="e">
        <f ca="1">VLOOKUP(CONCATENATE(LEFT(J$16, 7), "urban rural 2", $B18), [0]!data_range, 5, FALSE)</f>
        <v>#N/A</v>
      </c>
      <c r="K18" s="16" t="e">
        <f ca="1">VLOOKUP(CONCATENATE(LEFT(K$16, 7), "urban rural 2", $B18), [0]!data_range, 5, FALSE)</f>
        <v>#N/A</v>
      </c>
      <c r="L18" s="17"/>
      <c r="M18" s="14"/>
      <c r="N18" s="14"/>
      <c r="O18" s="14"/>
      <c r="P18" s="14"/>
      <c r="Q18" s="14"/>
      <c r="R18" s="1"/>
      <c r="S18" s="1"/>
      <c r="T18" s="9"/>
      <c r="U18" s="9"/>
      <c r="V18" s="9"/>
      <c r="W18" s="9"/>
      <c r="X18" s="9"/>
      <c r="Y18" s="9"/>
      <c r="Z18" s="9"/>
      <c r="AA18" s="9"/>
      <c r="AB18" s="9"/>
      <c r="AC18" s="9"/>
    </row>
    <row r="19" spans="2:29" x14ac:dyDescent="0.2">
      <c r="H19" s="9"/>
      <c r="I19" s="9"/>
      <c r="J19" s="9"/>
      <c r="K19" s="9"/>
      <c r="L19" s="7"/>
      <c r="M19" s="8"/>
      <c r="N19" s="8"/>
      <c r="O19" s="9"/>
      <c r="P19" s="9"/>
      <c r="Q19" s="9"/>
      <c r="R19" s="9"/>
      <c r="S19" s="9"/>
      <c r="T19" s="9"/>
      <c r="U19" s="9"/>
      <c r="V19" s="9"/>
      <c r="W19" s="9"/>
      <c r="X19" s="9"/>
      <c r="Y19" s="9"/>
      <c r="Z19" s="9"/>
      <c r="AA19" s="9"/>
      <c r="AB19" s="9"/>
      <c r="AC19" s="9"/>
    </row>
    <row r="20" spans="2:29" x14ac:dyDescent="0.2">
      <c r="H20" s="9"/>
      <c r="I20" s="9"/>
      <c r="J20" s="9"/>
      <c r="K20" s="9"/>
      <c r="L20" s="5"/>
      <c r="M20" s="6"/>
      <c r="N20" s="6"/>
    </row>
    <row r="21" spans="2:29" x14ac:dyDescent="0.2">
      <c r="H21" s="9"/>
      <c r="I21" s="9"/>
      <c r="J21" s="9"/>
      <c r="K21" s="9"/>
      <c r="L21" s="5"/>
      <c r="M21" s="6"/>
      <c r="N21" s="6"/>
    </row>
    <row r="22" spans="2:29" x14ac:dyDescent="0.2">
      <c r="B22" s="19" t="s">
        <v>18</v>
      </c>
      <c r="L22" s="5"/>
      <c r="M22" s="6"/>
      <c r="N22" s="6"/>
    </row>
    <row r="23" spans="2:29" x14ac:dyDescent="0.2">
      <c r="B23" s="19"/>
      <c r="L23" s="5"/>
      <c r="M23" s="6"/>
      <c r="N23" s="6"/>
    </row>
    <row r="24" spans="2:29" ht="29.25" customHeight="1" x14ac:dyDescent="0.2">
      <c r="B24" s="94" t="s">
        <v>145</v>
      </c>
      <c r="C24" s="95"/>
      <c r="D24" s="95"/>
      <c r="E24" s="95"/>
      <c r="F24" s="95"/>
      <c r="G24" s="95"/>
      <c r="H24" s="95"/>
      <c r="I24" s="95"/>
      <c r="J24" s="95"/>
      <c r="K24" s="20"/>
      <c r="L24" s="5"/>
      <c r="M24" s="6"/>
      <c r="N24" s="6"/>
    </row>
    <row r="25" spans="2:29" x14ac:dyDescent="0.2">
      <c r="B25" s="3" t="s">
        <v>135</v>
      </c>
      <c r="D25" s="19" t="s">
        <v>144</v>
      </c>
      <c r="E25" s="19"/>
      <c r="F25" s="19"/>
      <c r="G25" s="19"/>
      <c r="H25" s="19"/>
      <c r="I25" s="19"/>
      <c r="J25" s="19"/>
      <c r="K25" s="19"/>
      <c r="L25" s="5"/>
      <c r="M25" s="6"/>
      <c r="N25" s="6"/>
    </row>
    <row r="26" spans="2:29" x14ac:dyDescent="0.2">
      <c r="L26" s="5"/>
      <c r="M26" s="6"/>
      <c r="N26" s="6"/>
    </row>
    <row r="27" spans="2:29" x14ac:dyDescent="0.2">
      <c r="B27" s="21" t="s">
        <v>155</v>
      </c>
      <c r="L27" s="5"/>
      <c r="M27" s="6"/>
      <c r="N27" s="6"/>
    </row>
    <row r="28" spans="2:29" x14ac:dyDescent="0.2">
      <c r="B28" s="21" t="s">
        <v>148</v>
      </c>
      <c r="L28" s="5"/>
      <c r="M28" s="6"/>
      <c r="N28" s="6"/>
    </row>
    <row r="29" spans="2:29" x14ac:dyDescent="0.2">
      <c r="B29" s="21" t="e">
        <f ca="1">"    1. Data for " &amp; [0]!fy_max &amp;" are incomplete and will be revised in October 20" &amp; RIGHT([0]!fy_max, 2) &amp; " publication"</f>
        <v>#N/A</v>
      </c>
      <c r="C29" s="6"/>
      <c r="D29" s="6"/>
      <c r="E29" s="6"/>
      <c r="F29" s="6"/>
      <c r="G29" s="22"/>
    </row>
    <row r="30" spans="2:29" x14ac:dyDescent="0.2">
      <c r="B30" s="23"/>
      <c r="C30" s="6"/>
      <c r="D30" s="6"/>
      <c r="E30" s="6"/>
      <c r="F30" s="6"/>
      <c r="G30" s="22"/>
    </row>
    <row r="31" spans="2:29" x14ac:dyDescent="0.2">
      <c r="B31" s="23"/>
      <c r="C31" s="6"/>
      <c r="D31" s="6"/>
      <c r="E31" s="6"/>
      <c r="F31" s="6"/>
      <c r="G31" s="22"/>
    </row>
    <row r="32" spans="2:29" x14ac:dyDescent="0.2">
      <c r="B32" s="23"/>
      <c r="C32" s="6"/>
      <c r="D32" s="6"/>
      <c r="E32" s="6"/>
      <c r="F32" s="6"/>
      <c r="G32" s="22"/>
    </row>
    <row r="33" spans="2:7" x14ac:dyDescent="0.2">
      <c r="B33" s="23"/>
      <c r="C33" s="6"/>
      <c r="D33" s="6"/>
      <c r="E33" s="6"/>
      <c r="F33" s="6"/>
      <c r="G33" s="22"/>
    </row>
    <row r="34" spans="2:7" x14ac:dyDescent="0.2">
      <c r="B34" s="23"/>
      <c r="C34" s="6"/>
      <c r="D34" s="6"/>
      <c r="E34" s="6"/>
      <c r="F34" s="6"/>
      <c r="G34" s="22"/>
    </row>
    <row r="35" spans="2:7" x14ac:dyDescent="0.2">
      <c r="B35" s="23"/>
      <c r="C35" s="6"/>
      <c r="D35" s="6"/>
      <c r="E35" s="6"/>
      <c r="F35" s="6"/>
      <c r="G35" s="24"/>
    </row>
    <row r="36" spans="2:7" x14ac:dyDescent="0.2">
      <c r="B36" s="23"/>
      <c r="C36" s="6"/>
      <c r="D36" s="6"/>
      <c r="E36" s="6"/>
      <c r="F36" s="6"/>
    </row>
    <row r="37" spans="2:7" x14ac:dyDescent="0.2">
      <c r="B37" s="23"/>
      <c r="C37" s="20"/>
      <c r="D37" s="6"/>
      <c r="E37" s="6"/>
      <c r="F37" s="6"/>
    </row>
    <row r="38" spans="2:7" x14ac:dyDescent="0.2">
      <c r="B38" s="23"/>
      <c r="C38" s="20"/>
      <c r="D38" s="6"/>
      <c r="E38" s="6"/>
      <c r="F38" s="6"/>
    </row>
    <row r="39" spans="2:7" x14ac:dyDescent="0.2">
      <c r="B39" s="23"/>
      <c r="C39" s="20"/>
      <c r="D39" s="6"/>
      <c r="E39" s="6"/>
      <c r="F39" s="6"/>
    </row>
    <row r="40" spans="2:7" x14ac:dyDescent="0.2">
      <c r="B40" s="23"/>
      <c r="C40" s="20"/>
      <c r="D40" s="6"/>
      <c r="E40" s="6"/>
      <c r="F40" s="6"/>
    </row>
    <row r="41" spans="2:7" x14ac:dyDescent="0.2">
      <c r="B41" s="23"/>
      <c r="C41" s="20"/>
      <c r="D41" s="6"/>
      <c r="E41" s="6"/>
      <c r="F41" s="6"/>
    </row>
    <row r="42" spans="2:7" x14ac:dyDescent="0.2">
      <c r="B42" s="23"/>
      <c r="C42" s="20"/>
      <c r="D42" s="6"/>
      <c r="E42" s="6"/>
      <c r="F42" s="6"/>
    </row>
    <row r="43" spans="2:7" x14ac:dyDescent="0.2">
      <c r="B43" s="23"/>
      <c r="C43" s="20"/>
      <c r="D43" s="6"/>
      <c r="E43" s="6"/>
      <c r="F43" s="6"/>
    </row>
    <row r="44" spans="2:7" x14ac:dyDescent="0.2">
      <c r="B44" s="23"/>
      <c r="C44" s="20"/>
      <c r="D44" s="6"/>
      <c r="E44" s="6"/>
      <c r="F44" s="6"/>
    </row>
    <row r="45" spans="2:7" x14ac:dyDescent="0.2">
      <c r="B45" s="23"/>
      <c r="C45" s="20"/>
      <c r="D45" s="6"/>
      <c r="E45" s="6"/>
      <c r="F45" s="6"/>
    </row>
    <row r="46" spans="2:7" x14ac:dyDescent="0.2">
      <c r="B46" s="23"/>
      <c r="C46" s="20"/>
      <c r="D46" s="6"/>
      <c r="E46" s="6"/>
      <c r="F46" s="6"/>
    </row>
    <row r="47" spans="2:7" x14ac:dyDescent="0.2">
      <c r="B47" s="23"/>
      <c r="C47" s="20"/>
      <c r="D47" s="6"/>
      <c r="E47" s="6"/>
      <c r="F47" s="6"/>
    </row>
    <row r="48" spans="2:7" x14ac:dyDescent="0.2">
      <c r="B48" s="23"/>
      <c r="C48" s="20"/>
      <c r="D48" s="6"/>
      <c r="E48" s="6"/>
      <c r="F48" s="6"/>
    </row>
    <row r="49" spans="2:6" x14ac:dyDescent="0.2">
      <c r="B49" s="23"/>
      <c r="C49" s="20"/>
      <c r="D49" s="6"/>
      <c r="E49" s="6"/>
      <c r="F49" s="6"/>
    </row>
    <row r="50" spans="2:6" x14ac:dyDescent="0.2">
      <c r="B50" s="23"/>
      <c r="C50" s="20"/>
      <c r="D50" s="6"/>
      <c r="E50" s="6"/>
      <c r="F50" s="6"/>
    </row>
    <row r="51" spans="2:6" x14ac:dyDescent="0.2">
      <c r="B51" s="23"/>
      <c r="C51" s="20"/>
      <c r="D51" s="6"/>
      <c r="E51" s="6"/>
      <c r="F51" s="6"/>
    </row>
    <row r="52" spans="2:6" x14ac:dyDescent="0.2">
      <c r="B52" s="23"/>
      <c r="C52" s="20"/>
      <c r="D52" s="6"/>
      <c r="E52" s="6"/>
      <c r="F52" s="6"/>
    </row>
    <row r="53" spans="2:6" x14ac:dyDescent="0.2">
      <c r="B53" s="23"/>
      <c r="C53" s="20"/>
      <c r="D53" s="6"/>
      <c r="E53" s="6"/>
      <c r="F53" s="6"/>
    </row>
    <row r="54" spans="2:6" x14ac:dyDescent="0.2">
      <c r="B54" s="23"/>
      <c r="C54" s="20"/>
      <c r="D54" s="6"/>
      <c r="E54" s="6"/>
      <c r="F54" s="6"/>
    </row>
    <row r="55" spans="2:6" x14ac:dyDescent="0.2">
      <c r="B55" s="23"/>
      <c r="C55" s="20"/>
      <c r="D55" s="6"/>
      <c r="E55" s="6"/>
      <c r="F55" s="6"/>
    </row>
    <row r="56" spans="2:6" x14ac:dyDescent="0.2">
      <c r="B56" s="23"/>
      <c r="C56" s="20"/>
      <c r="D56" s="6"/>
      <c r="E56" s="6"/>
      <c r="F56" s="6"/>
    </row>
  </sheetData>
  <mergeCells count="2">
    <mergeCell ref="B24:J24"/>
    <mergeCell ref="B1:J1"/>
  </mergeCells>
  <phoneticPr fontId="5" type="noConversion"/>
  <hyperlinks>
    <hyperlink ref="B22" location="'External Causes of Deaths'!A1" display="External causes of death excluded from analysis"/>
    <hyperlink ref="D25" r:id="rId1"/>
    <hyperlink ref="D25:J25" location="'Table 5 - Urban Rural'!A1" display="http://www.gov.scot/Topics/Statistics/About/Methodology/UrbanRuralClassification"/>
    <hyperlink ref="D25:K25" r:id="rId2" display="http://www.gov.scot/Topics/Statistics/About/Methodology/UrbanRuralClassification"/>
    <hyperlink ref="J25" r:id="rId3" display="http://www.gov.scot/Topics/Statistics/About/Methodology/UrbanRuralClassification"/>
    <hyperlink ref="K25"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P62"/>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16" ht="15.75" x14ac:dyDescent="0.25">
      <c r="B2" s="4" t="s">
        <v>18</v>
      </c>
    </row>
    <row r="3" spans="2:16" ht="15.75" x14ac:dyDescent="0.25">
      <c r="B3" s="4"/>
    </row>
    <row r="4" spans="2:16" x14ac:dyDescent="0.2">
      <c r="B4" s="19" t="s">
        <v>143</v>
      </c>
      <c r="D4" s="3"/>
      <c r="P4" s="82"/>
    </row>
    <row r="5" spans="2:16" x14ac:dyDescent="0.2">
      <c r="B5" s="19" t="s">
        <v>153</v>
      </c>
      <c r="D5" s="3"/>
      <c r="P5" s="82"/>
    </row>
    <row r="6" spans="2:16" s="43" customFormat="1" ht="15" x14ac:dyDescent="0.2">
      <c r="B6" s="44" t="s">
        <v>173</v>
      </c>
      <c r="C6" s="19"/>
      <c r="D6" s="19"/>
      <c r="E6" s="19"/>
      <c r="F6" s="19"/>
      <c r="G6" s="19"/>
      <c r="H6" s="19"/>
      <c r="I6" s="42"/>
      <c r="J6" s="42"/>
      <c r="K6" s="42"/>
      <c r="L6" s="42"/>
      <c r="M6" s="42"/>
      <c r="N6" s="82"/>
      <c r="O6" s="82"/>
      <c r="P6" s="82"/>
    </row>
    <row r="7" spans="2:16" x14ac:dyDescent="0.2">
      <c r="B7" s="19" t="s">
        <v>174</v>
      </c>
      <c r="D7" s="3"/>
      <c r="I7" s="42"/>
      <c r="J7" s="42"/>
      <c r="K7" s="42"/>
      <c r="L7" s="42"/>
      <c r="M7" s="42"/>
      <c r="N7" s="82"/>
      <c r="O7" s="82"/>
      <c r="P7" s="82"/>
    </row>
    <row r="8" spans="2:16" x14ac:dyDescent="0.2">
      <c r="B8" s="19" t="s">
        <v>175</v>
      </c>
      <c r="C8" s="19"/>
      <c r="D8" s="19"/>
      <c r="E8" s="19"/>
      <c r="F8" s="19"/>
      <c r="G8" s="19"/>
      <c r="H8" s="19"/>
      <c r="I8" s="42"/>
      <c r="J8" s="42"/>
      <c r="K8" s="42"/>
      <c r="L8" s="42"/>
      <c r="M8" s="42"/>
      <c r="N8" s="82"/>
      <c r="O8" s="82"/>
      <c r="P8" s="82"/>
    </row>
    <row r="9" spans="2:16" ht="12.75" customHeight="1" x14ac:dyDescent="0.2">
      <c r="B9" s="19" t="s">
        <v>176</v>
      </c>
      <c r="C9" s="19"/>
    </row>
    <row r="10" spans="2:16" ht="12.75" customHeight="1" x14ac:dyDescent="0.2">
      <c r="B10" s="19"/>
      <c r="C10" s="19"/>
    </row>
    <row r="11" spans="2:16" ht="11.25" customHeight="1" x14ac:dyDescent="0.2"/>
    <row r="13" spans="2:16" ht="15" x14ac:dyDescent="0.25">
      <c r="B13" s="83" t="s">
        <v>19</v>
      </c>
      <c r="C13" s="83" t="s">
        <v>20</v>
      </c>
    </row>
    <row r="14" spans="2:16" x14ac:dyDescent="0.2">
      <c r="B14" s="84"/>
      <c r="C14" s="85"/>
      <c r="D14" s="85"/>
      <c r="E14" s="85"/>
      <c r="F14" s="85"/>
      <c r="G14" s="85"/>
    </row>
    <row r="15" spans="2:16" ht="12.75" customHeight="1" x14ac:dyDescent="0.2">
      <c r="B15" s="86" t="s">
        <v>21</v>
      </c>
      <c r="C15" s="85"/>
      <c r="D15" s="85"/>
      <c r="E15" s="85"/>
      <c r="F15" s="85"/>
      <c r="G15" s="85"/>
    </row>
    <row r="16" spans="2:16" ht="12.75" customHeight="1" x14ac:dyDescent="0.2">
      <c r="B16" s="86"/>
      <c r="C16" s="85"/>
      <c r="D16" s="85"/>
      <c r="E16" s="85"/>
      <c r="F16" s="85"/>
      <c r="G16" s="85"/>
    </row>
    <row r="17" spans="2:7" ht="12.75" customHeight="1" x14ac:dyDescent="0.2">
      <c r="B17" s="87" t="s">
        <v>22</v>
      </c>
      <c r="C17" s="88" t="s">
        <v>23</v>
      </c>
      <c r="D17" s="85"/>
      <c r="E17" s="85"/>
      <c r="F17" s="85"/>
      <c r="G17" s="85"/>
    </row>
    <row r="18" spans="2:7" ht="12.75" customHeight="1" x14ac:dyDescent="0.2">
      <c r="B18" s="87" t="s">
        <v>24</v>
      </c>
      <c r="C18" s="88" t="s">
        <v>25</v>
      </c>
      <c r="D18" s="85"/>
      <c r="E18" s="85"/>
      <c r="F18" s="85"/>
      <c r="G18" s="85"/>
    </row>
    <row r="19" spans="2:7" ht="12.75" customHeight="1" x14ac:dyDescent="0.2">
      <c r="B19" s="87" t="s">
        <v>26</v>
      </c>
      <c r="C19" s="88" t="s">
        <v>27</v>
      </c>
      <c r="D19" s="85"/>
      <c r="E19" s="85"/>
      <c r="F19" s="85"/>
      <c r="G19" s="85"/>
    </row>
    <row r="20" spans="2:7" ht="12.75" customHeight="1" x14ac:dyDescent="0.2">
      <c r="B20" s="87" t="s">
        <v>28</v>
      </c>
      <c r="C20" s="88" t="s">
        <v>29</v>
      </c>
      <c r="D20" s="85"/>
      <c r="E20" s="85"/>
      <c r="F20" s="85"/>
      <c r="G20" s="85"/>
    </row>
    <row r="21" spans="2:7" ht="12.75" customHeight="1" x14ac:dyDescent="0.2">
      <c r="B21" s="87" t="s">
        <v>30</v>
      </c>
      <c r="C21" s="88" t="s">
        <v>31</v>
      </c>
      <c r="D21" s="85"/>
      <c r="E21" s="85"/>
      <c r="F21" s="85"/>
      <c r="G21" s="85"/>
    </row>
    <row r="22" spans="2:7" ht="12.75" customHeight="1" x14ac:dyDescent="0.2">
      <c r="B22" s="87" t="s">
        <v>32</v>
      </c>
      <c r="C22" s="88" t="s">
        <v>33</v>
      </c>
    </row>
    <row r="23" spans="2:7" ht="12.75" customHeight="1" x14ac:dyDescent="0.2">
      <c r="B23" s="87" t="s">
        <v>34</v>
      </c>
      <c r="C23" s="88" t="s">
        <v>35</v>
      </c>
    </row>
    <row r="24" spans="2:7" ht="12.75" customHeight="1" x14ac:dyDescent="0.2">
      <c r="B24" s="87" t="s">
        <v>36</v>
      </c>
      <c r="C24" s="88" t="s">
        <v>37</v>
      </c>
    </row>
    <row r="25" spans="2:7" ht="12.75" customHeight="1" x14ac:dyDescent="0.2">
      <c r="B25" s="87" t="s">
        <v>38</v>
      </c>
      <c r="C25" s="88" t="s">
        <v>39</v>
      </c>
    </row>
    <row r="26" spans="2:7" ht="12.75" customHeight="1" x14ac:dyDescent="0.2">
      <c r="B26" s="87" t="s">
        <v>40</v>
      </c>
      <c r="C26" s="88" t="s">
        <v>41</v>
      </c>
    </row>
    <row r="27" spans="2:7" ht="12.75" customHeight="1" x14ac:dyDescent="0.2">
      <c r="B27" s="87" t="s">
        <v>42</v>
      </c>
      <c r="C27" s="88" t="s">
        <v>43</v>
      </c>
    </row>
    <row r="28" spans="2:7" ht="12.75" customHeight="1" x14ac:dyDescent="0.2">
      <c r="B28" s="87" t="s">
        <v>44</v>
      </c>
      <c r="C28" s="88" t="s">
        <v>45</v>
      </c>
    </row>
    <row r="29" spans="2:7" ht="12.75" customHeight="1" x14ac:dyDescent="0.2">
      <c r="B29" s="87"/>
      <c r="C29" s="88"/>
    </row>
    <row r="30" spans="2:7" x14ac:dyDescent="0.2">
      <c r="B30" s="9"/>
      <c r="C30" s="9"/>
    </row>
    <row r="31" spans="2:7" ht="12.75" customHeight="1" x14ac:dyDescent="0.2">
      <c r="B31" s="97" t="s">
        <v>46</v>
      </c>
      <c r="C31" s="97"/>
    </row>
    <row r="32" spans="2:7" ht="12.75" customHeight="1" x14ac:dyDescent="0.2">
      <c r="B32" s="86"/>
      <c r="C32" s="86"/>
    </row>
    <row r="33" spans="2:3" x14ac:dyDescent="0.2">
      <c r="B33" s="87" t="s">
        <v>47</v>
      </c>
      <c r="C33" s="88" t="s">
        <v>48</v>
      </c>
    </row>
    <row r="34" spans="2:3" x14ac:dyDescent="0.2">
      <c r="B34" s="87" t="s">
        <v>49</v>
      </c>
      <c r="C34" s="88" t="s">
        <v>50</v>
      </c>
    </row>
    <row r="35" spans="2:3" x14ac:dyDescent="0.2">
      <c r="B35" s="87" t="s">
        <v>51</v>
      </c>
      <c r="C35" s="88" t="s">
        <v>52</v>
      </c>
    </row>
    <row r="36" spans="2:3" x14ac:dyDescent="0.2">
      <c r="B36" s="87" t="s">
        <v>53</v>
      </c>
      <c r="C36" s="88" t="s">
        <v>54</v>
      </c>
    </row>
    <row r="37" spans="2:3" ht="12.75" customHeight="1" x14ac:dyDescent="0.2">
      <c r="B37" s="87" t="s">
        <v>55</v>
      </c>
      <c r="C37" s="88" t="s">
        <v>56</v>
      </c>
    </row>
    <row r="38" spans="2:3" x14ac:dyDescent="0.2">
      <c r="B38" s="87" t="s">
        <v>57</v>
      </c>
      <c r="C38" s="88" t="s">
        <v>58</v>
      </c>
    </row>
    <row r="39" spans="2:3" x14ac:dyDescent="0.2">
      <c r="B39" s="87" t="s">
        <v>59</v>
      </c>
      <c r="C39" s="88" t="s">
        <v>60</v>
      </c>
    </row>
    <row r="40" spans="2:3" x14ac:dyDescent="0.2">
      <c r="B40" s="87" t="s">
        <v>61</v>
      </c>
      <c r="C40" s="88" t="s">
        <v>62</v>
      </c>
    </row>
    <row r="41" spans="2:3" x14ac:dyDescent="0.2">
      <c r="B41" s="87" t="s">
        <v>63</v>
      </c>
      <c r="C41" s="88" t="s">
        <v>64</v>
      </c>
    </row>
    <row r="42" spans="2:3" ht="12.75" customHeight="1" x14ac:dyDescent="0.2">
      <c r="B42" s="87" t="s">
        <v>65</v>
      </c>
      <c r="C42" s="88" t="s">
        <v>66</v>
      </c>
    </row>
    <row r="43" spans="2:3" x14ac:dyDescent="0.2">
      <c r="B43" s="87" t="s">
        <v>67</v>
      </c>
      <c r="C43" s="88" t="s">
        <v>68</v>
      </c>
    </row>
    <row r="44" spans="2:3" x14ac:dyDescent="0.2">
      <c r="B44" s="87" t="s">
        <v>69</v>
      </c>
      <c r="C44" s="88" t="s">
        <v>70</v>
      </c>
    </row>
    <row r="45" spans="2:3" x14ac:dyDescent="0.2">
      <c r="B45" s="87" t="s">
        <v>71</v>
      </c>
      <c r="C45" s="88" t="s">
        <v>72</v>
      </c>
    </row>
    <row r="46" spans="2:3" x14ac:dyDescent="0.2">
      <c r="B46" s="87" t="s">
        <v>73</v>
      </c>
      <c r="C46" s="88" t="s">
        <v>74</v>
      </c>
    </row>
    <row r="47" spans="2:3" x14ac:dyDescent="0.2">
      <c r="B47" s="87" t="s">
        <v>75</v>
      </c>
      <c r="C47" s="88" t="s">
        <v>76</v>
      </c>
    </row>
    <row r="48" spans="2:3" x14ac:dyDescent="0.2">
      <c r="B48" s="87" t="s">
        <v>77</v>
      </c>
      <c r="C48" s="88" t="s">
        <v>78</v>
      </c>
    </row>
    <row r="49" spans="2:3" x14ac:dyDescent="0.2">
      <c r="B49" s="87"/>
      <c r="C49" s="88"/>
    </row>
    <row r="50" spans="2:3" x14ac:dyDescent="0.2">
      <c r="B50" s="96"/>
      <c r="C50" s="96"/>
    </row>
    <row r="51" spans="2:3" ht="12.75" customHeight="1" x14ac:dyDescent="0.2">
      <c r="B51" s="97" t="s">
        <v>79</v>
      </c>
      <c r="C51" s="97"/>
    </row>
    <row r="52" spans="2:3" ht="12.75" customHeight="1" x14ac:dyDescent="0.2">
      <c r="B52" s="86"/>
      <c r="C52" s="86"/>
    </row>
    <row r="53" spans="2:3" ht="12.75" customHeight="1" x14ac:dyDescent="0.2">
      <c r="B53" s="87" t="s">
        <v>80</v>
      </c>
      <c r="C53" s="88" t="s">
        <v>81</v>
      </c>
    </row>
    <row r="54" spans="2:3" ht="12.75" customHeight="1" x14ac:dyDescent="0.2">
      <c r="B54" s="87" t="s">
        <v>82</v>
      </c>
      <c r="C54" s="88" t="s">
        <v>83</v>
      </c>
    </row>
    <row r="55" spans="2:3" ht="12.75" customHeight="1" x14ac:dyDescent="0.2">
      <c r="B55" s="87" t="s">
        <v>84</v>
      </c>
      <c r="C55" s="88" t="s">
        <v>85</v>
      </c>
    </row>
    <row r="56" spans="2:3" ht="25.5" customHeight="1" x14ac:dyDescent="0.2">
      <c r="B56" s="87" t="s">
        <v>86</v>
      </c>
      <c r="C56" s="88" t="s">
        <v>87</v>
      </c>
    </row>
    <row r="59" spans="2:3" x14ac:dyDescent="0.2">
      <c r="B59" s="54" t="s">
        <v>139</v>
      </c>
    </row>
    <row r="61" spans="2:3" x14ac:dyDescent="0.2">
      <c r="B61" s="21" t="s">
        <v>88</v>
      </c>
    </row>
    <row r="62" spans="2:3" x14ac:dyDescent="0.2">
      <c r="B62" s="19" t="s">
        <v>89</v>
      </c>
      <c r="C62" s="19"/>
    </row>
  </sheetData>
  <mergeCells count="3">
    <mergeCell ref="B50:C50"/>
    <mergeCell ref="B51:C51"/>
    <mergeCell ref="B31:C31"/>
  </mergeCells>
  <phoneticPr fontId="5" type="noConversion"/>
  <hyperlinks>
    <hyperlink ref="B62" r:id="rId1" display="http://www.who.int/classifications/icd/en/"/>
    <hyperlink ref="B6:H6" location="'Table 3 - Age Gender'!A1" display="Table 3: Percentage of time in the last six months of life spent at home or in a community setting (by Age and Gender)"/>
    <hyperlink ref="B8:H8" location="'Table 5 - Urban Rural'!A1" display="Table 5: Percentage of time in the last six months of life spent at home or in a community setting (by Urban/Rural Classification)"/>
    <hyperlink ref="B62:C62" r:id="rId2" display=" http://www.who.int/classifications/icd/en/"/>
    <hyperlink ref="B7" location="'Table 4 - Age Gender'!A1" display="Table 4: Percentage of time in the last six months of life spent at home or in a community setting (by Age and Gender)"/>
    <hyperlink ref="B9" location="'Table 6 - Urban Rural'!A1" display="Table 6: Percentage of time in the last six months of life spent at home or in a community setting (by Urban/Rural Classification)"/>
    <hyperlink ref="B4" location="'Table 1 - HB'!A1" display="Table 1: Percentage of time in the last six months of life spent at home or in a community setting (by Health Board of Residence)"/>
    <hyperlink ref="B5" location="'Table 2 - HSCP'!A1" display="Table 2: Percentage of time in the last six months of life spent at home or in a community setting (by Health and Social Care Partnership)"/>
    <hyperlink ref="B8" location="'Table 5 - Deprivation'!A1" display="Table 5: Percentage of time in the last six months of life spent at home or in a community setting (by Deprivation Category)"/>
    <hyperlink ref="B6"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197</v>
      </c>
      <c r="B1" s="9" t="s">
        <v>179</v>
      </c>
      <c r="C1" s="9" t="s">
        <v>180</v>
      </c>
      <c r="D1" s="9" t="s">
        <v>181</v>
      </c>
      <c r="E1" s="9" t="s">
        <v>182</v>
      </c>
      <c r="F1" s="9" t="s">
        <v>183</v>
      </c>
      <c r="G1" s="9" t="s">
        <v>184</v>
      </c>
      <c r="H1" s="9" t="s">
        <v>185</v>
      </c>
    </row>
    <row r="2" spans="1:11" x14ac:dyDescent="0.2">
      <c r="A2" s="9" t="str">
        <f>CONCATENATE(B2, C2, D2)</f>
        <v>000</v>
      </c>
      <c r="B2" s="33">
        <v>0</v>
      </c>
      <c r="C2" s="9">
        <v>0</v>
      </c>
      <c r="D2" s="9">
        <v>0</v>
      </c>
      <c r="E2" s="25">
        <v>0</v>
      </c>
      <c r="F2" s="15">
        <v>0</v>
      </c>
      <c r="G2" s="9">
        <v>0</v>
      </c>
      <c r="H2" s="9">
        <v>0</v>
      </c>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7"/>
  <sheetViews>
    <sheetView workbookViewId="0"/>
  </sheetViews>
  <sheetFormatPr defaultRowHeight="12.75" x14ac:dyDescent="0.2"/>
  <cols>
    <col min="1" max="1" width="29.42578125" bestFit="1" customWidth="1"/>
  </cols>
  <sheetData>
    <row r="1" spans="1:2" x14ac:dyDescent="0.2">
      <c r="A1" s="2" t="s">
        <v>196</v>
      </c>
      <c r="B1">
        <f>COUNTA(data!B:B)-1</f>
        <v>1</v>
      </c>
    </row>
    <row r="2" spans="1:2" x14ac:dyDescent="0.2">
      <c r="A2" s="2" t="s">
        <v>198</v>
      </c>
      <c r="B2">
        <f>COUNTA(data!1:1)</f>
        <v>8</v>
      </c>
    </row>
    <row r="4" spans="1:2" x14ac:dyDescent="0.2">
      <c r="A4" s="37" t="s">
        <v>201</v>
      </c>
      <c r="B4" t="s">
        <v>202</v>
      </c>
    </row>
    <row r="6" spans="1:2" x14ac:dyDescent="0.2">
      <c r="A6" t="s">
        <v>203</v>
      </c>
      <c r="B6">
        <f ca="1">SUMPRODUCT(1/COUNTIF(OFFSET(data!$B$2, 0, 0, calculation!$B$1, 1), OFFSET(data!$B$2, 0, 0, calculation!$B$1, 1)))</f>
        <v>1</v>
      </c>
    </row>
    <row r="7" spans="1:2" x14ac:dyDescent="0.2">
      <c r="A7" t="s">
        <v>204</v>
      </c>
      <c r="B7">
        <f ca="1">COUNTA('Table 1 - HB'!6:6)</f>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Notes</vt:lpstr>
      <vt:lpstr>Table 1 - HB</vt:lpstr>
      <vt:lpstr>Table 2 - HSCP</vt:lpstr>
      <vt:lpstr>Table 3 - LA</vt:lpstr>
      <vt:lpstr>Table 4 - Age Gender</vt:lpstr>
      <vt:lpstr>Table 5 - Deprivation</vt:lpstr>
      <vt:lpstr>Table 6 -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2019-10-21T17:14:25Z</dcterms:modified>
</cp:coreProperties>
</file>