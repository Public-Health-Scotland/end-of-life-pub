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harts/chart1.xml" ContentType="application/vnd.openxmlformats-officedocument.drawingml.chart+xml"/>
  <Override PartName="/xl/drawings/drawing3.xml" ContentType="application/vnd.openxmlformats-officedocument.drawing+xml"/>
  <Override PartName="/xl/ctrlProps/ctrlProp2.xml" ContentType="application/vnd.ms-excel.controlproperties+xml"/>
  <Override PartName="/xl/charts/chart2.xml" ContentType="application/vnd.openxmlformats-officedocument.drawingml.chart+xml"/>
  <Override PartName="/xl/drawings/drawing4.xml" ContentType="application/vnd.openxmlformats-officedocument.drawing+xml"/>
  <Override PartName="/xl/ctrlProps/ctrlProp3.xml" ContentType="application/vnd.ms-excel.controlproperties+xml"/>
  <Override PartName="/xl/charts/chart3.xml" ContentType="application/vnd.openxmlformats-officedocument.drawingml.chart+xml"/>
  <Override PartName="/xl/drawings/drawing5.xml" ContentType="application/vnd.openxmlformats-officedocument.drawing+xml"/>
  <Override PartName="/xl/ctrlProps/ctrlProp4.xml" ContentType="application/vnd.ms-excel.controlproperties+xml"/>
  <Override PartName="/xl/charts/chart4.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24226"/>
  <mc:AlternateContent xmlns:mc="http://schemas.openxmlformats.org/markup-compatibility/2006">
    <mc:Choice Requires="x15">
      <x15ac:absPath xmlns:x15ac="http://schemas.microsoft.com/office/spreadsheetml/2010/11/ac" url="\\stats\irf\18-End-of-Life\Publication\Sissi\end-of-life-pub\reference-files\"/>
    </mc:Choice>
  </mc:AlternateContent>
  <xr:revisionPtr revIDLastSave="0" documentId="13_ncr:1_{BC74F8B3-F913-44F1-81AB-F187C15981AE}" xr6:coauthVersionLast="47" xr6:coauthVersionMax="47" xr10:uidLastSave="{00000000-0000-0000-0000-000000000000}"/>
  <bookViews>
    <workbookView xWindow="-108" yWindow="-108" windowWidth="23256" windowHeight="12456" tabRatio="888" xr2:uid="{00000000-000D-0000-FFFF-FFFF00000000}"/>
  </bookViews>
  <sheets>
    <sheet name="Notes" sheetId="1" r:id="rId1"/>
    <sheet name="Table 1 - HB" sheetId="2" r:id="rId2"/>
    <sheet name="Figure A1-1 - HB" sheetId="15" r:id="rId3"/>
    <sheet name="Table 2 - HSCP" sheetId="5" r:id="rId4"/>
    <sheet name="Figure A1-2 - HSCP" sheetId="16" r:id="rId5"/>
    <sheet name="Table 3 - Age Sex" sheetId="11" r:id="rId6"/>
    <sheet name="Table 4 - Deprivation" sheetId="8" r:id="rId7"/>
    <sheet name="Figure A1-3 - Deprivation" sheetId="17" r:id="rId8"/>
    <sheet name="Table 5 - Urban Rural" sheetId="9" r:id="rId9"/>
    <sheet name="Figure A1-4 - Urban Rural" sheetId="19" r:id="rId10"/>
    <sheet name="Table 6 - LA" sheetId="12" r:id="rId11"/>
    <sheet name="External Causes of Deaths" sheetId="20" r:id="rId12"/>
    <sheet name="data" sheetId="13" r:id="rId13"/>
    <sheet name="calculation" sheetId="14" r:id="rId14"/>
  </sheets>
  <externalReferences>
    <externalReference r:id="rId15"/>
  </externalReferences>
  <definedNames>
    <definedName name="data_range" localSheetId="11">OFFSET([1]data!$A$2, 0, 0, [1]calculation!$B$1, [1]calculation!$B$2)</definedName>
    <definedName name="data_range">OFFSET(data!$A$2, 0, 0, calculation!$B$1, calculation!$B$2)</definedName>
    <definedName name="figure1_home">OFFSET('[1]Figure 1 Background Data'!$C$8, 0, 0, [1]calculation!$B$7, 1)</definedName>
    <definedName name="figure1_hospital">OFFSET('[1]Figure 1 Background Data'!$D$8, 0, 0, [1]calculation!$B$7, 1)</definedName>
    <definedName name="figure1_year">OFFSET('[1]Figure 1 Background Data'!$B$8, 0, 0, [1]calculation!$B$7, 1)</definedName>
    <definedName name="figurea11percent">OFFSET('Figure A1-1 - HB'!$N$8, 0,0, 1, COUNTA('Figure A1-1 - HB'!$8:$8)-1)</definedName>
    <definedName name="figurea11year">OFFSET('Figure A1-1 - HB'!$N$7, 0, 0, 1, COUNTA('Figure A1-1 - HB'!$7:$7))</definedName>
    <definedName name="figurea12percent">OFFSET('Figure A1-2 - HSCP'!$N$8, 0,0, 1, COUNTA('Figure A1-2 - HSCP'!$8:$8)-1)</definedName>
    <definedName name="figurea12year">OFFSET('Figure A1-2 - HSCP'!$N$7, 0, 0, 1, COUNTA('Figure A1-2 - HSCP'!$7:$7))</definedName>
    <definedName name="figurea13percent">OFFSET('Figure A1-3 - Deprivation'!$N$8, 0,0, 1, COUNTA('Figure A1-3 - Deprivation'!$8:$8)-1)</definedName>
    <definedName name="figurea13year">OFFSET('Figure A1-3 - Deprivation'!$N$7, 0, 0, 1, COUNTA('Figure A1-3 - Deprivation'!$7:$7))</definedName>
    <definedName name="figurea14percent">OFFSET('Figure A1-4 - Urban Rural'!$N$8, 0,0, 1, COUNTA('Figure A1-4 - Urban Rural'!$8:$8)-1)</definedName>
    <definedName name="figurea14year">OFFSET('Figure A1-4 - Urban Rural'!$N$7, 0, 0, 1, COUNTA('Figure A1-4 - Urban Rural'!$7:$7))</definedName>
    <definedName name="fy_max" localSheetId="11">OFFSET('[1]Figure 1 Background Data'!$A$7, [1]calculation!$B$7, 0, 1, 1)</definedName>
    <definedName name="fy_max">calculation!$K$9</definedName>
    <definedName name="fy_range" localSheetId="11">OFFSET([1]data!$B$2, 0, 0, [1]calculation!$B$1, 1)</definedName>
    <definedName name="fy_range">OFFSET(data!$B$2, 0, 0, calculation!$B$1, 1)</definedName>
    <definedName name="_xlnm.Print_Area" localSheetId="11">'External Causes of Deaths'!$A$2:$E$49</definedName>
    <definedName name="_xlnm.Print_Area" localSheetId="0">Notes!$A$2:$P$57</definedName>
    <definedName name="_xlnm.Print_Area" localSheetId="1">OFFSET('Table 1 - HB'!$A$2, 0, 0, 29, calculation!$B$6+2)</definedName>
    <definedName name="_xlnm.Print_Area" localSheetId="3">OFFSET('Table 2 - HSCP'!$A$2, 0, 0, 46, calculation!$B$6+2)</definedName>
    <definedName name="_xlnm.Print_Area" localSheetId="5">OFFSET('Table 3 - Age Sex'!$A$2, 0, 0, 34, calculation!$B$6+3)</definedName>
    <definedName name="_xlnm.Print_Area" localSheetId="6">OFFSET('Table 4 - Deprivation'!$A$2, 0, 0, 30, calculation!$B$6+2)</definedName>
    <definedName name="_xlnm.Print_Area" localSheetId="8">OFFSET('Table 5 - Urban Rural'!$A$2, 0, 0, 28, calculation!$B$6+2)</definedName>
    <definedName name="_xlnm.Print_Area" localSheetId="10">OFFSET('Table 6 - LA'!$A$2, 0, 0, 47, calculation!$B$6+2)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7" i="12" l="1"/>
  <c r="B38" i="19"/>
  <c r="B25" i="9"/>
  <c r="B38" i="17"/>
  <c r="B25" i="8"/>
  <c r="B40" i="11"/>
  <c r="B38" i="16"/>
  <c r="B47" i="5"/>
  <c r="B38" i="15"/>
  <c r="B29" i="2"/>
  <c r="E17" i="14" l="1"/>
  <c r="A671" i="13" l="1"/>
  <c r="A672" i="13"/>
  <c r="A783" i="13"/>
  <c r="A784" i="13"/>
  <c r="A895" i="13"/>
  <c r="A896" i="13"/>
  <c r="A1007" i="13"/>
  <c r="A1008" i="13"/>
  <c r="A113" i="13"/>
  <c r="A225" i="13"/>
  <c r="A337" i="13"/>
  <c r="A449" i="13"/>
  <c r="A561" i="13"/>
  <c r="A673" i="13"/>
  <c r="A785" i="13"/>
  <c r="A897" i="13"/>
  <c r="A1009" i="13"/>
  <c r="A1010" i="13"/>
  <c r="A1011" i="13"/>
  <c r="A1012" i="13"/>
  <c r="A1013" i="13"/>
  <c r="A1014" i="13"/>
  <c r="A1015" i="13"/>
  <c r="A1016" i="13"/>
  <c r="A1017" i="13"/>
  <c r="A1018" i="13"/>
  <c r="A1019" i="13"/>
  <c r="A1020" i="13"/>
  <c r="A1021" i="13"/>
  <c r="A1022" i="13"/>
  <c r="A1023" i="13"/>
  <c r="A1024" i="13"/>
  <c r="A1025" i="13"/>
  <c r="A1026" i="13"/>
  <c r="A1027" i="13"/>
  <c r="A1028" i="13"/>
  <c r="A1029" i="13"/>
  <c r="A1030" i="13"/>
  <c r="A1031" i="13"/>
  <c r="A1032" i="13"/>
  <c r="A1033" i="13"/>
  <c r="A1034" i="13"/>
  <c r="A1035" i="13"/>
  <c r="A1036" i="13"/>
  <c r="A1037" i="13"/>
  <c r="A1038" i="13"/>
  <c r="A1039" i="13"/>
  <c r="A1040" i="13"/>
  <c r="A1041" i="13"/>
  <c r="A1042" i="13"/>
  <c r="A1043" i="13"/>
  <c r="A1044" i="13"/>
  <c r="A1045" i="13"/>
  <c r="A1046" i="13"/>
  <c r="A1047" i="13"/>
  <c r="A1048" i="13"/>
  <c r="A1049" i="13"/>
  <c r="A1050" i="13"/>
  <c r="A1051" i="13"/>
  <c r="A1052" i="13"/>
  <c r="A1053" i="13"/>
  <c r="A1054" i="13"/>
  <c r="A1055" i="13"/>
  <c r="A1056" i="13"/>
  <c r="A1057" i="13"/>
  <c r="A1058" i="13"/>
  <c r="A1059" i="13"/>
  <c r="A1060" i="13"/>
  <c r="A1061" i="13"/>
  <c r="A1062" i="13"/>
  <c r="A1063" i="13"/>
  <c r="A1064" i="13"/>
  <c r="A1065" i="13"/>
  <c r="A1066" i="13"/>
  <c r="A1067" i="13"/>
  <c r="A1068" i="13"/>
  <c r="A1069" i="13"/>
  <c r="A1070" i="13"/>
  <c r="A1071" i="13"/>
  <c r="A1072" i="13"/>
  <c r="A1073" i="13"/>
  <c r="A1074" i="13"/>
  <c r="A1075" i="13"/>
  <c r="A1076" i="13"/>
  <c r="A1077" i="13"/>
  <c r="A1078" i="13"/>
  <c r="A1079" i="13"/>
  <c r="A1080" i="13"/>
  <c r="A1081" i="13"/>
  <c r="A1082" i="13"/>
  <c r="A1083" i="13"/>
  <c r="A1084" i="13"/>
  <c r="A1085" i="13"/>
  <c r="A1086" i="13"/>
  <c r="A1087" i="13"/>
  <c r="A1088" i="13"/>
  <c r="A1089" i="13"/>
  <c r="A1090" i="13"/>
  <c r="A1091" i="13"/>
  <c r="A1092" i="13"/>
  <c r="A1093" i="13"/>
  <c r="A1094" i="13"/>
  <c r="A1095" i="13"/>
  <c r="A1096" i="13"/>
  <c r="A1097" i="13"/>
  <c r="A1098" i="13"/>
  <c r="A1099" i="13"/>
  <c r="A1100" i="13"/>
  <c r="A1101" i="13"/>
  <c r="A1102" i="13"/>
  <c r="A1103" i="13"/>
  <c r="A1104" i="13"/>
  <c r="A1105" i="13"/>
  <c r="A1106" i="13"/>
  <c r="A1107" i="13"/>
  <c r="A1108" i="13"/>
  <c r="A1109" i="13"/>
  <c r="A1110" i="13"/>
  <c r="A1111" i="13"/>
  <c r="A1112" i="13"/>
  <c r="A1113" i="13"/>
  <c r="A1114" i="13"/>
  <c r="A1115" i="13"/>
  <c r="A1116" i="13"/>
  <c r="A1117" i="13"/>
  <c r="A1118" i="13"/>
  <c r="A1119" i="13"/>
  <c r="A1120" i="13"/>
  <c r="A1121" i="13"/>
  <c r="A1122" i="13"/>
  <c r="A1123" i="13"/>
  <c r="A1124" i="13"/>
  <c r="A1125" i="13"/>
  <c r="A1126" i="13"/>
  <c r="A1127" i="13"/>
  <c r="A1128" i="13"/>
  <c r="A1129" i="13"/>
  <c r="A1130" i="13"/>
  <c r="A1131" i="13"/>
  <c r="A1132" i="13"/>
  <c r="A1133" i="13"/>
  <c r="A1134" i="13"/>
  <c r="A1135" i="13"/>
  <c r="A1136" i="13"/>
  <c r="A1137" i="13"/>
  <c r="A1138" i="13"/>
  <c r="A1139" i="13"/>
  <c r="A1140" i="13"/>
  <c r="A1141" i="13"/>
  <c r="A1142" i="13"/>
  <c r="A1143" i="13"/>
  <c r="A1144" i="13"/>
  <c r="A1145" i="13"/>
  <c r="A1146" i="13"/>
  <c r="A1147" i="13"/>
  <c r="A1148" i="13"/>
  <c r="A1149" i="13"/>
  <c r="A1150" i="13"/>
  <c r="A1151" i="13"/>
  <c r="A1152" i="13"/>
  <c r="A1153" i="13"/>
  <c r="A1154" i="13"/>
  <c r="A1155" i="13"/>
  <c r="A1156" i="13"/>
  <c r="A1157" i="13"/>
  <c r="A1158" i="13"/>
  <c r="A1159" i="13"/>
  <c r="A1160" i="13"/>
  <c r="A1161" i="13"/>
  <c r="A1162" i="13"/>
  <c r="A1163" i="13"/>
  <c r="A1164" i="13"/>
  <c r="A1165" i="13"/>
  <c r="A1166" i="13"/>
  <c r="A1167" i="13"/>
  <c r="A1168" i="13"/>
  <c r="A1169" i="13"/>
  <c r="A1170" i="13"/>
  <c r="A1171" i="13"/>
  <c r="A1172" i="13"/>
  <c r="A1173" i="13"/>
  <c r="A1174" i="13"/>
  <c r="A1175" i="13"/>
  <c r="A1176" i="13"/>
  <c r="A1177" i="13"/>
  <c r="A1178" i="13"/>
  <c r="A1179" i="13"/>
  <c r="A1180" i="13"/>
  <c r="A1181" i="13"/>
  <c r="A1182" i="13"/>
  <c r="A1183" i="13"/>
  <c r="A1184" i="13"/>
  <c r="A1185" i="13"/>
  <c r="A1186" i="13"/>
  <c r="A1187" i="13"/>
  <c r="A1188" i="13"/>
  <c r="A1189" i="13"/>
  <c r="A1190" i="13"/>
  <c r="A1191" i="13"/>
  <c r="A1192" i="13"/>
  <c r="A1193" i="13"/>
  <c r="A1194" i="13"/>
  <c r="A1195" i="13"/>
  <c r="A1196" i="13"/>
  <c r="A1197" i="13"/>
  <c r="A1198" i="13"/>
  <c r="A1199" i="13"/>
  <c r="A1200" i="13"/>
  <c r="A1201" i="13"/>
  <c r="A1202" i="13"/>
  <c r="A1203" i="13"/>
  <c r="A1204" i="13"/>
  <c r="A1205" i="13"/>
  <c r="A1206" i="13"/>
  <c r="A1207" i="13"/>
  <c r="A1208" i="13"/>
  <c r="A1209" i="13"/>
  <c r="A1210" i="13"/>
  <c r="A1211" i="13"/>
  <c r="A1212" i="13"/>
  <c r="A1213" i="13"/>
  <c r="A1214" i="13"/>
  <c r="A1215" i="13"/>
  <c r="A1216" i="13"/>
  <c r="A1217" i="13"/>
  <c r="A1218" i="13"/>
  <c r="A1219" i="13"/>
  <c r="A1220" i="13"/>
  <c r="A1221" i="13"/>
  <c r="A1222" i="13"/>
  <c r="A1223" i="13"/>
  <c r="A1224" i="13"/>
  <c r="A1225" i="13"/>
  <c r="A1226" i="13"/>
  <c r="A1227" i="13"/>
  <c r="A1228" i="13"/>
  <c r="A1229" i="13"/>
  <c r="A1230" i="13"/>
  <c r="A1231" i="13"/>
  <c r="A1232" i="13"/>
  <c r="A1233" i="13"/>
  <c r="A1234" i="13"/>
  <c r="A1235" i="13"/>
  <c r="A1236" i="13"/>
  <c r="A1237" i="13"/>
  <c r="A1238" i="13"/>
  <c r="A1239" i="13"/>
  <c r="A1240" i="13"/>
  <c r="A1241" i="13"/>
  <c r="A1242" i="13"/>
  <c r="A1243" i="13"/>
  <c r="A1244" i="13"/>
  <c r="A1245" i="13"/>
  <c r="A1246" i="13"/>
  <c r="A1247" i="13"/>
  <c r="A1248" i="13"/>
  <c r="A1249" i="13"/>
  <c r="A1250" i="13"/>
  <c r="A1251" i="13"/>
  <c r="A1252" i="13"/>
  <c r="A1253" i="13"/>
  <c r="A1254" i="13"/>
  <c r="A1255" i="13"/>
  <c r="A1256" i="13"/>
  <c r="A1257" i="13"/>
  <c r="A1258" i="13"/>
  <c r="A1259" i="13"/>
  <c r="A1260" i="13"/>
  <c r="A1261" i="13"/>
  <c r="A1262" i="13"/>
  <c r="A1263" i="13"/>
  <c r="A1264" i="13"/>
  <c r="A1265" i="13"/>
  <c r="A1266" i="13"/>
  <c r="A1267" i="13"/>
  <c r="A1268" i="13"/>
  <c r="A1269" i="13"/>
  <c r="A1270" i="13"/>
  <c r="A1271" i="13"/>
  <c r="A1272" i="13"/>
  <c r="A1273" i="13"/>
  <c r="A1274" i="13"/>
  <c r="A1275" i="13"/>
  <c r="A1276" i="13"/>
  <c r="A1277" i="13"/>
  <c r="A1278" i="13"/>
  <c r="A1279" i="13"/>
  <c r="A1280" i="13"/>
  <c r="A1281" i="13"/>
  <c r="A1282" i="13"/>
  <c r="A1283" i="13"/>
  <c r="A1284" i="13"/>
  <c r="A1285" i="13"/>
  <c r="A1286" i="13"/>
  <c r="A1287" i="13"/>
  <c r="A1288" i="13"/>
  <c r="A1289" i="13"/>
  <c r="A1290" i="13"/>
  <c r="A1291" i="13"/>
  <c r="A1292" i="13"/>
  <c r="A1293" i="13"/>
  <c r="A1294" i="13"/>
  <c r="A1295" i="13"/>
  <c r="A1296" i="13"/>
  <c r="A1297" i="13"/>
  <c r="A1298" i="13"/>
  <c r="A1299" i="13"/>
  <c r="A1300" i="13"/>
  <c r="A1301" i="13"/>
  <c r="A1302" i="13"/>
  <c r="A1303" i="13"/>
  <c r="A1304" i="13"/>
  <c r="A1305" i="13"/>
  <c r="A1306" i="13"/>
  <c r="A1307" i="13"/>
  <c r="A1308" i="13"/>
  <c r="A1309" i="13"/>
  <c r="A1310" i="13"/>
  <c r="A1311" i="13"/>
  <c r="A1312" i="13"/>
  <c r="A1313" i="13"/>
  <c r="A1314" i="13"/>
  <c r="A1315" i="13"/>
  <c r="A1316" i="13"/>
  <c r="A1317" i="13"/>
  <c r="A1318" i="13"/>
  <c r="A1319" i="13"/>
  <c r="A1320" i="13"/>
  <c r="A1321" i="13"/>
  <c r="A1322" i="13"/>
  <c r="A1323" i="13"/>
  <c r="A1324" i="13"/>
  <c r="A1325" i="13"/>
  <c r="A1326" i="13"/>
  <c r="A1327" i="13"/>
  <c r="A1328" i="13"/>
  <c r="A1329" i="13"/>
  <c r="A1330" i="13"/>
  <c r="A1331" i="13"/>
  <c r="A1332" i="13"/>
  <c r="A1333" i="13"/>
  <c r="A1334" i="13"/>
  <c r="A1335" i="13"/>
  <c r="A1336" i="13"/>
  <c r="A1337" i="13"/>
  <c r="A1338" i="13"/>
  <c r="A1339" i="13"/>
  <c r="A1340" i="13"/>
  <c r="A1341" i="13"/>
  <c r="A1342" i="13"/>
  <c r="A1343" i="13"/>
  <c r="A1344" i="13"/>
  <c r="A1345" i="13"/>
  <c r="A1346" i="13"/>
  <c r="A1347" i="13"/>
  <c r="A1348" i="13"/>
  <c r="A1349" i="13"/>
  <c r="A1350" i="13"/>
  <c r="A1351" i="13"/>
  <c r="A1352" i="13"/>
  <c r="A1353" i="13"/>
  <c r="A1354" i="13"/>
  <c r="A1355" i="13"/>
  <c r="A1356" i="13"/>
  <c r="A1357" i="13"/>
  <c r="A1358" i="13"/>
  <c r="A1359" i="13"/>
  <c r="A1360" i="13"/>
  <c r="A1361" i="13"/>
  <c r="A1362" i="13"/>
  <c r="A1363" i="13"/>
  <c r="A1364" i="13"/>
  <c r="A1365" i="13"/>
  <c r="A1366" i="13"/>
  <c r="A1367" i="13"/>
  <c r="A1368" i="13"/>
  <c r="A1369" i="13"/>
  <c r="A1370" i="13"/>
  <c r="A1371" i="13"/>
  <c r="A1372" i="13"/>
  <c r="A1373" i="13"/>
  <c r="A1374" i="13"/>
  <c r="A1375" i="13"/>
  <c r="A1376" i="13"/>
  <c r="A1377" i="13"/>
  <c r="A1378" i="13"/>
  <c r="A1379" i="13"/>
  <c r="A1380" i="13"/>
  <c r="A1381" i="13"/>
  <c r="A1382" i="13"/>
  <c r="A1383" i="13"/>
  <c r="A1384" i="13"/>
  <c r="A1385" i="13"/>
  <c r="A1386" i="13"/>
  <c r="A1387" i="13"/>
  <c r="A1388" i="13"/>
  <c r="A1389" i="13"/>
  <c r="A1390" i="13"/>
  <c r="A1391" i="13"/>
  <c r="A1392" i="13"/>
  <c r="A1393" i="13"/>
  <c r="A1394" i="13"/>
  <c r="A1395" i="13"/>
  <c r="A1396" i="13"/>
  <c r="A1397" i="13"/>
  <c r="A1398" i="13"/>
  <c r="A1399" i="13"/>
  <c r="A1400" i="13"/>
  <c r="A1401" i="13"/>
  <c r="A1402" i="13"/>
  <c r="A1403" i="13"/>
  <c r="A1404" i="13"/>
  <c r="A1405" i="13"/>
  <c r="A1406" i="13"/>
  <c r="A1407" i="13"/>
  <c r="A1408" i="13"/>
  <c r="A1409" i="13"/>
  <c r="A1410" i="13"/>
  <c r="A1411" i="13"/>
  <c r="A1412" i="13"/>
  <c r="A1413" i="13"/>
  <c r="A1414" i="13"/>
  <c r="A1415" i="13"/>
  <c r="A1416" i="13"/>
  <c r="A1417" i="13"/>
  <c r="A1418" i="13"/>
  <c r="A1419" i="13"/>
  <c r="A1420" i="13"/>
  <c r="A1421" i="13"/>
  <c r="A1422" i="13"/>
  <c r="A1423" i="13"/>
  <c r="A1424" i="13"/>
  <c r="A1425" i="13"/>
  <c r="A1426" i="13"/>
  <c r="A1427" i="13"/>
  <c r="A1428" i="13"/>
  <c r="A1429" i="13"/>
  <c r="A1430" i="13"/>
  <c r="A1431" i="13"/>
  <c r="A1432" i="13"/>
  <c r="A1433" i="13"/>
  <c r="A1434" i="13"/>
  <c r="A1435" i="13"/>
  <c r="A1436" i="13"/>
  <c r="A1437" i="13"/>
  <c r="A1438" i="13"/>
  <c r="A1439" i="13"/>
  <c r="A1440" i="13"/>
  <c r="A1441" i="13"/>
  <c r="A1442" i="13"/>
  <c r="A1443" i="13"/>
  <c r="A1444" i="13"/>
  <c r="A1445" i="13"/>
  <c r="A1446" i="13"/>
  <c r="A1447" i="13"/>
  <c r="A1448" i="13"/>
  <c r="A1449" i="13"/>
  <c r="A1450" i="13"/>
  <c r="A1451" i="13"/>
  <c r="A1452" i="13"/>
  <c r="A1453" i="13"/>
  <c r="A1454" i="13"/>
  <c r="A1455" i="13"/>
  <c r="A1456" i="13"/>
  <c r="A1457" i="13"/>
  <c r="A1458" i="13"/>
  <c r="A1459" i="13"/>
  <c r="A1460" i="13"/>
  <c r="A1461" i="13"/>
  <c r="A1462" i="13"/>
  <c r="A1463" i="13"/>
  <c r="A1464" i="13"/>
  <c r="A1465" i="13"/>
  <c r="A1466" i="13"/>
  <c r="A1467" i="13"/>
  <c r="A1468" i="13"/>
  <c r="A1469" i="13"/>
  <c r="A1470" i="13"/>
  <c r="A1471" i="13"/>
  <c r="A1472" i="13"/>
  <c r="A1473" i="13"/>
  <c r="A1474" i="13"/>
  <c r="A1475" i="13"/>
  <c r="A1476" i="13"/>
  <c r="A1477" i="13"/>
  <c r="A1478" i="13"/>
  <c r="A1479" i="13"/>
  <c r="A1480" i="13"/>
  <c r="A1481" i="13"/>
  <c r="A1482" i="13"/>
  <c r="A1483" i="13"/>
  <c r="A1484" i="13"/>
  <c r="A1485" i="13"/>
  <c r="A1486" i="13"/>
  <c r="A1487" i="13"/>
  <c r="A1488" i="13"/>
  <c r="A1489" i="13"/>
  <c r="A1490" i="13"/>
  <c r="A1491" i="13"/>
  <c r="A1492" i="13"/>
  <c r="A1493" i="13"/>
  <c r="A1494" i="13"/>
  <c r="A1495" i="13"/>
  <c r="A1496" i="13"/>
  <c r="A1497" i="13"/>
  <c r="A1498" i="13"/>
  <c r="A1499" i="13"/>
  <c r="A1500" i="13"/>
  <c r="A1501" i="13"/>
  <c r="A1502" i="13"/>
  <c r="A1503" i="13"/>
  <c r="A1504" i="13"/>
  <c r="A1505" i="13"/>
  <c r="A1506" i="13"/>
  <c r="A1507" i="13"/>
  <c r="A1508" i="13"/>
  <c r="A1509" i="13"/>
  <c r="A1510" i="13"/>
  <c r="A1511" i="13"/>
  <c r="A1512" i="13"/>
  <c r="A1513" i="13"/>
  <c r="A1514" i="13"/>
  <c r="A1515" i="13"/>
  <c r="A1516" i="13"/>
  <c r="A1517" i="13"/>
  <c r="A1518" i="13"/>
  <c r="A1519" i="13"/>
  <c r="A1520" i="13"/>
  <c r="A1521" i="13"/>
  <c r="A1522" i="13"/>
  <c r="A1523" i="13"/>
  <c r="A1524" i="13"/>
  <c r="A1525" i="13"/>
  <c r="A1526" i="13"/>
  <c r="A1527" i="13"/>
  <c r="A1528" i="13"/>
  <c r="A1529" i="13"/>
  <c r="A1530" i="13"/>
  <c r="A1531" i="13"/>
  <c r="A1532" i="13"/>
  <c r="A1533" i="13"/>
  <c r="A1534" i="13"/>
  <c r="A1535" i="13"/>
  <c r="A1536" i="13"/>
  <c r="A1537" i="13"/>
  <c r="A1538" i="13"/>
  <c r="A1539" i="13"/>
  <c r="A1540" i="13"/>
  <c r="A1541" i="13"/>
  <c r="A1542" i="13"/>
  <c r="A1543" i="13"/>
  <c r="A1544" i="13"/>
  <c r="A1545" i="13"/>
  <c r="A1546" i="13"/>
  <c r="A1547" i="13"/>
  <c r="A1548" i="13"/>
  <c r="A1549" i="13"/>
  <c r="A1550" i="13"/>
  <c r="A1551" i="13"/>
  <c r="A1552" i="13"/>
  <c r="A1553" i="13"/>
  <c r="A1554" i="13"/>
  <c r="A1555" i="13"/>
  <c r="A1556" i="13"/>
  <c r="A1557" i="13"/>
  <c r="A1558" i="13"/>
  <c r="A1559" i="13"/>
  <c r="A1560" i="13"/>
  <c r="A1561" i="13"/>
  <c r="A1562" i="13"/>
  <c r="A1563" i="13"/>
  <c r="A1564" i="13"/>
  <c r="A1565" i="13"/>
  <c r="A1566" i="13"/>
  <c r="A1567" i="13"/>
  <c r="A1568" i="13"/>
  <c r="A1569" i="13"/>
  <c r="A1570" i="13"/>
  <c r="A1571" i="13"/>
  <c r="A1572" i="13"/>
  <c r="A1573" i="13"/>
  <c r="A1574" i="13"/>
  <c r="A1575" i="13"/>
  <c r="A1576" i="13"/>
  <c r="A1577" i="13"/>
  <c r="A1578" i="13"/>
  <c r="A1579" i="13"/>
  <c r="A1580" i="13"/>
  <c r="A1581" i="13"/>
  <c r="A1582" i="13"/>
  <c r="A1583" i="13"/>
  <c r="A1584" i="13"/>
  <c r="A1585" i="13"/>
  <c r="A1586" i="13"/>
  <c r="A1587" i="13"/>
  <c r="A1588" i="13"/>
  <c r="A1589" i="13"/>
  <c r="A1590" i="13"/>
  <c r="A1591" i="13"/>
  <c r="A1592" i="13"/>
  <c r="A1593" i="13"/>
  <c r="A1594" i="13"/>
  <c r="A1595" i="13"/>
  <c r="A1596" i="13"/>
  <c r="A1597" i="13"/>
  <c r="A1598" i="13"/>
  <c r="A1599" i="13"/>
  <c r="A1600" i="13"/>
  <c r="A1601" i="13"/>
  <c r="A1602" i="13"/>
  <c r="A1603" i="13"/>
  <c r="A1604" i="13"/>
  <c r="A1605" i="13"/>
  <c r="A1606" i="13"/>
  <c r="A1607" i="13"/>
  <c r="A1608" i="13"/>
  <c r="A1609" i="13"/>
  <c r="A1610" i="13"/>
  <c r="A1611" i="13"/>
  <c r="A1612" i="13"/>
  <c r="A1613" i="13"/>
  <c r="A1614" i="13"/>
  <c r="A1615" i="13"/>
  <c r="A1616" i="13"/>
  <c r="A1617" i="13"/>
  <c r="A1618" i="13"/>
  <c r="A1619" i="13"/>
  <c r="A1620" i="13"/>
  <c r="A1621" i="13"/>
  <c r="A1622" i="13"/>
  <c r="A1623" i="13"/>
  <c r="A1624" i="13"/>
  <c r="A1625" i="13"/>
  <c r="A1626" i="13"/>
  <c r="A1627" i="13"/>
  <c r="A1628" i="13"/>
  <c r="A1629" i="13"/>
  <c r="A1630" i="13"/>
  <c r="A1631" i="13"/>
  <c r="A1632" i="13"/>
  <c r="A1633" i="13"/>
  <c r="A1634" i="13"/>
  <c r="A1635" i="13"/>
  <c r="A1636" i="13"/>
  <c r="A1637" i="13"/>
  <c r="A1638" i="13"/>
  <c r="A1639" i="13"/>
  <c r="A1640" i="13"/>
  <c r="A1641" i="13"/>
  <c r="A1642" i="13"/>
  <c r="A1643" i="13"/>
  <c r="A1644" i="13"/>
  <c r="A1645" i="13"/>
  <c r="A1646" i="13"/>
  <c r="A1647" i="13"/>
  <c r="A1648" i="13"/>
  <c r="A1649" i="13"/>
  <c r="A1650" i="13"/>
  <c r="A1651" i="13"/>
  <c r="A1652" i="13"/>
  <c r="A1653" i="13"/>
  <c r="A1654" i="13"/>
  <c r="A1655" i="13"/>
  <c r="A1656" i="13"/>
  <c r="A1657" i="13"/>
  <c r="A1658" i="13"/>
  <c r="A1659" i="13"/>
  <c r="A1660" i="13"/>
  <c r="A1661" i="13"/>
  <c r="A1662" i="13"/>
  <c r="A1663" i="13"/>
  <c r="A1664" i="13"/>
  <c r="A1665" i="13"/>
  <c r="A1666" i="13"/>
  <c r="A1667" i="13"/>
  <c r="A1668" i="13"/>
  <c r="A1669" i="13"/>
  <c r="A1670" i="13"/>
  <c r="A1671" i="13"/>
  <c r="A1672" i="13"/>
  <c r="A1673" i="13"/>
  <c r="A1674" i="13"/>
  <c r="A1675" i="13"/>
  <c r="A1676" i="13"/>
  <c r="A1677" i="13"/>
  <c r="A1678" i="13"/>
  <c r="A1679" i="13"/>
  <c r="A1680" i="13"/>
  <c r="A1681" i="13"/>
  <c r="A1682" i="13"/>
  <c r="A1683" i="13"/>
  <c r="A1684" i="13"/>
  <c r="A1685" i="13"/>
  <c r="A1686" i="13"/>
  <c r="A1687" i="13"/>
  <c r="A1688" i="13"/>
  <c r="A1689" i="13"/>
  <c r="A1690" i="13"/>
  <c r="A1691" i="13"/>
  <c r="A1692" i="13"/>
  <c r="A1693" i="13"/>
  <c r="A1694" i="13"/>
  <c r="A1695" i="13"/>
  <c r="A1696" i="13"/>
  <c r="A1697" i="13"/>
  <c r="A1698" i="13"/>
  <c r="A1699" i="13"/>
  <c r="A1700" i="13"/>
  <c r="A1701" i="13"/>
  <c r="A1702" i="13"/>
  <c r="A1703" i="13"/>
  <c r="A1704" i="13"/>
  <c r="A1705" i="13"/>
  <c r="A1706" i="13"/>
  <c r="A1707" i="13"/>
  <c r="A1708" i="13"/>
  <c r="A1709" i="13"/>
  <c r="A1710" i="13"/>
  <c r="A1711" i="13"/>
  <c r="A1712" i="13"/>
  <c r="A1713" i="13"/>
  <c r="A1714" i="13"/>
  <c r="A1715" i="13"/>
  <c r="A1716" i="13"/>
  <c r="A1717" i="13"/>
  <c r="A1718" i="13"/>
  <c r="A1719" i="13"/>
  <c r="A1720" i="13"/>
  <c r="A1721" i="13"/>
  <c r="A1722" i="13"/>
  <c r="A1723" i="13"/>
  <c r="A1724" i="13"/>
  <c r="A1725" i="13"/>
  <c r="A1726" i="13"/>
  <c r="A1727" i="13"/>
  <c r="A1728" i="13"/>
  <c r="A1729" i="13"/>
  <c r="A1730" i="13"/>
  <c r="A1731" i="13"/>
  <c r="A1732" i="13"/>
  <c r="A1733" i="13"/>
  <c r="A1734" i="13"/>
  <c r="A1735" i="13"/>
  <c r="A1736" i="13"/>
  <c r="A1737" i="13"/>
  <c r="A1738" i="13"/>
  <c r="A1739" i="13"/>
  <c r="A1740" i="13"/>
  <c r="A1741" i="13"/>
  <c r="A1742" i="13"/>
  <c r="A1743" i="13"/>
  <c r="A1744" i="13"/>
  <c r="A1745" i="13"/>
  <c r="A1746" i="13"/>
  <c r="A1747" i="13"/>
  <c r="A1748" i="13"/>
  <c r="A1749" i="13"/>
  <c r="A1750" i="13"/>
  <c r="A1751" i="13"/>
  <c r="A1752" i="13"/>
  <c r="A1753" i="13"/>
  <c r="A1754" i="13"/>
  <c r="A1755" i="13"/>
  <c r="A1756" i="13"/>
  <c r="A1757" i="13"/>
  <c r="A1758" i="13"/>
  <c r="A1759" i="13"/>
  <c r="A1760" i="13"/>
  <c r="A1761" i="13"/>
  <c r="A1762" i="13"/>
  <c r="A1763" i="13"/>
  <c r="A1764" i="13"/>
  <c r="A1765" i="13"/>
  <c r="A1766" i="13"/>
  <c r="A1767" i="13"/>
  <c r="A1768" i="13"/>
  <c r="A1769" i="13"/>
  <c r="A1770" i="13"/>
  <c r="A1771" i="13"/>
  <c r="A1772" i="13"/>
  <c r="A1773" i="13"/>
  <c r="A1774" i="13"/>
  <c r="A1775" i="13"/>
  <c r="A1776" i="13"/>
  <c r="A1777" i="13"/>
  <c r="A1778" i="13"/>
  <c r="A1779" i="13"/>
  <c r="A1780" i="13"/>
  <c r="A1781" i="13"/>
  <c r="A1782" i="13"/>
  <c r="A1783" i="13"/>
  <c r="A1784" i="13"/>
  <c r="A1785" i="13"/>
  <c r="A1786" i="13"/>
  <c r="A1787" i="13"/>
  <c r="A1788" i="13"/>
  <c r="A1789" i="13"/>
  <c r="A1790" i="13"/>
  <c r="A1791" i="13"/>
  <c r="A1792" i="13"/>
  <c r="A1793" i="13"/>
  <c r="A1794" i="13"/>
  <c r="A1795" i="13"/>
  <c r="A1796" i="13"/>
  <c r="A1797" i="13"/>
  <c r="A1798" i="13"/>
  <c r="A1799" i="13"/>
  <c r="A1800" i="13"/>
  <c r="A1801" i="13"/>
  <c r="A1802" i="13"/>
  <c r="A1803" i="13"/>
  <c r="A1804" i="13"/>
  <c r="A1805" i="13"/>
  <c r="A1806" i="13"/>
  <c r="A1807" i="13"/>
  <c r="A1808" i="13"/>
  <c r="A1809" i="13"/>
  <c r="A1810" i="13"/>
  <c r="A1811" i="13"/>
  <c r="A1812" i="13"/>
  <c r="A1813" i="13"/>
  <c r="A1814" i="13"/>
  <c r="A1815" i="13"/>
  <c r="A1816" i="13"/>
  <c r="A1817" i="13"/>
  <c r="A1818" i="13"/>
  <c r="A1819" i="13"/>
  <c r="A1820" i="13"/>
  <c r="A1821" i="13"/>
  <c r="A1822" i="13"/>
  <c r="A1823" i="13"/>
  <c r="A1824" i="13"/>
  <c r="A1825" i="13"/>
  <c r="A1826" i="13"/>
  <c r="A1827" i="13"/>
  <c r="A1828" i="13"/>
  <c r="A1829" i="13"/>
  <c r="A1830" i="13"/>
  <c r="A1831" i="13"/>
  <c r="A1832" i="13"/>
  <c r="A1833" i="13"/>
  <c r="A1834" i="13"/>
  <c r="A1835" i="13"/>
  <c r="A1836" i="13"/>
  <c r="A1837" i="13"/>
  <c r="A1838" i="13"/>
  <c r="A1839" i="13"/>
  <c r="A1840" i="13"/>
  <c r="A1841" i="13"/>
  <c r="A1842" i="13"/>
  <c r="A1843" i="13"/>
  <c r="A1844" i="13"/>
  <c r="A1845" i="13"/>
  <c r="A1846" i="13"/>
  <c r="A1847" i="13"/>
  <c r="A1848" i="13"/>
  <c r="A1849" i="13"/>
  <c r="A1850" i="13"/>
  <c r="A1851" i="13"/>
  <c r="A1852" i="13"/>
  <c r="A1853" i="13"/>
  <c r="A1854" i="13"/>
  <c r="A1855" i="13"/>
  <c r="A1856" i="13"/>
  <c r="A1857" i="13"/>
  <c r="A1858" i="13"/>
  <c r="A1859" i="13"/>
  <c r="A1860" i="13"/>
  <c r="A1861" i="13"/>
  <c r="A1862" i="13"/>
  <c r="A1863" i="13"/>
  <c r="A1864" i="13"/>
  <c r="A1865" i="13"/>
  <c r="A1866" i="13"/>
  <c r="A1867" i="13"/>
  <c r="A1868" i="13"/>
  <c r="A1869" i="13"/>
  <c r="A1870" i="13"/>
  <c r="A1871" i="13"/>
  <c r="A1872" i="13"/>
  <c r="A1873" i="13"/>
  <c r="A1874" i="13"/>
  <c r="A1875" i="13"/>
  <c r="A1876" i="13"/>
  <c r="A1877" i="13"/>
  <c r="A1878" i="13"/>
  <c r="A1879" i="13"/>
  <c r="A1880" i="13"/>
  <c r="A1881" i="13"/>
  <c r="A1882" i="13"/>
  <c r="A1883" i="13"/>
  <c r="A1884" i="13"/>
  <c r="A1885" i="13"/>
  <c r="A1886" i="13"/>
  <c r="A1887" i="13"/>
  <c r="A1888" i="13"/>
  <c r="A1889" i="13"/>
  <c r="A1890" i="13"/>
  <c r="A1891" i="13"/>
  <c r="A1892" i="13"/>
  <c r="A1893" i="13"/>
  <c r="A1894" i="13"/>
  <c r="A1895" i="13"/>
  <c r="A1896" i="13"/>
  <c r="A1897" i="13"/>
  <c r="A1898" i="13"/>
  <c r="A1899" i="13"/>
  <c r="A1900" i="13"/>
  <c r="A1901" i="13"/>
  <c r="A1902" i="13"/>
  <c r="A1903" i="13"/>
  <c r="A1904" i="13"/>
  <c r="A1905" i="13"/>
  <c r="A1906" i="13"/>
  <c r="A1907" i="13"/>
  <c r="A1908" i="13"/>
  <c r="A1909" i="13"/>
  <c r="A1910" i="13"/>
  <c r="A1911" i="13"/>
  <c r="A1912" i="13"/>
  <c r="A1913" i="13"/>
  <c r="A1914" i="13"/>
  <c r="A1915" i="13"/>
  <c r="A1916" i="13"/>
  <c r="A1917" i="13"/>
  <c r="A1918" i="13"/>
  <c r="A1919" i="13"/>
  <c r="A1920" i="13"/>
  <c r="A1921" i="13"/>
  <c r="A1922" i="13"/>
  <c r="A1923" i="13"/>
  <c r="A1924" i="13"/>
  <c r="A1925" i="13"/>
  <c r="A1926" i="13"/>
  <c r="A1927" i="13"/>
  <c r="A1928" i="13"/>
  <c r="A1929" i="13"/>
  <c r="A1930" i="13"/>
  <c r="A1931" i="13"/>
  <c r="A1932" i="13"/>
  <c r="A1933" i="13"/>
  <c r="A1934" i="13"/>
  <c r="A1935" i="13"/>
  <c r="A1936" i="13"/>
  <c r="A1937" i="13"/>
  <c r="A1938" i="13"/>
  <c r="A1939" i="13"/>
  <c r="A1940" i="13"/>
  <c r="A1941" i="13"/>
  <c r="A1942" i="13"/>
  <c r="A1943" i="13"/>
  <c r="A1944" i="13"/>
  <c r="A1945" i="13"/>
  <c r="A1946" i="13"/>
  <c r="A1947" i="13"/>
  <c r="A1948" i="13"/>
  <c r="A1949" i="13"/>
  <c r="A1950" i="13"/>
  <c r="A1951" i="13"/>
  <c r="A1952" i="13"/>
  <c r="A1953" i="13"/>
  <c r="A1954" i="13"/>
  <c r="A1955" i="13"/>
  <c r="A1956" i="13"/>
  <c r="A1957" i="13"/>
  <c r="A1958" i="13"/>
  <c r="A1959" i="13"/>
  <c r="A1960" i="13"/>
  <c r="A1961" i="13"/>
  <c r="A1962" i="13"/>
  <c r="A1963" i="13"/>
  <c r="A1964" i="13"/>
  <c r="A1965" i="13"/>
  <c r="A1966" i="13"/>
  <c r="A1967" i="13"/>
  <c r="A1968" i="13"/>
  <c r="A1969" i="13"/>
  <c r="A1970" i="13"/>
  <c r="A1971" i="13"/>
  <c r="A1972" i="13"/>
  <c r="A1973" i="13"/>
  <c r="A1974" i="13"/>
  <c r="A1975" i="13"/>
  <c r="A1976" i="13"/>
  <c r="A1977" i="13"/>
  <c r="A1978" i="13"/>
  <c r="A1979" i="13"/>
  <c r="A1980" i="13"/>
  <c r="A1981" i="13"/>
  <c r="A1982" i="13"/>
  <c r="A1983" i="13"/>
  <c r="A1984" i="13"/>
  <c r="A1985" i="13"/>
  <c r="A1986" i="13"/>
  <c r="A1987" i="13"/>
  <c r="A1988" i="13"/>
  <c r="A1989" i="13"/>
  <c r="A1990" i="13"/>
  <c r="A1991" i="13"/>
  <c r="A1992" i="13"/>
  <c r="A1993" i="13"/>
  <c r="A1994" i="13"/>
  <c r="A1995" i="13"/>
  <c r="A1996" i="13"/>
  <c r="A1997" i="13"/>
  <c r="A1998" i="13"/>
  <c r="A1999" i="13"/>
  <c r="A2000" i="13"/>
  <c r="A2001" i="13"/>
  <c r="A2002" i="13"/>
  <c r="A2003" i="13"/>
  <c r="A2004" i="13"/>
  <c r="A2005" i="13"/>
  <c r="A2006" i="13"/>
  <c r="A2007" i="13"/>
  <c r="A2008" i="13"/>
  <c r="A2009" i="13"/>
  <c r="A2010" i="13"/>
  <c r="A2011" i="13"/>
  <c r="A2012" i="13"/>
  <c r="A2013" i="13"/>
  <c r="A2014" i="13"/>
  <c r="A2015" i="13"/>
  <c r="A2016" i="13"/>
  <c r="A2017" i="13"/>
  <c r="A2018" i="13"/>
  <c r="A2019" i="13"/>
  <c r="A2020" i="13"/>
  <c r="A2021" i="13"/>
  <c r="A2022" i="13"/>
  <c r="A2023" i="13"/>
  <c r="A2024" i="13"/>
  <c r="A2025" i="13"/>
  <c r="A2026" i="13"/>
  <c r="A2027" i="13"/>
  <c r="A2028" i="13"/>
  <c r="A2029" i="13"/>
  <c r="A2030" i="13"/>
  <c r="A2031" i="13"/>
  <c r="A2032" i="13"/>
  <c r="A2033" i="13"/>
  <c r="A2034" i="13"/>
  <c r="A2035" i="13"/>
  <c r="A2036" i="13"/>
  <c r="A2037" i="13"/>
  <c r="A2038" i="13"/>
  <c r="A2039" i="13"/>
  <c r="A2040" i="13"/>
  <c r="A2041" i="13"/>
  <c r="A2042" i="13"/>
  <c r="A2043" i="13"/>
  <c r="A2044" i="13"/>
  <c r="A2045" i="13"/>
  <c r="A2046" i="13"/>
  <c r="A2047" i="13"/>
  <c r="A2048" i="13"/>
  <c r="A2049" i="13"/>
  <c r="A2050" i="13"/>
  <c r="A2051" i="13"/>
  <c r="A2052" i="13"/>
  <c r="A2053" i="13"/>
  <c r="A2054" i="13"/>
  <c r="A2055" i="13"/>
  <c r="A2056" i="13"/>
  <c r="A2057" i="13"/>
  <c r="A2058" i="13"/>
  <c r="A2059" i="13"/>
  <c r="A2060" i="13"/>
  <c r="A2061" i="13"/>
  <c r="A2062" i="13"/>
  <c r="A2063" i="13"/>
  <c r="A2064" i="13"/>
  <c r="A2065" i="13"/>
  <c r="A2066" i="13"/>
  <c r="A2067" i="13"/>
  <c r="A2068" i="13"/>
  <c r="A2069" i="13"/>
  <c r="A2070" i="13"/>
  <c r="A2071" i="13"/>
  <c r="A2072" i="13"/>
  <c r="A2073" i="13"/>
  <c r="A2074" i="13"/>
  <c r="A2075" i="13"/>
  <c r="A2076" i="13"/>
  <c r="A2077" i="13"/>
  <c r="A2078" i="13"/>
  <c r="A2079" i="13"/>
  <c r="A2080" i="13"/>
  <c r="A2081" i="13"/>
  <c r="A2082" i="13"/>
  <c r="A2083" i="13"/>
  <c r="A2084" i="13"/>
  <c r="A2085" i="13"/>
  <c r="A2086" i="13"/>
  <c r="A2087" i="13"/>
  <c r="A2088" i="13"/>
  <c r="A2089" i="13"/>
  <c r="A2090" i="13"/>
  <c r="A2091" i="13"/>
  <c r="A2092" i="13"/>
  <c r="A2093" i="13"/>
  <c r="A2094" i="13"/>
  <c r="A2095" i="13"/>
  <c r="A2096" i="13"/>
  <c r="A2097" i="13"/>
  <c r="A2098" i="13"/>
  <c r="A2099" i="13"/>
  <c r="A2100" i="13"/>
  <c r="A2101" i="13"/>
  <c r="A2102" i="13"/>
  <c r="A2103" i="13"/>
  <c r="A2104" i="13"/>
  <c r="A2105" i="13"/>
  <c r="A2106" i="13"/>
  <c r="A2107" i="13"/>
  <c r="A2108" i="13"/>
  <c r="A2109" i="13"/>
  <c r="A2110" i="13"/>
  <c r="A2111" i="13"/>
  <c r="A2112" i="13"/>
  <c r="A2113" i="13"/>
  <c r="A2114" i="13"/>
  <c r="A2115" i="13"/>
  <c r="A2116" i="13"/>
  <c r="A2117" i="13"/>
  <c r="A2118" i="13"/>
  <c r="A2119" i="13"/>
  <c r="A2120" i="13"/>
  <c r="A2121" i="13"/>
  <c r="A2122" i="13"/>
  <c r="A2123" i="13"/>
  <c r="A2124" i="13"/>
  <c r="A2125" i="13"/>
  <c r="A2126" i="13"/>
  <c r="A2127" i="13"/>
  <c r="A2128" i="13"/>
  <c r="A2129" i="13"/>
  <c r="A2130" i="13"/>
  <c r="A2131" i="13"/>
  <c r="A2132" i="13"/>
  <c r="A2133" i="13"/>
  <c r="A2134" i="13"/>
  <c r="A2135" i="13"/>
  <c r="A2136" i="13"/>
  <c r="A2137" i="13"/>
  <c r="A2138" i="13"/>
  <c r="A2139" i="13"/>
  <c r="A2140" i="13"/>
  <c r="A2141" i="13"/>
  <c r="A2142" i="13"/>
  <c r="A2143" i="13"/>
  <c r="A2144" i="13"/>
  <c r="A2145" i="13"/>
  <c r="A2146" i="13"/>
  <c r="A2147" i="13"/>
  <c r="A2148" i="13"/>
  <c r="A2149" i="13"/>
  <c r="A2150" i="13"/>
  <c r="A2151" i="13"/>
  <c r="A2152" i="13"/>
  <c r="A2153" i="13"/>
  <c r="A2154" i="13"/>
  <c r="A2155" i="13"/>
  <c r="A2156" i="13"/>
  <c r="A2157" i="13"/>
  <c r="A2158" i="13"/>
  <c r="A2159" i="13"/>
  <c r="A2160" i="13"/>
  <c r="A2161" i="13"/>
  <c r="A2162" i="13"/>
  <c r="A2163" i="13"/>
  <c r="A2164" i="13"/>
  <c r="A2165" i="13"/>
  <c r="A2166" i="13"/>
  <c r="A2167" i="13"/>
  <c r="A2168" i="13"/>
  <c r="A2169" i="13"/>
  <c r="A2170" i="13"/>
  <c r="A2171" i="13"/>
  <c r="A2172" i="13"/>
  <c r="A2173" i="13"/>
  <c r="A2174" i="13"/>
  <c r="A2175" i="13"/>
  <c r="A2176" i="13"/>
  <c r="A2177" i="13"/>
  <c r="A2178" i="13"/>
  <c r="A2179" i="13"/>
  <c r="A2180" i="13"/>
  <c r="A2181" i="13"/>
  <c r="A2182" i="13"/>
  <c r="A2183" i="13"/>
  <c r="A2184" i="13"/>
  <c r="A2185" i="13"/>
  <c r="A2186" i="13"/>
  <c r="A2187" i="13"/>
  <c r="A2188" i="13"/>
  <c r="A2189" i="13"/>
  <c r="A2190" i="13"/>
  <c r="A2191" i="13"/>
  <c r="A2192" i="13"/>
  <c r="A2193" i="13"/>
  <c r="A2194" i="13"/>
  <c r="A2195" i="13"/>
  <c r="A2196" i="13"/>
  <c r="A2197" i="13"/>
  <c r="A2198" i="13"/>
  <c r="A2199" i="13"/>
  <c r="A2200" i="13"/>
  <c r="A2201" i="13"/>
  <c r="A2202" i="13"/>
  <c r="A2203" i="13"/>
  <c r="A2204" i="13"/>
  <c r="A2205" i="13"/>
  <c r="A2206" i="13"/>
  <c r="A2207" i="13"/>
  <c r="A2208" i="13"/>
  <c r="A2209" i="13"/>
  <c r="A2210" i="13"/>
  <c r="A2211" i="13"/>
  <c r="A2212" i="13"/>
  <c r="A2213" i="13"/>
  <c r="A2214" i="13"/>
  <c r="A2215" i="13"/>
  <c r="A2216" i="13"/>
  <c r="A2217" i="13"/>
  <c r="A2218" i="13"/>
  <c r="A2219" i="13"/>
  <c r="A2220" i="13"/>
  <c r="A2221" i="13"/>
  <c r="A2222" i="13"/>
  <c r="A2223" i="13"/>
  <c r="A2224" i="13"/>
  <c r="A2225" i="13"/>
  <c r="A2226" i="13"/>
  <c r="A2227" i="13"/>
  <c r="A2228" i="13"/>
  <c r="A2229" i="13"/>
  <c r="A2230" i="13"/>
  <c r="A2231" i="13"/>
  <c r="A2232" i="13"/>
  <c r="A2233" i="13"/>
  <c r="A2234" i="13"/>
  <c r="A2235" i="13"/>
  <c r="A2236" i="13"/>
  <c r="A2237" i="13"/>
  <c r="A2238" i="13"/>
  <c r="A2239" i="13"/>
  <c r="A2240" i="13"/>
  <c r="A2241" i="13"/>
  <c r="A2242" i="13"/>
  <c r="A2243" i="13"/>
  <c r="A2244" i="13"/>
  <c r="A2245" i="13"/>
  <c r="A2246" i="13"/>
  <c r="A2247" i="13"/>
  <c r="A2248" i="13"/>
  <c r="A2249" i="13"/>
  <c r="A2250" i="13"/>
  <c r="A2251" i="13"/>
  <c r="A2252" i="13"/>
  <c r="A2253" i="13"/>
  <c r="A2254" i="13"/>
  <c r="A2255" i="13"/>
  <c r="A2256" i="13"/>
  <c r="A2257" i="13"/>
  <c r="A2258" i="13"/>
  <c r="A2259" i="13"/>
  <c r="A2260" i="13"/>
  <c r="A2261" i="13"/>
  <c r="A2262" i="13"/>
  <c r="A2263" i="13"/>
  <c r="A2264" i="13"/>
  <c r="A2265" i="13"/>
  <c r="A2266" i="13"/>
  <c r="A2267" i="13"/>
  <c r="A2268" i="13"/>
  <c r="A2269" i="13"/>
  <c r="A2270" i="13"/>
  <c r="A2271" i="13"/>
  <c r="A2272" i="13"/>
  <c r="A2273" i="13"/>
  <c r="A2274" i="13"/>
  <c r="A2275" i="13"/>
  <c r="A2276" i="13"/>
  <c r="A2277" i="13"/>
  <c r="A2278" i="13"/>
  <c r="A2279" i="13"/>
  <c r="A2280" i="13"/>
  <c r="A2281" i="13"/>
  <c r="A2282" i="13"/>
  <c r="A2283" i="13"/>
  <c r="A2284" i="13"/>
  <c r="A2285" i="13"/>
  <c r="A2286" i="13"/>
  <c r="A2287" i="13"/>
  <c r="A2288" i="13"/>
  <c r="A2289" i="13"/>
  <c r="A2290" i="13"/>
  <c r="A2291" i="13"/>
  <c r="A2292" i="13"/>
  <c r="A2293" i="13"/>
  <c r="A2294" i="13"/>
  <c r="A2295" i="13"/>
  <c r="A2296" i="13"/>
  <c r="A2297" i="13"/>
  <c r="A2298" i="13"/>
  <c r="A2299" i="13"/>
  <c r="A2300" i="13"/>
  <c r="A2301" i="13"/>
  <c r="A2302" i="13"/>
  <c r="A2303" i="13"/>
  <c r="A2304" i="13"/>
  <c r="A2305" i="13"/>
  <c r="A2306" i="13"/>
  <c r="A2307" i="13"/>
  <c r="A2308" i="13"/>
  <c r="A2309" i="13"/>
  <c r="A2310" i="13"/>
  <c r="A2311" i="13"/>
  <c r="A2312" i="13"/>
  <c r="A2313" i="13"/>
  <c r="A2314" i="13"/>
  <c r="A2315" i="13"/>
  <c r="A2316" i="13"/>
  <c r="A2317" i="13"/>
  <c r="A2318" i="13"/>
  <c r="A2319" i="13"/>
  <c r="A2320" i="13"/>
  <c r="A2321" i="13"/>
  <c r="A2322" i="13"/>
  <c r="A2323" i="13"/>
  <c r="A2324" i="13"/>
  <c r="A2325" i="13"/>
  <c r="A2326" i="13"/>
  <c r="A2327" i="13"/>
  <c r="A2328" i="13"/>
  <c r="A2329" i="13"/>
  <c r="A2330" i="13"/>
  <c r="A2331" i="13"/>
  <c r="A2332" i="13"/>
  <c r="A2333" i="13"/>
  <c r="A2334" i="13"/>
  <c r="A2335" i="13"/>
  <c r="A2336" i="13"/>
  <c r="A2337" i="13"/>
  <c r="A2338" i="13"/>
  <c r="A2339" i="13"/>
  <c r="A2340" i="13"/>
  <c r="A2341" i="13"/>
  <c r="A2342" i="13"/>
  <c r="A2343" i="13"/>
  <c r="A2344" i="13"/>
  <c r="A2345" i="13"/>
  <c r="A2346" i="13"/>
  <c r="A2347" i="13"/>
  <c r="A2348" i="13"/>
  <c r="A2349" i="13"/>
  <c r="A2350" i="13"/>
  <c r="A2351" i="13"/>
  <c r="A2352" i="13"/>
  <c r="A2353" i="13"/>
  <c r="A2354" i="13"/>
  <c r="A2355" i="13"/>
  <c r="A2356" i="13"/>
  <c r="A2357" i="13"/>
  <c r="A2358" i="13"/>
  <c r="A2359" i="13"/>
  <c r="A2360" i="13"/>
  <c r="A2361" i="13"/>
  <c r="A2362" i="13"/>
  <c r="A2363" i="13"/>
  <c r="A2364" i="13"/>
  <c r="A2365" i="13"/>
  <c r="A2366" i="13"/>
  <c r="A2367" i="13"/>
  <c r="A2368" i="13"/>
  <c r="A2369" i="13"/>
  <c r="A2370" i="13"/>
  <c r="A2371" i="13"/>
  <c r="A2372" i="13"/>
  <c r="A2373" i="13"/>
  <c r="A2374" i="13"/>
  <c r="A2375" i="13"/>
  <c r="A2376" i="13"/>
  <c r="A2377" i="13"/>
  <c r="A2378" i="13"/>
  <c r="A2379" i="13"/>
  <c r="A2380" i="13"/>
  <c r="A2381" i="13"/>
  <c r="A2382" i="13"/>
  <c r="A2383" i="13"/>
  <c r="A2384" i="13"/>
  <c r="A2385" i="13"/>
  <c r="A2386" i="13"/>
  <c r="A2387" i="13"/>
  <c r="A2388" i="13"/>
  <c r="A2389" i="13"/>
  <c r="A2390" i="13"/>
  <c r="A2391" i="13"/>
  <c r="A2392" i="13"/>
  <c r="A2393" i="13"/>
  <c r="A2394" i="13"/>
  <c r="A2395" i="13"/>
  <c r="A2396" i="13"/>
  <c r="A2397" i="13"/>
  <c r="A2398" i="13"/>
  <c r="A2399" i="13"/>
  <c r="A2400" i="13"/>
  <c r="A2401" i="13"/>
  <c r="A2402" i="13"/>
  <c r="A2403" i="13"/>
  <c r="A2404" i="13"/>
  <c r="A2405" i="13"/>
  <c r="A2406" i="13"/>
  <c r="A2407" i="13"/>
  <c r="A2408" i="13"/>
  <c r="A2409" i="13"/>
  <c r="A2410" i="13"/>
  <c r="A2411" i="13"/>
  <c r="A2412" i="13"/>
  <c r="A2413" i="13"/>
  <c r="A2414" i="13"/>
  <c r="A2415" i="13"/>
  <c r="A2416" i="13"/>
  <c r="A2417" i="13"/>
  <c r="A2418" i="13"/>
  <c r="A2419" i="13"/>
  <c r="A2420" i="13"/>
  <c r="A2421" i="13"/>
  <c r="A2422" i="13"/>
  <c r="A2423" i="13"/>
  <c r="A2424" i="13"/>
  <c r="A2425" i="13"/>
  <c r="A2426" i="13"/>
  <c r="A2427" i="13"/>
  <c r="A2428" i="13"/>
  <c r="A2429" i="13"/>
  <c r="A2430" i="13"/>
  <c r="A2431" i="13"/>
  <c r="A2432" i="13"/>
  <c r="A2433" i="13"/>
  <c r="A2434" i="13"/>
  <c r="A2435" i="13"/>
  <c r="A2436" i="13"/>
  <c r="A2437" i="13"/>
  <c r="A2438" i="13"/>
  <c r="A2439" i="13"/>
  <c r="A2440" i="13"/>
  <c r="A2441" i="13"/>
  <c r="A2442" i="13"/>
  <c r="A2443" i="13"/>
  <c r="A2444" i="13"/>
  <c r="A2445" i="13"/>
  <c r="A2446" i="13"/>
  <c r="A2447" i="13"/>
  <c r="A2448" i="13"/>
  <c r="A2449" i="13"/>
  <c r="A2450" i="13"/>
  <c r="A2451" i="13"/>
  <c r="A2452" i="13"/>
  <c r="A2453" i="13"/>
  <c r="A2454" i="13"/>
  <c r="A2455" i="13"/>
  <c r="A2456" i="13"/>
  <c r="A2457" i="13"/>
  <c r="A2458" i="13"/>
  <c r="A2459" i="13"/>
  <c r="A2460" i="13"/>
  <c r="A2461" i="13"/>
  <c r="A2462" i="13"/>
  <c r="A2463" i="13"/>
  <c r="A2464" i="13"/>
  <c r="A2465" i="13"/>
  <c r="A2466" i="13"/>
  <c r="A2467" i="13"/>
  <c r="A2468" i="13"/>
  <c r="A2469" i="13"/>
  <c r="A2470" i="13"/>
  <c r="A2471" i="13"/>
  <c r="A2472" i="13"/>
  <c r="A2473" i="13"/>
  <c r="A2474" i="13"/>
  <c r="A2475" i="13"/>
  <c r="A2476" i="13"/>
  <c r="A2477" i="13"/>
  <c r="A2478" i="13"/>
  <c r="A2479" i="13"/>
  <c r="A2480" i="13"/>
  <c r="A2481" i="13"/>
  <c r="A2482" i="13"/>
  <c r="A2483" i="13"/>
  <c r="A2484" i="13"/>
  <c r="A2485" i="13"/>
  <c r="A2486" i="13"/>
  <c r="A2487" i="13"/>
  <c r="A2488" i="13"/>
  <c r="A2489" i="13"/>
  <c r="A2490" i="13"/>
  <c r="A2491" i="13"/>
  <c r="A2492" i="13"/>
  <c r="A2493" i="13"/>
  <c r="A2494" i="13"/>
  <c r="A2495" i="13"/>
  <c r="A2496" i="13"/>
  <c r="A2497" i="13"/>
  <c r="A2498" i="13"/>
  <c r="A2499" i="13"/>
  <c r="A2500" i="13"/>
  <c r="M8" i="19" l="1"/>
  <c r="M8" i="17" l="1"/>
  <c r="M8" i="16" l="1"/>
  <c r="B3" i="16" s="1"/>
  <c r="M8" i="15" l="1"/>
  <c r="B3" i="15" s="1"/>
  <c r="B2" i="14" l="1"/>
  <c r="A114" i="13"/>
  <c r="A226" i="13"/>
  <c r="A338" i="13"/>
  <c r="A450" i="13"/>
  <c r="A562" i="13"/>
  <c r="A674" i="13"/>
  <c r="A786" i="13"/>
  <c r="A898" i="13"/>
  <c r="A3" i="13"/>
  <c r="A4" i="13"/>
  <c r="A5" i="13"/>
  <c r="A6" i="13"/>
  <c r="A7" i="13"/>
  <c r="A8" i="13"/>
  <c r="A9" i="13"/>
  <c r="A10" i="13"/>
  <c r="A11" i="13"/>
  <c r="A12" i="13"/>
  <c r="A13" i="13"/>
  <c r="A14" i="13"/>
  <c r="A15" i="13"/>
  <c r="A16" i="13"/>
  <c r="A115" i="13"/>
  <c r="A116" i="13"/>
  <c r="A117" i="13"/>
  <c r="A118" i="13"/>
  <c r="A119" i="13"/>
  <c r="A120" i="13"/>
  <c r="A121" i="13"/>
  <c r="A122" i="13"/>
  <c r="A123" i="13"/>
  <c r="A124" i="13"/>
  <c r="A125" i="13"/>
  <c r="A126" i="13"/>
  <c r="A127" i="13"/>
  <c r="A128" i="13"/>
  <c r="A227" i="13"/>
  <c r="A228" i="13"/>
  <c r="A229" i="13"/>
  <c r="A230" i="13"/>
  <c r="A231" i="13"/>
  <c r="A232" i="13"/>
  <c r="A233" i="13"/>
  <c r="A234" i="13"/>
  <c r="A235" i="13"/>
  <c r="A236" i="13"/>
  <c r="A237" i="13"/>
  <c r="A238" i="13"/>
  <c r="A239" i="13"/>
  <c r="A240" i="13"/>
  <c r="A339" i="13"/>
  <c r="A340" i="13"/>
  <c r="A341" i="13"/>
  <c r="A342" i="13"/>
  <c r="A343" i="13"/>
  <c r="A344" i="13"/>
  <c r="A345" i="13"/>
  <c r="A346" i="13"/>
  <c r="A347" i="13"/>
  <c r="A348" i="13"/>
  <c r="A349" i="13"/>
  <c r="A350" i="13"/>
  <c r="A351" i="13"/>
  <c r="A352" i="13"/>
  <c r="A451" i="13"/>
  <c r="A452" i="13"/>
  <c r="A453" i="13"/>
  <c r="A454" i="13"/>
  <c r="A455" i="13"/>
  <c r="A456" i="13"/>
  <c r="A457" i="13"/>
  <c r="A458" i="13"/>
  <c r="A459" i="13"/>
  <c r="A460" i="13"/>
  <c r="A461" i="13"/>
  <c r="A462" i="13"/>
  <c r="A463" i="13"/>
  <c r="A464" i="13"/>
  <c r="A563" i="13"/>
  <c r="A564" i="13"/>
  <c r="A565" i="13"/>
  <c r="A566" i="13"/>
  <c r="A567" i="13"/>
  <c r="A568" i="13"/>
  <c r="A569" i="13"/>
  <c r="A570" i="13"/>
  <c r="A571" i="13"/>
  <c r="A572" i="13"/>
  <c r="A573" i="13"/>
  <c r="A574" i="13"/>
  <c r="A575" i="13"/>
  <c r="A576" i="13"/>
  <c r="A675" i="13"/>
  <c r="A676" i="13"/>
  <c r="A677" i="13"/>
  <c r="A678" i="13"/>
  <c r="A679" i="13"/>
  <c r="A680" i="13"/>
  <c r="A681" i="13"/>
  <c r="A682" i="13"/>
  <c r="A683" i="13"/>
  <c r="A684" i="13"/>
  <c r="A685" i="13"/>
  <c r="A686" i="13"/>
  <c r="A687" i="13"/>
  <c r="A688" i="13"/>
  <c r="A787" i="13"/>
  <c r="A788" i="13"/>
  <c r="A789" i="13"/>
  <c r="A790" i="13"/>
  <c r="A791" i="13"/>
  <c r="A792" i="13"/>
  <c r="A793" i="13"/>
  <c r="A794" i="13"/>
  <c r="A795" i="13"/>
  <c r="A796" i="13"/>
  <c r="A797" i="13"/>
  <c r="A798" i="13"/>
  <c r="A799" i="13"/>
  <c r="A800" i="13"/>
  <c r="A899" i="13"/>
  <c r="A900" i="13"/>
  <c r="A901" i="13"/>
  <c r="A902" i="13"/>
  <c r="A903" i="13"/>
  <c r="A904" i="13"/>
  <c r="A905" i="13"/>
  <c r="A906" i="13"/>
  <c r="A907" i="13"/>
  <c r="A908" i="13"/>
  <c r="A909" i="13"/>
  <c r="A910" i="13"/>
  <c r="A911" i="13"/>
  <c r="A912" i="13"/>
  <c r="A17" i="13"/>
  <c r="A18" i="13"/>
  <c r="A19" i="13"/>
  <c r="A20" i="13"/>
  <c r="A21" i="13"/>
  <c r="A22" i="13"/>
  <c r="A23" i="13"/>
  <c r="A24" i="13"/>
  <c r="A25" i="13"/>
  <c r="A26" i="13"/>
  <c r="A27" i="13"/>
  <c r="A28" i="13"/>
  <c r="A29" i="13"/>
  <c r="A30" i="13"/>
  <c r="A31" i="13"/>
  <c r="A32" i="13"/>
  <c r="A33" i="13"/>
  <c r="A34" i="13"/>
  <c r="A35" i="13"/>
  <c r="A36" i="13"/>
  <c r="A37" i="13"/>
  <c r="A38" i="13"/>
  <c r="A39" i="13"/>
  <c r="A40" i="13"/>
  <c r="A41" i="13"/>
  <c r="A42" i="13"/>
  <c r="A43" i="13"/>
  <c r="A44" i="13"/>
  <c r="A45" i="13"/>
  <c r="A46" i="13"/>
  <c r="A47" i="13"/>
  <c r="A48" i="13"/>
  <c r="A129" i="13"/>
  <c r="A130" i="13"/>
  <c r="A131" i="13"/>
  <c r="A132" i="13"/>
  <c r="A133" i="13"/>
  <c r="A134" i="13"/>
  <c r="A135" i="13"/>
  <c r="A136" i="13"/>
  <c r="A137" i="13"/>
  <c r="A138" i="13"/>
  <c r="A139" i="13"/>
  <c r="A140" i="13"/>
  <c r="A141" i="13"/>
  <c r="A142" i="13"/>
  <c r="A143" i="13"/>
  <c r="A144" i="13"/>
  <c r="A145" i="13"/>
  <c r="A146" i="13"/>
  <c r="A147" i="13"/>
  <c r="A148" i="13"/>
  <c r="A149" i="13"/>
  <c r="A150" i="13"/>
  <c r="A151" i="13"/>
  <c r="A152" i="13"/>
  <c r="A153" i="13"/>
  <c r="A154" i="13"/>
  <c r="A155" i="13"/>
  <c r="A156" i="13"/>
  <c r="A157" i="13"/>
  <c r="A158" i="13"/>
  <c r="A159" i="13"/>
  <c r="A160" i="13"/>
  <c r="A241" i="13"/>
  <c r="A242" i="13"/>
  <c r="A243" i="13"/>
  <c r="A244" i="13"/>
  <c r="A245" i="13"/>
  <c r="A246" i="13"/>
  <c r="A247" i="13"/>
  <c r="A248" i="13"/>
  <c r="A249" i="13"/>
  <c r="A250" i="13"/>
  <c r="A251" i="13"/>
  <c r="A252" i="13"/>
  <c r="A253" i="13"/>
  <c r="A254" i="13"/>
  <c r="A255" i="13"/>
  <c r="A256" i="13"/>
  <c r="A257" i="13"/>
  <c r="A258" i="13"/>
  <c r="A259" i="13"/>
  <c r="A260" i="13"/>
  <c r="A261" i="13"/>
  <c r="A262" i="13"/>
  <c r="A263" i="13"/>
  <c r="A264" i="13"/>
  <c r="A265" i="13"/>
  <c r="A266" i="13"/>
  <c r="A267" i="13"/>
  <c r="A268" i="13"/>
  <c r="A269" i="13"/>
  <c r="A270" i="13"/>
  <c r="A271" i="13"/>
  <c r="A272" i="13"/>
  <c r="A353" i="13"/>
  <c r="A354" i="13"/>
  <c r="A355" i="13"/>
  <c r="A356" i="13"/>
  <c r="A357" i="13"/>
  <c r="A358" i="13"/>
  <c r="A359" i="13"/>
  <c r="A360" i="13"/>
  <c r="A361" i="13"/>
  <c r="A362" i="13"/>
  <c r="A363" i="13"/>
  <c r="A364" i="13"/>
  <c r="A365" i="13"/>
  <c r="A366" i="13"/>
  <c r="A367" i="13"/>
  <c r="A368" i="13"/>
  <c r="A369" i="13"/>
  <c r="A370" i="13"/>
  <c r="A371" i="13"/>
  <c r="A372" i="13"/>
  <c r="A373" i="13"/>
  <c r="A374" i="13"/>
  <c r="A375" i="13"/>
  <c r="A376" i="13"/>
  <c r="A377" i="13"/>
  <c r="A378" i="13"/>
  <c r="A379" i="13"/>
  <c r="A380" i="13"/>
  <c r="A381" i="13"/>
  <c r="A382" i="13"/>
  <c r="A383" i="13"/>
  <c r="A384" i="13"/>
  <c r="A465" i="13"/>
  <c r="A466" i="13"/>
  <c r="A467" i="13"/>
  <c r="A468" i="13"/>
  <c r="A469" i="13"/>
  <c r="A470" i="13"/>
  <c r="A471" i="13"/>
  <c r="A472" i="13"/>
  <c r="A473" i="13"/>
  <c r="A474" i="13"/>
  <c r="A475" i="13"/>
  <c r="A476" i="13"/>
  <c r="A477" i="13"/>
  <c r="A478" i="13"/>
  <c r="A479" i="13"/>
  <c r="A480" i="13"/>
  <c r="A481" i="13"/>
  <c r="A482" i="13"/>
  <c r="A483" i="13"/>
  <c r="A484" i="13"/>
  <c r="A485" i="13"/>
  <c r="A486" i="13"/>
  <c r="A487" i="13"/>
  <c r="A488" i="13"/>
  <c r="A489" i="13"/>
  <c r="A490" i="13"/>
  <c r="A491" i="13"/>
  <c r="A492" i="13"/>
  <c r="A493" i="13"/>
  <c r="A494" i="13"/>
  <c r="A495" i="13"/>
  <c r="A496" i="13"/>
  <c r="A577" i="13"/>
  <c r="A578" i="13"/>
  <c r="A579" i="13"/>
  <c r="A580" i="13"/>
  <c r="A581" i="13"/>
  <c r="A582" i="13"/>
  <c r="A583" i="13"/>
  <c r="A584" i="13"/>
  <c r="A585" i="13"/>
  <c r="A586" i="13"/>
  <c r="A587" i="13"/>
  <c r="A588" i="13"/>
  <c r="A589" i="13"/>
  <c r="A590" i="13"/>
  <c r="A591" i="13"/>
  <c r="A592" i="13"/>
  <c r="A593" i="13"/>
  <c r="A594" i="13"/>
  <c r="A595" i="13"/>
  <c r="A596" i="13"/>
  <c r="A597" i="13"/>
  <c r="A598" i="13"/>
  <c r="A599" i="13"/>
  <c r="A600" i="13"/>
  <c r="A601" i="13"/>
  <c r="A602" i="13"/>
  <c r="A603" i="13"/>
  <c r="A604" i="13"/>
  <c r="A605" i="13"/>
  <c r="A606" i="13"/>
  <c r="A607" i="13"/>
  <c r="A608" i="13"/>
  <c r="A689" i="13"/>
  <c r="A690" i="13"/>
  <c r="A691" i="13"/>
  <c r="A692" i="13"/>
  <c r="A693" i="13"/>
  <c r="A694" i="13"/>
  <c r="A695" i="13"/>
  <c r="A696" i="13"/>
  <c r="A697" i="13"/>
  <c r="A698" i="13"/>
  <c r="A699" i="13"/>
  <c r="A700" i="13"/>
  <c r="A701" i="13"/>
  <c r="A702" i="13"/>
  <c r="A703" i="13"/>
  <c r="A704" i="13"/>
  <c r="A705" i="13"/>
  <c r="A706" i="13"/>
  <c r="A707" i="13"/>
  <c r="A708" i="13"/>
  <c r="A709" i="13"/>
  <c r="A710" i="13"/>
  <c r="A711" i="13"/>
  <c r="A712" i="13"/>
  <c r="A713" i="13"/>
  <c r="A714" i="13"/>
  <c r="A715" i="13"/>
  <c r="A716" i="13"/>
  <c r="A717" i="13"/>
  <c r="A718" i="13"/>
  <c r="A719" i="13"/>
  <c r="A720" i="13"/>
  <c r="A801" i="13"/>
  <c r="A802" i="13"/>
  <c r="A803" i="13"/>
  <c r="A804" i="13"/>
  <c r="A805" i="13"/>
  <c r="A806" i="13"/>
  <c r="A807" i="13"/>
  <c r="A808" i="13"/>
  <c r="A809" i="13"/>
  <c r="A810" i="13"/>
  <c r="A811" i="13"/>
  <c r="A812" i="13"/>
  <c r="A813" i="13"/>
  <c r="A814" i="13"/>
  <c r="A815" i="13"/>
  <c r="A816" i="13"/>
  <c r="A817" i="13"/>
  <c r="A818" i="13"/>
  <c r="A819" i="13"/>
  <c r="A820" i="13"/>
  <c r="A821" i="13"/>
  <c r="A822" i="13"/>
  <c r="A823" i="13"/>
  <c r="A824" i="13"/>
  <c r="A825" i="13"/>
  <c r="A826" i="13"/>
  <c r="A827" i="13"/>
  <c r="A828" i="13"/>
  <c r="A829" i="13"/>
  <c r="A830" i="13"/>
  <c r="A831" i="13"/>
  <c r="A832" i="13"/>
  <c r="A913" i="13"/>
  <c r="A914" i="13"/>
  <c r="A915" i="13"/>
  <c r="A916" i="13"/>
  <c r="A917" i="13"/>
  <c r="A918" i="13"/>
  <c r="A919" i="13"/>
  <c r="A920" i="13"/>
  <c r="A921" i="13"/>
  <c r="A922" i="13"/>
  <c r="A923" i="13"/>
  <c r="A924" i="13"/>
  <c r="A925" i="13"/>
  <c r="A926" i="13"/>
  <c r="A927" i="13"/>
  <c r="A928" i="13"/>
  <c r="A929" i="13"/>
  <c r="A930" i="13"/>
  <c r="A931" i="13"/>
  <c r="A932" i="13"/>
  <c r="A933" i="13"/>
  <c r="A934" i="13"/>
  <c r="A935" i="13"/>
  <c r="A936" i="13"/>
  <c r="A937" i="13"/>
  <c r="A938" i="13"/>
  <c r="A939" i="13"/>
  <c r="A940" i="13"/>
  <c r="A941" i="13"/>
  <c r="A942" i="13"/>
  <c r="A943" i="13"/>
  <c r="A944" i="13"/>
  <c r="A49" i="13"/>
  <c r="A50" i="13"/>
  <c r="A51" i="13"/>
  <c r="A52" i="13"/>
  <c r="A53" i="13"/>
  <c r="A54" i="13"/>
  <c r="A55" i="13"/>
  <c r="A56" i="13"/>
  <c r="A57" i="13"/>
  <c r="A58" i="13"/>
  <c r="A59" i="13"/>
  <c r="A60" i="13"/>
  <c r="A61" i="13"/>
  <c r="A62" i="13"/>
  <c r="A63" i="13"/>
  <c r="A64" i="13"/>
  <c r="A65" i="13"/>
  <c r="A66" i="13"/>
  <c r="A67" i="13"/>
  <c r="A68" i="13"/>
  <c r="A69" i="13"/>
  <c r="A70" i="13"/>
  <c r="A71" i="13"/>
  <c r="A72" i="13"/>
  <c r="A73" i="13"/>
  <c r="A74" i="13"/>
  <c r="A75" i="13"/>
  <c r="A76" i="13"/>
  <c r="A77" i="13"/>
  <c r="A78" i="13"/>
  <c r="A79" i="13"/>
  <c r="A161" i="13"/>
  <c r="A162" i="13"/>
  <c r="A163" i="13"/>
  <c r="A164" i="13"/>
  <c r="A165" i="13"/>
  <c r="A166" i="13"/>
  <c r="A167" i="13"/>
  <c r="A168" i="13"/>
  <c r="A169" i="13"/>
  <c r="A170" i="13"/>
  <c r="A171" i="13"/>
  <c r="A172" i="13"/>
  <c r="A173" i="13"/>
  <c r="A174" i="13"/>
  <c r="A175" i="13"/>
  <c r="A176" i="13"/>
  <c r="A177" i="13"/>
  <c r="A178" i="13"/>
  <c r="A179" i="13"/>
  <c r="A180" i="13"/>
  <c r="A181" i="13"/>
  <c r="A182" i="13"/>
  <c r="A183" i="13"/>
  <c r="A184" i="13"/>
  <c r="A185" i="13"/>
  <c r="A186" i="13"/>
  <c r="A187" i="13"/>
  <c r="A188" i="13"/>
  <c r="A189" i="13"/>
  <c r="A190" i="13"/>
  <c r="A191" i="13"/>
  <c r="A273" i="13"/>
  <c r="A274" i="13"/>
  <c r="A275" i="13"/>
  <c r="A276" i="13"/>
  <c r="A277" i="13"/>
  <c r="A278" i="13"/>
  <c r="A279" i="13"/>
  <c r="A280" i="13"/>
  <c r="A281" i="13"/>
  <c r="A282" i="13"/>
  <c r="A283" i="13"/>
  <c r="A284" i="13"/>
  <c r="A285" i="13"/>
  <c r="A286" i="13"/>
  <c r="A287" i="13"/>
  <c r="A288" i="13"/>
  <c r="A289" i="13"/>
  <c r="A290" i="13"/>
  <c r="A291" i="13"/>
  <c r="A292" i="13"/>
  <c r="A293" i="13"/>
  <c r="A294" i="13"/>
  <c r="A295" i="13"/>
  <c r="A296" i="13"/>
  <c r="A297" i="13"/>
  <c r="A298" i="13"/>
  <c r="A299" i="13"/>
  <c r="A300" i="13"/>
  <c r="A301" i="13"/>
  <c r="A302" i="13"/>
  <c r="A303" i="13"/>
  <c r="A385" i="13"/>
  <c r="A386" i="13"/>
  <c r="A387" i="13"/>
  <c r="A388" i="13"/>
  <c r="A389" i="13"/>
  <c r="A390" i="13"/>
  <c r="A391" i="13"/>
  <c r="A392" i="13"/>
  <c r="A393" i="13"/>
  <c r="A394" i="13"/>
  <c r="A395" i="13"/>
  <c r="A396" i="13"/>
  <c r="A397" i="13"/>
  <c r="A398" i="13"/>
  <c r="A399" i="13"/>
  <c r="A400" i="13"/>
  <c r="A401" i="13"/>
  <c r="A402" i="13"/>
  <c r="A403" i="13"/>
  <c r="A404" i="13"/>
  <c r="A405" i="13"/>
  <c r="A406" i="13"/>
  <c r="A407" i="13"/>
  <c r="A408" i="13"/>
  <c r="A409" i="13"/>
  <c r="A410" i="13"/>
  <c r="A411" i="13"/>
  <c r="A412" i="13"/>
  <c r="A413" i="13"/>
  <c r="A414" i="13"/>
  <c r="A415" i="13"/>
  <c r="A497" i="13"/>
  <c r="A498" i="13"/>
  <c r="A499" i="13"/>
  <c r="A500" i="13"/>
  <c r="A501" i="13"/>
  <c r="A502" i="13"/>
  <c r="A503" i="13"/>
  <c r="A504" i="13"/>
  <c r="A505" i="13"/>
  <c r="A506" i="13"/>
  <c r="A507" i="13"/>
  <c r="A508" i="13"/>
  <c r="A509" i="13"/>
  <c r="A510" i="13"/>
  <c r="A511" i="13"/>
  <c r="A512" i="13"/>
  <c r="A513" i="13"/>
  <c r="A514" i="13"/>
  <c r="A515" i="13"/>
  <c r="A516" i="13"/>
  <c r="A517" i="13"/>
  <c r="A518" i="13"/>
  <c r="A519" i="13"/>
  <c r="A520" i="13"/>
  <c r="A521" i="13"/>
  <c r="A522" i="13"/>
  <c r="A523" i="13"/>
  <c r="A524" i="13"/>
  <c r="A525" i="13"/>
  <c r="A526" i="13"/>
  <c r="A527" i="13"/>
  <c r="A609" i="13"/>
  <c r="A610" i="13"/>
  <c r="A611" i="13"/>
  <c r="A612" i="13"/>
  <c r="A613" i="13"/>
  <c r="A614" i="13"/>
  <c r="A615" i="13"/>
  <c r="A616" i="13"/>
  <c r="A617" i="13"/>
  <c r="A618" i="13"/>
  <c r="A619" i="13"/>
  <c r="A620" i="13"/>
  <c r="A621" i="13"/>
  <c r="A622" i="13"/>
  <c r="A623" i="13"/>
  <c r="A624" i="13"/>
  <c r="A625" i="13"/>
  <c r="A626" i="13"/>
  <c r="A627" i="13"/>
  <c r="A628" i="13"/>
  <c r="A629" i="13"/>
  <c r="A630" i="13"/>
  <c r="A631" i="13"/>
  <c r="A632" i="13"/>
  <c r="A633" i="13"/>
  <c r="A634" i="13"/>
  <c r="A635" i="13"/>
  <c r="A636" i="13"/>
  <c r="A637" i="13"/>
  <c r="A638" i="13"/>
  <c r="A639" i="13"/>
  <c r="A721" i="13"/>
  <c r="A722" i="13"/>
  <c r="A723" i="13"/>
  <c r="A724" i="13"/>
  <c r="A725" i="13"/>
  <c r="A726" i="13"/>
  <c r="A727" i="13"/>
  <c r="A728" i="13"/>
  <c r="A729" i="13"/>
  <c r="A730" i="13"/>
  <c r="A731" i="13"/>
  <c r="A732" i="13"/>
  <c r="A733" i="13"/>
  <c r="A734" i="13"/>
  <c r="A735" i="13"/>
  <c r="A736" i="13"/>
  <c r="A737" i="13"/>
  <c r="A738" i="13"/>
  <c r="A739" i="13"/>
  <c r="A740" i="13"/>
  <c r="A741" i="13"/>
  <c r="A742" i="13"/>
  <c r="A743" i="13"/>
  <c r="A744" i="13"/>
  <c r="A745" i="13"/>
  <c r="A746" i="13"/>
  <c r="A747" i="13"/>
  <c r="A748" i="13"/>
  <c r="A749" i="13"/>
  <c r="A750" i="13"/>
  <c r="A751" i="13"/>
  <c r="A833" i="13"/>
  <c r="A834" i="13"/>
  <c r="A835" i="13"/>
  <c r="A836" i="13"/>
  <c r="A837" i="13"/>
  <c r="A838" i="13"/>
  <c r="A839" i="13"/>
  <c r="A840" i="13"/>
  <c r="A841" i="13"/>
  <c r="A842" i="13"/>
  <c r="A843" i="13"/>
  <c r="A844" i="13"/>
  <c r="A845" i="13"/>
  <c r="A846" i="13"/>
  <c r="A847" i="13"/>
  <c r="A848" i="13"/>
  <c r="A849" i="13"/>
  <c r="A850" i="13"/>
  <c r="A851" i="13"/>
  <c r="A852" i="13"/>
  <c r="A853" i="13"/>
  <c r="A854" i="13"/>
  <c r="A855" i="13"/>
  <c r="A856" i="13"/>
  <c r="A857" i="13"/>
  <c r="A858" i="13"/>
  <c r="A859" i="13"/>
  <c r="A860" i="13"/>
  <c r="A861" i="13"/>
  <c r="A862" i="13"/>
  <c r="A863" i="13"/>
  <c r="A945" i="13"/>
  <c r="A946" i="13"/>
  <c r="A947" i="13"/>
  <c r="A948" i="13"/>
  <c r="A949" i="13"/>
  <c r="A950" i="13"/>
  <c r="A951" i="13"/>
  <c r="A952" i="13"/>
  <c r="A953" i="13"/>
  <c r="A954" i="13"/>
  <c r="A955" i="13"/>
  <c r="A956" i="13"/>
  <c r="A957" i="13"/>
  <c r="A958" i="13"/>
  <c r="A959" i="13"/>
  <c r="A960" i="13"/>
  <c r="A961" i="13"/>
  <c r="A962" i="13"/>
  <c r="A963" i="13"/>
  <c r="A964" i="13"/>
  <c r="A965" i="13"/>
  <c r="A966" i="13"/>
  <c r="A967" i="13"/>
  <c r="A968" i="13"/>
  <c r="A969" i="13"/>
  <c r="A970" i="13"/>
  <c r="A971" i="13"/>
  <c r="A972" i="13"/>
  <c r="A973" i="13"/>
  <c r="A974" i="13"/>
  <c r="A975" i="13"/>
  <c r="A80" i="13"/>
  <c r="A81" i="13"/>
  <c r="A82" i="13"/>
  <c r="A83" i="13"/>
  <c r="A84" i="13"/>
  <c r="A85" i="13"/>
  <c r="A86" i="13"/>
  <c r="A87" i="13"/>
  <c r="A88" i="13"/>
  <c r="A89" i="13"/>
  <c r="A192" i="13"/>
  <c r="A193" i="13"/>
  <c r="A194" i="13"/>
  <c r="A195" i="13"/>
  <c r="A196" i="13"/>
  <c r="A197" i="13"/>
  <c r="A198" i="13"/>
  <c r="A199" i="13"/>
  <c r="A200" i="13"/>
  <c r="A201" i="13"/>
  <c r="A304" i="13"/>
  <c r="A305" i="13"/>
  <c r="A306" i="13"/>
  <c r="A307" i="13"/>
  <c r="A308" i="13"/>
  <c r="A309" i="13"/>
  <c r="A310" i="13"/>
  <c r="A311" i="13"/>
  <c r="A312" i="13"/>
  <c r="A313" i="13"/>
  <c r="A416" i="13"/>
  <c r="A417" i="13"/>
  <c r="A418" i="13"/>
  <c r="A419" i="13"/>
  <c r="A420" i="13"/>
  <c r="A421" i="13"/>
  <c r="A422" i="13"/>
  <c r="A423" i="13"/>
  <c r="A424" i="13"/>
  <c r="A425" i="13"/>
  <c r="A528" i="13"/>
  <c r="A529" i="13"/>
  <c r="A530" i="13"/>
  <c r="A531" i="13"/>
  <c r="A532" i="13"/>
  <c r="A533" i="13"/>
  <c r="A534" i="13"/>
  <c r="A535" i="13"/>
  <c r="A536" i="13"/>
  <c r="A537" i="13"/>
  <c r="A640" i="13"/>
  <c r="A641" i="13"/>
  <c r="A642" i="13"/>
  <c r="A643" i="13"/>
  <c r="A644" i="13"/>
  <c r="A645" i="13"/>
  <c r="A646" i="13"/>
  <c r="A647" i="13"/>
  <c r="A648" i="13"/>
  <c r="A649" i="13"/>
  <c r="A752" i="13"/>
  <c r="A753" i="13"/>
  <c r="A754" i="13"/>
  <c r="A755" i="13"/>
  <c r="A756" i="13"/>
  <c r="A757" i="13"/>
  <c r="A758" i="13"/>
  <c r="A759" i="13"/>
  <c r="A760" i="13"/>
  <c r="A761" i="13"/>
  <c r="A864" i="13"/>
  <c r="A865" i="13"/>
  <c r="A866" i="13"/>
  <c r="A867" i="13"/>
  <c r="A868" i="13"/>
  <c r="A869" i="13"/>
  <c r="A870" i="13"/>
  <c r="A871" i="13"/>
  <c r="A872" i="13"/>
  <c r="A873" i="13"/>
  <c r="A976" i="13"/>
  <c r="A977" i="13"/>
  <c r="A978" i="13"/>
  <c r="A979" i="13"/>
  <c r="A980" i="13"/>
  <c r="A981" i="13"/>
  <c r="A982" i="13"/>
  <c r="A983" i="13"/>
  <c r="A984" i="13"/>
  <c r="A985" i="13"/>
  <c r="A90" i="13"/>
  <c r="A91" i="13"/>
  <c r="A202" i="13"/>
  <c r="A203" i="13"/>
  <c r="A314" i="13"/>
  <c r="A315" i="13"/>
  <c r="A426" i="13"/>
  <c r="A427" i="13"/>
  <c r="A538" i="13"/>
  <c r="A539" i="13"/>
  <c r="A650" i="13"/>
  <c r="A651" i="13"/>
  <c r="A762" i="13"/>
  <c r="A763" i="13"/>
  <c r="A874" i="13"/>
  <c r="A875" i="13"/>
  <c r="A986" i="13"/>
  <c r="A987" i="13"/>
  <c r="A92" i="13"/>
  <c r="A93" i="13"/>
  <c r="A94" i="13"/>
  <c r="A95" i="13"/>
  <c r="A96" i="13"/>
  <c r="A204" i="13"/>
  <c r="A205" i="13"/>
  <c r="A206" i="13"/>
  <c r="A207" i="13"/>
  <c r="A208" i="13"/>
  <c r="A316" i="13"/>
  <c r="A317" i="13"/>
  <c r="A318" i="13"/>
  <c r="A319" i="13"/>
  <c r="A320" i="13"/>
  <c r="A428" i="13"/>
  <c r="A429" i="13"/>
  <c r="A430" i="13"/>
  <c r="A431" i="13"/>
  <c r="A432" i="13"/>
  <c r="A540" i="13"/>
  <c r="A541" i="13"/>
  <c r="A542" i="13"/>
  <c r="A543" i="13"/>
  <c r="A544" i="13"/>
  <c r="A652" i="13"/>
  <c r="A653" i="13"/>
  <c r="A654" i="13"/>
  <c r="A655" i="13"/>
  <c r="A656" i="13"/>
  <c r="A764" i="13"/>
  <c r="A765" i="13"/>
  <c r="A766" i="13"/>
  <c r="A767" i="13"/>
  <c r="A768" i="13"/>
  <c r="A876" i="13"/>
  <c r="A877" i="13"/>
  <c r="A878" i="13"/>
  <c r="A879" i="13"/>
  <c r="A880" i="13"/>
  <c r="A988" i="13"/>
  <c r="A989" i="13"/>
  <c r="A990" i="13"/>
  <c r="A991" i="13"/>
  <c r="A992" i="13"/>
  <c r="A97" i="13"/>
  <c r="A209" i="13"/>
  <c r="A321" i="13"/>
  <c r="A433" i="13"/>
  <c r="A545" i="13"/>
  <c r="A657" i="13"/>
  <c r="A769" i="13"/>
  <c r="A881" i="13"/>
  <c r="A993" i="13"/>
  <c r="A98" i="13"/>
  <c r="A99" i="13"/>
  <c r="A100" i="13"/>
  <c r="A101" i="13"/>
  <c r="A102" i="13"/>
  <c r="A210" i="13"/>
  <c r="A211" i="13"/>
  <c r="A212" i="13"/>
  <c r="A213" i="13"/>
  <c r="A214" i="13"/>
  <c r="A322" i="13"/>
  <c r="A323" i="13"/>
  <c r="A324" i="13"/>
  <c r="A325" i="13"/>
  <c r="A326" i="13"/>
  <c r="A434" i="13"/>
  <c r="A435" i="13"/>
  <c r="A436" i="13"/>
  <c r="A437" i="13"/>
  <c r="A438" i="13"/>
  <c r="A546" i="13"/>
  <c r="A547" i="13"/>
  <c r="A548" i="13"/>
  <c r="A549" i="13"/>
  <c r="A550" i="13"/>
  <c r="A658" i="13"/>
  <c r="A659" i="13"/>
  <c r="A660" i="13"/>
  <c r="A661" i="13"/>
  <c r="A662" i="13"/>
  <c r="A770" i="13"/>
  <c r="A771" i="13"/>
  <c r="A772" i="13"/>
  <c r="A773" i="13"/>
  <c r="A774" i="13"/>
  <c r="A882" i="13"/>
  <c r="A883" i="13"/>
  <c r="A884" i="13"/>
  <c r="A885" i="13"/>
  <c r="A886" i="13"/>
  <c r="A994" i="13"/>
  <c r="A995" i="13"/>
  <c r="A996" i="13"/>
  <c r="A997" i="13"/>
  <c r="A998" i="13"/>
  <c r="A103" i="13"/>
  <c r="A104" i="13"/>
  <c r="A215" i="13"/>
  <c r="A216" i="13"/>
  <c r="A327" i="13"/>
  <c r="A328" i="13"/>
  <c r="A439" i="13"/>
  <c r="A440" i="13"/>
  <c r="A551" i="13"/>
  <c r="A552" i="13"/>
  <c r="A663" i="13"/>
  <c r="A664" i="13"/>
  <c r="A775" i="13"/>
  <c r="A776" i="13"/>
  <c r="A887" i="13"/>
  <c r="A888" i="13"/>
  <c r="A999" i="13"/>
  <c r="A1000" i="13"/>
  <c r="A105" i="13"/>
  <c r="A106" i="13"/>
  <c r="A107" i="13"/>
  <c r="A108" i="13"/>
  <c r="A109" i="13"/>
  <c r="A110" i="13"/>
  <c r="A217" i="13"/>
  <c r="A218" i="13"/>
  <c r="A219" i="13"/>
  <c r="A220" i="13"/>
  <c r="A221" i="13"/>
  <c r="A222" i="13"/>
  <c r="A329" i="13"/>
  <c r="A330" i="13"/>
  <c r="A331" i="13"/>
  <c r="A332" i="13"/>
  <c r="A333" i="13"/>
  <c r="A334" i="13"/>
  <c r="A441" i="13"/>
  <c r="A442" i="13"/>
  <c r="A443" i="13"/>
  <c r="A444" i="13"/>
  <c r="A445" i="13"/>
  <c r="A446" i="13"/>
  <c r="A553" i="13"/>
  <c r="A554" i="13"/>
  <c r="A555" i="13"/>
  <c r="A556" i="13"/>
  <c r="A557" i="13"/>
  <c r="A558" i="13"/>
  <c r="A665" i="13"/>
  <c r="A666" i="13"/>
  <c r="A667" i="13"/>
  <c r="A668" i="13"/>
  <c r="A669" i="13"/>
  <c r="A670" i="13"/>
  <c r="A777" i="13"/>
  <c r="A778" i="13"/>
  <c r="A779" i="13"/>
  <c r="A780" i="13"/>
  <c r="A781" i="13"/>
  <c r="A782" i="13"/>
  <c r="A889" i="13"/>
  <c r="A890" i="13"/>
  <c r="A891" i="13"/>
  <c r="A892" i="13"/>
  <c r="A893" i="13"/>
  <c r="A894" i="13"/>
  <c r="A1001" i="13"/>
  <c r="A1002" i="13"/>
  <c r="A1003" i="13"/>
  <c r="A1004" i="13"/>
  <c r="A1005" i="13"/>
  <c r="A1006" i="13"/>
  <c r="A111" i="13"/>
  <c r="A112" i="13"/>
  <c r="A223" i="13"/>
  <c r="A224" i="13"/>
  <c r="A335" i="13"/>
  <c r="A336" i="13"/>
  <c r="A447" i="13"/>
  <c r="A448" i="13"/>
  <c r="A559" i="13"/>
  <c r="A560" i="13"/>
  <c r="A2" i="13"/>
  <c r="B1" i="14"/>
  <c r="B1" i="1"/>
  <c r="B1" i="8" s="1"/>
  <c r="B1" i="5" l="1"/>
  <c r="B1" i="9"/>
  <c r="B9" i="14" a="1"/>
  <c r="B9" i="14" s="1"/>
  <c r="B10" i="14" s="1"/>
  <c r="N7" i="19" s="1"/>
  <c r="N8" i="19" s="1"/>
  <c r="B1" i="2"/>
  <c r="B1" i="12"/>
  <c r="B1" i="11"/>
  <c r="C9" i="14" l="1" a="1"/>
  <c r="C9" i="14" s="1"/>
  <c r="D9" i="14" s="1" a="1"/>
  <c r="D9" i="14" s="1"/>
  <c r="D10" i="14" s="1"/>
  <c r="C10" i="14" l="1"/>
  <c r="E9" i="14" a="1"/>
  <c r="E9" i="14" s="1"/>
  <c r="E10" i="14" s="1"/>
  <c r="F9" i="14" l="1" a="1"/>
  <c r="F9" i="14" s="1"/>
  <c r="F10" i="14" s="1"/>
  <c r="G9" i="14" l="1" a="1"/>
  <c r="G9" i="14" s="1"/>
  <c r="G10" i="14" s="1"/>
  <c r="I7" i="11" s="1"/>
  <c r="D7" i="11"/>
  <c r="D13" i="11" s="1"/>
  <c r="E7" i="11"/>
  <c r="F7" i="11"/>
  <c r="F12" i="11" s="1"/>
  <c r="G7" i="11"/>
  <c r="H7" i="11"/>
  <c r="I12" i="11" l="1"/>
  <c r="I13" i="11"/>
  <c r="I10" i="11"/>
  <c r="I11" i="11"/>
  <c r="I8" i="11"/>
  <c r="I9" i="11"/>
  <c r="H12" i="11"/>
  <c r="H13" i="11"/>
  <c r="H10" i="11"/>
  <c r="H11" i="11"/>
  <c r="H8" i="11"/>
  <c r="H9" i="11"/>
  <c r="G12" i="11"/>
  <c r="G13" i="11"/>
  <c r="G10" i="11"/>
  <c r="G11" i="11"/>
  <c r="G8" i="11"/>
  <c r="G9" i="11"/>
  <c r="F13" i="11"/>
  <c r="F10" i="11"/>
  <c r="F11" i="11"/>
  <c r="F8" i="11"/>
  <c r="F9" i="11"/>
  <c r="E12" i="11"/>
  <c r="E13" i="11"/>
  <c r="E10" i="11"/>
  <c r="E11" i="11"/>
  <c r="E8" i="11"/>
  <c r="E9" i="11"/>
  <c r="D11" i="11"/>
  <c r="D12" i="11"/>
  <c r="D9" i="11"/>
  <c r="D10" i="11"/>
  <c r="D14" i="11"/>
  <c r="D8" i="11"/>
  <c r="H9" i="14" a="1"/>
  <c r="H9" i="14" s="1"/>
  <c r="H10" i="14" s="1"/>
  <c r="J7" i="11" s="1"/>
  <c r="G16" i="11"/>
  <c r="G20" i="11"/>
  <c r="G24" i="11"/>
  <c r="G28" i="11"/>
  <c r="G14" i="11"/>
  <c r="G18" i="11"/>
  <c r="G26" i="11"/>
  <c r="G15" i="11"/>
  <c r="G31" i="11"/>
  <c r="G17" i="11"/>
  <c r="G21" i="11"/>
  <c r="G25" i="11"/>
  <c r="G29" i="11"/>
  <c r="G22" i="11"/>
  <c r="G30" i="11"/>
  <c r="G19" i="11"/>
  <c r="G23" i="11"/>
  <c r="G27" i="11"/>
  <c r="F17" i="11"/>
  <c r="F21" i="11"/>
  <c r="F25" i="11"/>
  <c r="F29" i="11"/>
  <c r="F15" i="11"/>
  <c r="F19" i="11"/>
  <c r="F27" i="11"/>
  <c r="F16" i="11"/>
  <c r="F20" i="11"/>
  <c r="F14" i="11"/>
  <c r="F18" i="11"/>
  <c r="F22" i="11"/>
  <c r="F26" i="11"/>
  <c r="F30" i="11"/>
  <c r="F23" i="11"/>
  <c r="F31" i="11"/>
  <c r="F24" i="11"/>
  <c r="F28" i="11"/>
  <c r="I14" i="11"/>
  <c r="I18" i="11"/>
  <c r="I22" i="11"/>
  <c r="I26" i="11"/>
  <c r="I30" i="11"/>
  <c r="I24" i="11"/>
  <c r="I25" i="11"/>
  <c r="I29" i="11"/>
  <c r="I15" i="11"/>
  <c r="I19" i="11"/>
  <c r="I23" i="11"/>
  <c r="I27" i="11"/>
  <c r="I31" i="11"/>
  <c r="I16" i="11"/>
  <c r="I20" i="11"/>
  <c r="I28" i="11"/>
  <c r="I17" i="11"/>
  <c r="I21" i="11"/>
  <c r="E14" i="11"/>
  <c r="E18" i="11"/>
  <c r="E22" i="11"/>
  <c r="E26" i="11"/>
  <c r="E30" i="11"/>
  <c r="E16" i="11"/>
  <c r="E20" i="11"/>
  <c r="E28" i="11"/>
  <c r="E17" i="11"/>
  <c r="E21" i="11"/>
  <c r="E15" i="11"/>
  <c r="E19" i="11"/>
  <c r="E23" i="11"/>
  <c r="E27" i="11"/>
  <c r="E31" i="11"/>
  <c r="E24" i="11"/>
  <c r="E25" i="11"/>
  <c r="E29" i="11"/>
  <c r="H15" i="11"/>
  <c r="H19" i="11"/>
  <c r="H23" i="11"/>
  <c r="H27" i="11"/>
  <c r="H31" i="11"/>
  <c r="H17" i="11"/>
  <c r="H25" i="11"/>
  <c r="H26" i="11"/>
  <c r="H30" i="11"/>
  <c r="H16" i="11"/>
  <c r="H20" i="11"/>
  <c r="H24" i="11"/>
  <c r="H28" i="11"/>
  <c r="H21" i="11"/>
  <c r="H29" i="11"/>
  <c r="H14" i="11"/>
  <c r="H18" i="11"/>
  <c r="H22" i="11"/>
  <c r="D29" i="11"/>
  <c r="D30" i="11"/>
  <c r="D31" i="11"/>
  <c r="D26" i="11"/>
  <c r="D27" i="11"/>
  <c r="D28" i="11"/>
  <c r="D23" i="11"/>
  <c r="D24" i="11"/>
  <c r="D25" i="11"/>
  <c r="D20" i="11"/>
  <c r="D21" i="11"/>
  <c r="D22" i="11"/>
  <c r="D18" i="11"/>
  <c r="D19" i="11"/>
  <c r="D15" i="11"/>
  <c r="D17" i="11"/>
  <c r="F16" i="9"/>
  <c r="F17" i="9" s="1"/>
  <c r="F7" i="12"/>
  <c r="F19" i="12" s="1"/>
  <c r="H16" i="9"/>
  <c r="H18" i="9" s="1"/>
  <c r="H7" i="12"/>
  <c r="H12" i="12" s="1"/>
  <c r="D16" i="9"/>
  <c r="D17" i="9" s="1"/>
  <c r="D7" i="12"/>
  <c r="D14" i="12" s="1"/>
  <c r="E16" i="9"/>
  <c r="E18" i="9" s="1"/>
  <c r="E7" i="12"/>
  <c r="E32" i="12" s="1"/>
  <c r="G16" i="9"/>
  <c r="G17" i="9" s="1"/>
  <c r="G7" i="12"/>
  <c r="G13" i="12" s="1"/>
  <c r="C16" i="9"/>
  <c r="C17" i="9" s="1"/>
  <c r="C7" i="12"/>
  <c r="C28" i="12" s="1"/>
  <c r="S7" i="19"/>
  <c r="S8" i="19" s="1"/>
  <c r="H7" i="9"/>
  <c r="H10" i="9" s="1"/>
  <c r="O7" i="19"/>
  <c r="O8" i="19" s="1"/>
  <c r="D7" i="9"/>
  <c r="D9" i="9" s="1"/>
  <c r="P7" i="19"/>
  <c r="P8" i="19" s="1"/>
  <c r="E7" i="9"/>
  <c r="E10" i="9" s="1"/>
  <c r="Q7" i="19"/>
  <c r="Q8" i="19" s="1"/>
  <c r="F7" i="9"/>
  <c r="F9" i="9" s="1"/>
  <c r="R7" i="19"/>
  <c r="R8" i="19" s="1"/>
  <c r="G7" i="9"/>
  <c r="G12" i="9" s="1"/>
  <c r="C7" i="9"/>
  <c r="C13" i="9" s="1"/>
  <c r="E7" i="8"/>
  <c r="E12" i="8" s="1"/>
  <c r="E15" i="8"/>
  <c r="E16" i="8" s="1"/>
  <c r="F7" i="8"/>
  <c r="F12" i="8" s="1"/>
  <c r="F15" i="8"/>
  <c r="F16" i="8" s="1"/>
  <c r="G7" i="8"/>
  <c r="G11" i="8" s="1"/>
  <c r="G15" i="8"/>
  <c r="G17" i="8" s="1"/>
  <c r="H7" i="8"/>
  <c r="H11" i="8" s="1"/>
  <c r="H15" i="8"/>
  <c r="H16" i="8" s="1"/>
  <c r="D7" i="8"/>
  <c r="D10" i="8" s="1"/>
  <c r="D15" i="8"/>
  <c r="D17" i="8" s="1"/>
  <c r="C7" i="8"/>
  <c r="C10" i="8" s="1"/>
  <c r="C15" i="8"/>
  <c r="C16" i="8" s="1"/>
  <c r="H7" i="5"/>
  <c r="H20" i="5" s="1"/>
  <c r="AA20" i="5" s="1"/>
  <c r="S7" i="17"/>
  <c r="S8" i="17" s="1"/>
  <c r="D7" i="5"/>
  <c r="D13" i="5" s="1"/>
  <c r="O7" i="17"/>
  <c r="O8" i="17" s="1"/>
  <c r="F7" i="5"/>
  <c r="F32" i="5" s="1"/>
  <c r="Q7" i="17"/>
  <c r="Q8" i="17" s="1"/>
  <c r="C7" i="5"/>
  <c r="C9" i="5" s="1"/>
  <c r="N7" i="17"/>
  <c r="N8" i="17" s="1"/>
  <c r="E7" i="5"/>
  <c r="E38" i="5" s="1"/>
  <c r="P7" i="17"/>
  <c r="P8" i="17" s="1"/>
  <c r="G7" i="5"/>
  <c r="G13" i="5" s="1"/>
  <c r="R7" i="17"/>
  <c r="R8" i="17" s="1"/>
  <c r="H7" i="2"/>
  <c r="H11" i="2" s="1"/>
  <c r="G7" i="2"/>
  <c r="G20" i="2" s="1"/>
  <c r="R7" i="16"/>
  <c r="R8" i="16" s="1"/>
  <c r="Q7" i="15"/>
  <c r="Q8" i="15" s="1"/>
  <c r="Q7" i="16"/>
  <c r="Q8" i="16" s="1"/>
  <c r="N7" i="15"/>
  <c r="N8" i="15" s="1"/>
  <c r="N7" i="16"/>
  <c r="N8" i="16" s="1"/>
  <c r="S7" i="15"/>
  <c r="S8" i="15" s="1"/>
  <c r="S7" i="16"/>
  <c r="S8" i="16" s="1"/>
  <c r="D7" i="2"/>
  <c r="D19" i="2" s="1"/>
  <c r="O7" i="16"/>
  <c r="O8" i="16" s="1"/>
  <c r="P7" i="15"/>
  <c r="P8" i="15" s="1"/>
  <c r="P7" i="16"/>
  <c r="P8" i="16" s="1"/>
  <c r="E7" i="2"/>
  <c r="E22" i="2" s="1"/>
  <c r="O7" i="15"/>
  <c r="O8" i="15" s="1"/>
  <c r="R7" i="15"/>
  <c r="R8" i="15" s="1"/>
  <c r="F7" i="2"/>
  <c r="F8" i="2" s="1"/>
  <c r="D16" i="11"/>
  <c r="C7" i="2"/>
  <c r="C14" i="2" s="1"/>
  <c r="J11" i="11" l="1"/>
  <c r="J14" i="11"/>
  <c r="J15" i="11"/>
  <c r="J8" i="11"/>
  <c r="J13" i="11"/>
  <c r="J12" i="11"/>
  <c r="J9" i="11"/>
  <c r="J10" i="11"/>
  <c r="J29" i="11"/>
  <c r="T7" i="17"/>
  <c r="T8" i="17" s="1"/>
  <c r="I15" i="8"/>
  <c r="I17" i="8" s="1"/>
  <c r="I7" i="5"/>
  <c r="I9" i="5" s="1"/>
  <c r="I7" i="9"/>
  <c r="I9" i="9" s="1"/>
  <c r="I7" i="12"/>
  <c r="I15" i="12" s="1"/>
  <c r="J20" i="11"/>
  <c r="J18" i="11"/>
  <c r="J21" i="11"/>
  <c r="I7" i="2"/>
  <c r="I16" i="2" s="1"/>
  <c r="I7" i="8"/>
  <c r="I10" i="8" s="1"/>
  <c r="T7" i="19"/>
  <c r="T8" i="19" s="1"/>
  <c r="I16" i="9"/>
  <c r="I18" i="9" s="1"/>
  <c r="J19" i="11"/>
  <c r="J24" i="11"/>
  <c r="J22" i="11"/>
  <c r="J25" i="11"/>
  <c r="T7" i="16"/>
  <c r="T8" i="16" s="1"/>
  <c r="T7" i="15"/>
  <c r="T8" i="15" s="1"/>
  <c r="J31" i="11"/>
  <c r="J16" i="11"/>
  <c r="J30" i="11"/>
  <c r="J23" i="11"/>
  <c r="J17" i="11"/>
  <c r="J27" i="11"/>
  <c r="J26" i="11"/>
  <c r="J28" i="11"/>
  <c r="I9" i="14" a="1"/>
  <c r="I9" i="14" s="1"/>
  <c r="I10" i="14" s="1"/>
  <c r="J7" i="8" s="1"/>
  <c r="E8" i="12"/>
  <c r="H34" i="12"/>
  <c r="H38" i="12"/>
  <c r="H18" i="12"/>
  <c r="H19" i="12"/>
  <c r="H30" i="12"/>
  <c r="H40" i="12"/>
  <c r="H29" i="12"/>
  <c r="H33" i="12"/>
  <c r="H31" i="12"/>
  <c r="H32" i="12"/>
  <c r="H8" i="12"/>
  <c r="H35" i="12"/>
  <c r="H10" i="12"/>
  <c r="H11" i="12"/>
  <c r="H26" i="12"/>
  <c r="H14" i="12"/>
  <c r="H27" i="12"/>
  <c r="H16" i="12"/>
  <c r="H17" i="12"/>
  <c r="H20" i="12"/>
  <c r="H25" i="12"/>
  <c r="H21" i="12"/>
  <c r="H37" i="12"/>
  <c r="H9" i="12"/>
  <c r="H22" i="12"/>
  <c r="H15" i="12"/>
  <c r="H13" i="12"/>
  <c r="H24" i="12"/>
  <c r="H23" i="12"/>
  <c r="H39" i="12"/>
  <c r="H28" i="12"/>
  <c r="H36" i="12"/>
  <c r="F13" i="12"/>
  <c r="C39" i="12"/>
  <c r="H8" i="9"/>
  <c r="G22" i="12"/>
  <c r="D37" i="12"/>
  <c r="D39" i="12"/>
  <c r="D13" i="12"/>
  <c r="F12" i="12"/>
  <c r="F39" i="12"/>
  <c r="C21" i="12"/>
  <c r="D10" i="12"/>
  <c r="H11" i="9"/>
  <c r="E30" i="12"/>
  <c r="C17" i="12"/>
  <c r="F10" i="12"/>
  <c r="C37" i="12"/>
  <c r="D19" i="12"/>
  <c r="C34" i="12"/>
  <c r="D40" i="12"/>
  <c r="D25" i="12"/>
  <c r="H17" i="9"/>
  <c r="D18" i="9"/>
  <c r="F9" i="12"/>
  <c r="F30" i="12"/>
  <c r="F33" i="12"/>
  <c r="E17" i="12"/>
  <c r="E39" i="12"/>
  <c r="D22" i="12"/>
  <c r="D11" i="12"/>
  <c r="C16" i="12"/>
  <c r="G17" i="12"/>
  <c r="E23" i="12"/>
  <c r="E28" i="12"/>
  <c r="F31" i="12"/>
  <c r="E31" i="12"/>
  <c r="E24" i="12"/>
  <c r="E29" i="12"/>
  <c r="E38" i="12"/>
  <c r="E10" i="12"/>
  <c r="G40" i="12"/>
  <c r="D33" i="12"/>
  <c r="G33" i="12"/>
  <c r="F17" i="8"/>
  <c r="F8" i="12"/>
  <c r="F32" i="12"/>
  <c r="F26" i="12"/>
  <c r="F16" i="12"/>
  <c r="D27" i="12"/>
  <c r="G38" i="12"/>
  <c r="C10" i="12"/>
  <c r="E13" i="12"/>
  <c r="C24" i="12"/>
  <c r="D23" i="12"/>
  <c r="G36" i="12"/>
  <c r="E18" i="12"/>
  <c r="G14" i="12"/>
  <c r="G39" i="12"/>
  <c r="F12" i="9"/>
  <c r="C20" i="12"/>
  <c r="F10" i="9"/>
  <c r="C26" i="12"/>
  <c r="D16" i="12"/>
  <c r="D17" i="12"/>
  <c r="F34" i="12"/>
  <c r="F29" i="12"/>
  <c r="F11" i="9"/>
  <c r="F23" i="12"/>
  <c r="F13" i="9"/>
  <c r="F8" i="9"/>
  <c r="C14" i="12"/>
  <c r="C36" i="12"/>
  <c r="G19" i="12"/>
  <c r="G25" i="12"/>
  <c r="C30" i="12"/>
  <c r="G11" i="12"/>
  <c r="H12" i="9"/>
  <c r="G10" i="12"/>
  <c r="C23" i="12"/>
  <c r="H13" i="9"/>
  <c r="E14" i="12"/>
  <c r="D29" i="12"/>
  <c r="E21" i="12"/>
  <c r="D21" i="12"/>
  <c r="E34" i="12"/>
  <c r="G30" i="12"/>
  <c r="E15" i="12"/>
  <c r="C22" i="12"/>
  <c r="C27" i="12"/>
  <c r="D20" i="12"/>
  <c r="G26" i="12"/>
  <c r="E17" i="9"/>
  <c r="F18" i="12"/>
  <c r="F15" i="12"/>
  <c r="F11" i="12"/>
  <c r="F24" i="12"/>
  <c r="F25" i="12"/>
  <c r="C31" i="12"/>
  <c r="C40" i="12"/>
  <c r="C32" i="12"/>
  <c r="G34" i="12"/>
  <c r="D26" i="12"/>
  <c r="D12" i="12"/>
  <c r="G31" i="12"/>
  <c r="E25" i="12"/>
  <c r="G18" i="9"/>
  <c r="D31" i="12"/>
  <c r="C11" i="12"/>
  <c r="G12" i="12"/>
  <c r="G35" i="12"/>
  <c r="D18" i="12"/>
  <c r="C25" i="12"/>
  <c r="C33" i="12"/>
  <c r="D35" i="12"/>
  <c r="G37" i="12"/>
  <c r="D36" i="12"/>
  <c r="G16" i="12"/>
  <c r="E26" i="12"/>
  <c r="C29" i="12"/>
  <c r="G20" i="12"/>
  <c r="E16" i="12"/>
  <c r="C19" i="12"/>
  <c r="G28" i="12"/>
  <c r="G21" i="12"/>
  <c r="C15" i="12"/>
  <c r="H9" i="9"/>
  <c r="D38" i="12"/>
  <c r="E33" i="12"/>
  <c r="C8" i="12"/>
  <c r="E11" i="12"/>
  <c r="F18" i="9"/>
  <c r="F28" i="12"/>
  <c r="F27" i="12"/>
  <c r="F40" i="12"/>
  <c r="F14" i="12"/>
  <c r="F36" i="12"/>
  <c r="F38" i="12"/>
  <c r="F21" i="12"/>
  <c r="F37" i="12"/>
  <c r="F20" i="12"/>
  <c r="F22" i="12"/>
  <c r="F35" i="12"/>
  <c r="C18" i="12"/>
  <c r="D9" i="12"/>
  <c r="G18" i="12"/>
  <c r="D15" i="12"/>
  <c r="G27" i="12"/>
  <c r="E35" i="12"/>
  <c r="E40" i="12"/>
  <c r="G8" i="12"/>
  <c r="G24" i="12"/>
  <c r="C38" i="12"/>
  <c r="E37" i="12"/>
  <c r="D32" i="12"/>
  <c r="C35" i="12"/>
  <c r="G23" i="12"/>
  <c r="D24" i="12"/>
  <c r="G32" i="12"/>
  <c r="G9" i="12"/>
  <c r="E19" i="12"/>
  <c r="E12" i="12"/>
  <c r="E22" i="12"/>
  <c r="D28" i="12"/>
  <c r="C9" i="12"/>
  <c r="C13" i="12"/>
  <c r="D8" i="12"/>
  <c r="E20" i="12"/>
  <c r="C12" i="12"/>
  <c r="G15" i="12"/>
  <c r="G29" i="12"/>
  <c r="E9" i="12"/>
  <c r="D34" i="12"/>
  <c r="E36" i="12"/>
  <c r="D30" i="12"/>
  <c r="F17" i="12"/>
  <c r="E27" i="12"/>
  <c r="C18" i="9"/>
  <c r="E9" i="9"/>
  <c r="D11" i="9"/>
  <c r="G8" i="9"/>
  <c r="C9" i="9"/>
  <c r="G11" i="9"/>
  <c r="D8" i="9"/>
  <c r="C10" i="9"/>
  <c r="E8" i="9"/>
  <c r="E13" i="9"/>
  <c r="D12" i="9"/>
  <c r="E12" i="9"/>
  <c r="E11" i="9"/>
  <c r="D13" i="9"/>
  <c r="G10" i="9"/>
  <c r="C12" i="9"/>
  <c r="G13" i="9"/>
  <c r="G9" i="9"/>
  <c r="C8" i="9"/>
  <c r="C11" i="9"/>
  <c r="D10" i="9"/>
  <c r="D31" i="5"/>
  <c r="D10" i="5"/>
  <c r="F11" i="5"/>
  <c r="D27" i="5"/>
  <c r="G16" i="8"/>
  <c r="D38" i="5"/>
  <c r="H17" i="8"/>
  <c r="F30" i="5"/>
  <c r="C17" i="8"/>
  <c r="C11" i="8"/>
  <c r="C17" i="5"/>
  <c r="G34" i="5"/>
  <c r="F22" i="5"/>
  <c r="G20" i="5"/>
  <c r="G10" i="8"/>
  <c r="F11" i="8"/>
  <c r="F8" i="8"/>
  <c r="C8" i="8"/>
  <c r="H12" i="8"/>
  <c r="F10" i="8"/>
  <c r="G27" i="5"/>
  <c r="D24" i="5"/>
  <c r="D36" i="5"/>
  <c r="G26" i="5"/>
  <c r="G30" i="5"/>
  <c r="D30" i="5"/>
  <c r="D39" i="5"/>
  <c r="D22" i="5"/>
  <c r="D11" i="8"/>
  <c r="D32" i="5"/>
  <c r="D20" i="5"/>
  <c r="F10" i="5"/>
  <c r="G14" i="5"/>
  <c r="G24" i="5"/>
  <c r="F39" i="5"/>
  <c r="D16" i="5"/>
  <c r="D35" i="5"/>
  <c r="D16" i="8"/>
  <c r="D37" i="5"/>
  <c r="F38" i="5"/>
  <c r="F34" i="5"/>
  <c r="G23" i="5"/>
  <c r="F26" i="5"/>
  <c r="F8" i="5"/>
  <c r="D34" i="5"/>
  <c r="D28" i="5"/>
  <c r="G17" i="5"/>
  <c r="G22" i="5"/>
  <c r="G36" i="5"/>
  <c r="G8" i="5"/>
  <c r="E17" i="8"/>
  <c r="G39" i="5"/>
  <c r="F15" i="5"/>
  <c r="D8" i="5"/>
  <c r="F25" i="5"/>
  <c r="F29" i="5"/>
  <c r="G28" i="5"/>
  <c r="F13" i="5"/>
  <c r="G12" i="5"/>
  <c r="F20" i="5"/>
  <c r="G32" i="5"/>
  <c r="F17" i="5"/>
  <c r="D29" i="5"/>
  <c r="D23" i="5"/>
  <c r="D25" i="5"/>
  <c r="D21" i="5"/>
  <c r="D17" i="5"/>
  <c r="F27" i="5"/>
  <c r="F31" i="5"/>
  <c r="G16" i="5"/>
  <c r="G10" i="5"/>
  <c r="G19" i="5"/>
  <c r="G38" i="5"/>
  <c r="G33" i="5"/>
  <c r="F9" i="5"/>
  <c r="G9" i="5"/>
  <c r="G18" i="5"/>
  <c r="F23" i="5"/>
  <c r="F12" i="5"/>
  <c r="G25" i="5"/>
  <c r="G35" i="5"/>
  <c r="G31" i="5"/>
  <c r="F24" i="5"/>
  <c r="G29" i="5"/>
  <c r="E9" i="8"/>
  <c r="D18" i="5"/>
  <c r="D12" i="5"/>
  <c r="D33" i="5"/>
  <c r="D19" i="5"/>
  <c r="D26" i="5"/>
  <c r="D9" i="5"/>
  <c r="D14" i="5"/>
  <c r="D11" i="5"/>
  <c r="D15" i="5"/>
  <c r="F21" i="5"/>
  <c r="F14" i="5"/>
  <c r="F36" i="5"/>
  <c r="G37" i="5"/>
  <c r="F18" i="5"/>
  <c r="F33" i="5"/>
  <c r="F35" i="5"/>
  <c r="F28" i="5"/>
  <c r="F37" i="5"/>
  <c r="G15" i="5"/>
  <c r="G21" i="5"/>
  <c r="F16" i="5"/>
  <c r="G11" i="5"/>
  <c r="F19" i="5"/>
  <c r="F9" i="8"/>
  <c r="H10" i="8"/>
  <c r="G9" i="8"/>
  <c r="G8" i="8"/>
  <c r="G12" i="8"/>
  <c r="H8" i="8"/>
  <c r="H9" i="8"/>
  <c r="D8" i="8"/>
  <c r="E10" i="8"/>
  <c r="D9" i="8"/>
  <c r="E8" i="8"/>
  <c r="E11" i="8"/>
  <c r="D12" i="8"/>
  <c r="C9" i="8"/>
  <c r="C12" i="8"/>
  <c r="H36" i="5"/>
  <c r="AA36" i="5" s="1"/>
  <c r="H11" i="5"/>
  <c r="AA11" i="5" s="1"/>
  <c r="C19" i="5"/>
  <c r="H27" i="5"/>
  <c r="AA27" i="5" s="1"/>
  <c r="C29" i="5"/>
  <c r="H21" i="2"/>
  <c r="E12" i="5"/>
  <c r="H32" i="5"/>
  <c r="AA32" i="5" s="1"/>
  <c r="H29" i="5"/>
  <c r="AA29" i="5" s="1"/>
  <c r="C15" i="5"/>
  <c r="C26" i="5"/>
  <c r="E30" i="5"/>
  <c r="E16" i="5"/>
  <c r="E36" i="5"/>
  <c r="G22" i="2"/>
  <c r="E27" i="5"/>
  <c r="E32" i="5"/>
  <c r="H37" i="5"/>
  <c r="AA37" i="5" s="1"/>
  <c r="H12" i="5"/>
  <c r="AA12" i="5" s="1"/>
  <c r="C34" i="5"/>
  <c r="H33" i="5"/>
  <c r="AA33" i="5" s="1"/>
  <c r="C8" i="5"/>
  <c r="E20" i="5"/>
  <c r="H19" i="5"/>
  <c r="AA19" i="5" s="1"/>
  <c r="E31" i="5"/>
  <c r="H38" i="5"/>
  <c r="AA38" i="5" s="1"/>
  <c r="H16" i="5"/>
  <c r="AA16" i="5" s="1"/>
  <c r="H34" i="5"/>
  <c r="AA34" i="5" s="1"/>
  <c r="C23" i="5"/>
  <c r="H9" i="5"/>
  <c r="AA9" i="5" s="1"/>
  <c r="C10" i="5"/>
  <c r="H26" i="5"/>
  <c r="AA26" i="5" s="1"/>
  <c r="C21" i="5"/>
  <c r="E33" i="5"/>
  <c r="H17" i="5"/>
  <c r="AA17" i="5" s="1"/>
  <c r="E22" i="5"/>
  <c r="H24" i="5"/>
  <c r="AA24" i="5" s="1"/>
  <c r="H10" i="5"/>
  <c r="AA10" i="5" s="1"/>
  <c r="H28" i="5"/>
  <c r="AA28" i="5" s="1"/>
  <c r="C22" i="5"/>
  <c r="H18" i="5"/>
  <c r="AA18" i="5" s="1"/>
  <c r="C38" i="5"/>
  <c r="E10" i="5"/>
  <c r="E34" i="5"/>
  <c r="C36" i="5"/>
  <c r="C35" i="5"/>
  <c r="C20" i="5"/>
  <c r="C25" i="5"/>
  <c r="H25" i="5"/>
  <c r="AA25" i="5" s="1"/>
  <c r="C28" i="5"/>
  <c r="E26" i="5"/>
  <c r="H13" i="5"/>
  <c r="AA13" i="5" s="1"/>
  <c r="E28" i="5"/>
  <c r="H8" i="5"/>
  <c r="AA8" i="5" s="1"/>
  <c r="C13" i="5"/>
  <c r="H39" i="5"/>
  <c r="AA39" i="5" s="1"/>
  <c r="E13" i="5"/>
  <c r="E37" i="5"/>
  <c r="H15" i="5"/>
  <c r="AA15" i="5" s="1"/>
  <c r="E23" i="5"/>
  <c r="E21" i="5"/>
  <c r="C37" i="5"/>
  <c r="C27" i="5"/>
  <c r="C12" i="5"/>
  <c r="C18" i="5"/>
  <c r="E29" i="5"/>
  <c r="E14" i="5"/>
  <c r="H14" i="5"/>
  <c r="AA14" i="5" s="1"/>
  <c r="H22" i="5"/>
  <c r="AA22" i="5" s="1"/>
  <c r="C24" i="5"/>
  <c r="H31" i="5"/>
  <c r="AA31" i="5" s="1"/>
  <c r="C33" i="5"/>
  <c r="C11" i="5"/>
  <c r="E15" i="5"/>
  <c r="E39" i="5"/>
  <c r="H23" i="5"/>
  <c r="AA23" i="5" s="1"/>
  <c r="C16" i="5"/>
  <c r="E18" i="5"/>
  <c r="E17" i="5"/>
  <c r="E25" i="5"/>
  <c r="C14" i="5"/>
  <c r="E11" i="5"/>
  <c r="C32" i="5"/>
  <c r="C30" i="5"/>
  <c r="C39" i="5"/>
  <c r="H30" i="5"/>
  <c r="AA30" i="5" s="1"/>
  <c r="E8" i="5"/>
  <c r="E9" i="5"/>
  <c r="H35" i="5"/>
  <c r="AA35" i="5" s="1"/>
  <c r="C31" i="5"/>
  <c r="H21" i="5"/>
  <c r="AA21" i="5" s="1"/>
  <c r="E35" i="5"/>
  <c r="E19" i="5"/>
  <c r="E24" i="5"/>
  <c r="H17" i="2"/>
  <c r="H8" i="2"/>
  <c r="H20" i="2"/>
  <c r="H10" i="2"/>
  <c r="H12" i="2"/>
  <c r="H18" i="2"/>
  <c r="H22" i="2"/>
  <c r="H13" i="2"/>
  <c r="H19" i="2"/>
  <c r="H16" i="2"/>
  <c r="H15" i="2"/>
  <c r="H9" i="2"/>
  <c r="H14" i="2"/>
  <c r="G17" i="2"/>
  <c r="G8" i="2"/>
  <c r="G13" i="2"/>
  <c r="G21" i="2"/>
  <c r="G10" i="2"/>
  <c r="G9" i="2"/>
  <c r="G19" i="2"/>
  <c r="G15" i="2"/>
  <c r="G12" i="2"/>
  <c r="G11" i="2"/>
  <c r="G14" i="2"/>
  <c r="G18" i="2"/>
  <c r="G16" i="2"/>
  <c r="D18" i="2"/>
  <c r="D11" i="2"/>
  <c r="D9" i="2"/>
  <c r="D13" i="2"/>
  <c r="D16" i="2"/>
  <c r="D12" i="2"/>
  <c r="D10" i="2"/>
  <c r="D20" i="2"/>
  <c r="D14" i="2"/>
  <c r="D22" i="2"/>
  <c r="D17" i="2"/>
  <c r="D8" i="2"/>
  <c r="D21" i="2"/>
  <c r="D15" i="2"/>
  <c r="E20" i="2"/>
  <c r="E11" i="2"/>
  <c r="E21" i="2"/>
  <c r="E9" i="2"/>
  <c r="E8" i="2"/>
  <c r="E13" i="2"/>
  <c r="E16" i="2"/>
  <c r="E12" i="2"/>
  <c r="E18" i="2"/>
  <c r="E19" i="2"/>
  <c r="E17" i="2"/>
  <c r="E14" i="2"/>
  <c r="E10" i="2"/>
  <c r="E15" i="2"/>
  <c r="C10" i="2"/>
  <c r="F21" i="2"/>
  <c r="F11" i="2"/>
  <c r="C16" i="2"/>
  <c r="F16" i="2"/>
  <c r="F20" i="2"/>
  <c r="F19" i="2"/>
  <c r="C9" i="2"/>
  <c r="F14" i="2"/>
  <c r="F12" i="2"/>
  <c r="C12" i="2"/>
  <c r="C11" i="2"/>
  <c r="F9" i="2"/>
  <c r="F13" i="2"/>
  <c r="F10" i="2"/>
  <c r="C21" i="2"/>
  <c r="C20" i="2"/>
  <c r="F17" i="2"/>
  <c r="F22" i="2"/>
  <c r="C19" i="2"/>
  <c r="F15" i="2"/>
  <c r="F18" i="2"/>
  <c r="C22" i="2"/>
  <c r="C17" i="2"/>
  <c r="C15" i="2"/>
  <c r="C18" i="2"/>
  <c r="C13" i="2"/>
  <c r="C8" i="2"/>
  <c r="I19" i="2" l="1"/>
  <c r="I15" i="2"/>
  <c r="I14" i="2"/>
  <c r="I12" i="2"/>
  <c r="I17" i="2"/>
  <c r="I9" i="2"/>
  <c r="I13" i="2"/>
  <c r="I21" i="2"/>
  <c r="I10" i="2"/>
  <c r="I11" i="2"/>
  <c r="I22" i="2"/>
  <c r="I18" i="2"/>
  <c r="I10" i="5"/>
  <c r="I10" i="12"/>
  <c r="I12" i="12"/>
  <c r="I9" i="12"/>
  <c r="I35" i="12"/>
  <c r="I20" i="12"/>
  <c r="I27" i="12"/>
  <c r="I32" i="12"/>
  <c r="I24" i="12"/>
  <c r="I18" i="12"/>
  <c r="I30" i="12"/>
  <c r="I8" i="2"/>
  <c r="I20" i="2"/>
  <c r="I24" i="5"/>
  <c r="I9" i="8"/>
  <c r="I12" i="8"/>
  <c r="I16" i="8"/>
  <c r="I11" i="8"/>
  <c r="I8" i="8"/>
  <c r="I33" i="5"/>
  <c r="I12" i="5"/>
  <c r="I37" i="5"/>
  <c r="I35" i="5"/>
  <c r="I18" i="5"/>
  <c r="I22" i="5"/>
  <c r="I17" i="5"/>
  <c r="I14" i="5"/>
  <c r="I29" i="5"/>
  <c r="I31" i="5"/>
  <c r="I32" i="5"/>
  <c r="I15" i="5"/>
  <c r="I26" i="5"/>
  <c r="I28" i="5"/>
  <c r="I20" i="5"/>
  <c r="I11" i="5"/>
  <c r="I34" i="5"/>
  <c r="I19" i="5"/>
  <c r="I23" i="5"/>
  <c r="I16" i="5"/>
  <c r="I27" i="5"/>
  <c r="I21" i="5"/>
  <c r="I36" i="5"/>
  <c r="I39" i="5"/>
  <c r="I30" i="5"/>
  <c r="I25" i="5"/>
  <c r="I38" i="5"/>
  <c r="I8" i="5"/>
  <c r="I13" i="5"/>
  <c r="I17" i="9"/>
  <c r="I8" i="12"/>
  <c r="I23" i="12"/>
  <c r="I33" i="12"/>
  <c r="I14" i="12"/>
  <c r="I31" i="12"/>
  <c r="I11" i="12"/>
  <c r="I16" i="12"/>
  <c r="I13" i="12"/>
  <c r="I19" i="12"/>
  <c r="I25" i="12"/>
  <c r="I36" i="12"/>
  <c r="I29" i="12"/>
  <c r="I34" i="12"/>
  <c r="I40" i="12"/>
  <c r="I28" i="12"/>
  <c r="I37" i="12"/>
  <c r="I38" i="12"/>
  <c r="I26" i="12"/>
  <c r="I17" i="12"/>
  <c r="I22" i="12"/>
  <c r="I39" i="12"/>
  <c r="I21" i="12"/>
  <c r="I12" i="9"/>
  <c r="I11" i="9"/>
  <c r="I10" i="9"/>
  <c r="I13" i="9"/>
  <c r="I8" i="9"/>
  <c r="J7" i="5"/>
  <c r="J34" i="5" s="1"/>
  <c r="AB34" i="5" s="1"/>
  <c r="J7" i="2"/>
  <c r="J9" i="14" a="1"/>
  <c r="J9" i="14" s="1"/>
  <c r="J10" i="14" s="1"/>
  <c r="K7" i="5" s="1"/>
  <c r="U7" i="17"/>
  <c r="U8" i="17" s="1"/>
  <c r="J7" i="9"/>
  <c r="U7" i="16"/>
  <c r="U8" i="16" s="1"/>
  <c r="J11" i="8"/>
  <c r="J8" i="8"/>
  <c r="J9" i="8"/>
  <c r="J12" i="8"/>
  <c r="J10" i="8"/>
  <c r="J7" i="12"/>
  <c r="U7" i="15"/>
  <c r="U8" i="15" s="1"/>
  <c r="K7" i="11"/>
  <c r="J16" i="9"/>
  <c r="U7" i="19"/>
  <c r="U8" i="19" s="1"/>
  <c r="J15" i="8"/>
  <c r="K12" i="11" l="1"/>
  <c r="K13" i="11"/>
  <c r="K10" i="11"/>
  <c r="K11" i="11"/>
  <c r="K8" i="11"/>
  <c r="K9" i="11"/>
  <c r="J16" i="5"/>
  <c r="AB16" i="5" s="1"/>
  <c r="J33" i="5"/>
  <c r="AB33" i="5" s="1"/>
  <c r="J35" i="5"/>
  <c r="AB35" i="5" s="1"/>
  <c r="J27" i="5"/>
  <c r="AB27" i="5" s="1"/>
  <c r="J23" i="5"/>
  <c r="AB23" i="5" s="1"/>
  <c r="J11" i="5"/>
  <c r="AB11" i="5" s="1"/>
  <c r="J37" i="5"/>
  <c r="AB37" i="5" s="1"/>
  <c r="J31" i="5"/>
  <c r="AB31" i="5" s="1"/>
  <c r="J38" i="5"/>
  <c r="AB38" i="5" s="1"/>
  <c r="J17" i="5"/>
  <c r="AB17" i="5" s="1"/>
  <c r="J36" i="5"/>
  <c r="AB36" i="5" s="1"/>
  <c r="J14" i="5"/>
  <c r="AB14" i="5" s="1"/>
  <c r="J32" i="5"/>
  <c r="AB32" i="5" s="1"/>
  <c r="J19" i="5"/>
  <c r="AB19" i="5" s="1"/>
  <c r="J15" i="5"/>
  <c r="AB15" i="5" s="1"/>
  <c r="J18" i="5"/>
  <c r="AB18" i="5" s="1"/>
  <c r="J25" i="5"/>
  <c r="AB25" i="5" s="1"/>
  <c r="J29" i="5"/>
  <c r="AB29" i="5" s="1"/>
  <c r="J22" i="5"/>
  <c r="AB22" i="5" s="1"/>
  <c r="J13" i="5"/>
  <c r="AB13" i="5" s="1"/>
  <c r="J30" i="5"/>
  <c r="AB30" i="5" s="1"/>
  <c r="J20" i="5"/>
  <c r="AB20" i="5" s="1"/>
  <c r="J12" i="5"/>
  <c r="AB12" i="5" s="1"/>
  <c r="J24" i="5"/>
  <c r="AB24" i="5" s="1"/>
  <c r="J8" i="5"/>
  <c r="AB8" i="5" s="1"/>
  <c r="J28" i="5"/>
  <c r="AB28" i="5" s="1"/>
  <c r="J10" i="5"/>
  <c r="AB10" i="5" s="1"/>
  <c r="J21" i="5"/>
  <c r="AB21" i="5" s="1"/>
  <c r="J26" i="5"/>
  <c r="AB26" i="5" s="1"/>
  <c r="K7" i="2"/>
  <c r="K18" i="2" s="1"/>
  <c r="V7" i="19"/>
  <c r="V8" i="19" s="1"/>
  <c r="K7" i="12"/>
  <c r="K22" i="12" s="1"/>
  <c r="K9" i="14" a="1"/>
  <c r="K9" i="14" s="1"/>
  <c r="K15" i="8"/>
  <c r="K17" i="8" s="1"/>
  <c r="K16" i="9"/>
  <c r="K17" i="9" s="1"/>
  <c r="L7" i="11"/>
  <c r="K7" i="8"/>
  <c r="K12" i="8" s="1"/>
  <c r="V7" i="16"/>
  <c r="V8" i="16" s="1"/>
  <c r="V7" i="15"/>
  <c r="V8" i="15" s="1"/>
  <c r="K7" i="9"/>
  <c r="K10" i="9" s="1"/>
  <c r="V7" i="17"/>
  <c r="V8" i="17" s="1"/>
  <c r="J39" i="5"/>
  <c r="AB39" i="5" s="1"/>
  <c r="J9" i="5"/>
  <c r="AB9" i="5" s="1"/>
  <c r="J18" i="2"/>
  <c r="J22" i="2"/>
  <c r="J19" i="2"/>
  <c r="J13" i="2"/>
  <c r="J21" i="2"/>
  <c r="J11" i="2"/>
  <c r="J14" i="2"/>
  <c r="J12" i="2"/>
  <c r="J16" i="2"/>
  <c r="J17" i="2"/>
  <c r="J8" i="2"/>
  <c r="J20" i="2"/>
  <c r="J9" i="2"/>
  <c r="J10" i="2"/>
  <c r="J15" i="2"/>
  <c r="J8" i="9"/>
  <c r="J11" i="9"/>
  <c r="J13" i="9"/>
  <c r="J9" i="9"/>
  <c r="J12" i="9"/>
  <c r="J10" i="9"/>
  <c r="J17" i="9"/>
  <c r="J18" i="9"/>
  <c r="K20" i="11"/>
  <c r="K16" i="11"/>
  <c r="K19" i="11"/>
  <c r="K22" i="11"/>
  <c r="K17" i="11"/>
  <c r="K14" i="11"/>
  <c r="K27" i="11"/>
  <c r="K24" i="11"/>
  <c r="K21" i="11"/>
  <c r="K29" i="11"/>
  <c r="K18" i="11"/>
  <c r="K28" i="11"/>
  <c r="K26" i="11"/>
  <c r="K30" i="11"/>
  <c r="K23" i="11"/>
  <c r="K15" i="11"/>
  <c r="K25" i="11"/>
  <c r="K31" i="11"/>
  <c r="J17" i="8"/>
  <c r="J16" i="8"/>
  <c r="J18" i="12"/>
  <c r="J38" i="12"/>
  <c r="J16" i="12"/>
  <c r="J21" i="12"/>
  <c r="J35" i="12"/>
  <c r="J11" i="12"/>
  <c r="J32" i="12"/>
  <c r="J8" i="12"/>
  <c r="J15" i="12"/>
  <c r="J22" i="12"/>
  <c r="J30" i="12"/>
  <c r="J17" i="12"/>
  <c r="J27" i="12"/>
  <c r="J39" i="12"/>
  <c r="J20" i="12"/>
  <c r="J23" i="12"/>
  <c r="J13" i="12"/>
  <c r="J24" i="12"/>
  <c r="J12" i="12"/>
  <c r="J31" i="12"/>
  <c r="J29" i="12"/>
  <c r="J33" i="12"/>
  <c r="J10" i="12"/>
  <c r="J14" i="12"/>
  <c r="J37" i="12"/>
  <c r="J9" i="12"/>
  <c r="J28" i="12"/>
  <c r="J34" i="12"/>
  <c r="J40" i="12"/>
  <c r="J19" i="12"/>
  <c r="J36" i="12"/>
  <c r="J26" i="12"/>
  <c r="J25" i="12"/>
  <c r="K13" i="5"/>
  <c r="AC13" i="5" s="1"/>
  <c r="K33" i="5"/>
  <c r="AC33" i="5" s="1"/>
  <c r="K16" i="5"/>
  <c r="AC16" i="5" s="1"/>
  <c r="K24" i="5"/>
  <c r="AC24" i="5" s="1"/>
  <c r="K26" i="5"/>
  <c r="AC26" i="5" s="1"/>
  <c r="K23" i="5"/>
  <c r="AC23" i="5" s="1"/>
  <c r="K19" i="5"/>
  <c r="AC19" i="5" s="1"/>
  <c r="K29" i="5"/>
  <c r="AC29" i="5" s="1"/>
  <c r="K14" i="5"/>
  <c r="AC14" i="5" s="1"/>
  <c r="K21" i="5"/>
  <c r="AC21" i="5" s="1"/>
  <c r="K8" i="5"/>
  <c r="AC8" i="5" s="1"/>
  <c r="K36" i="5"/>
  <c r="AC36" i="5" s="1"/>
  <c r="K35" i="5"/>
  <c r="AC35" i="5" s="1"/>
  <c r="K9" i="5"/>
  <c r="AC9" i="5" s="1"/>
  <c r="K39" i="5"/>
  <c r="AC39" i="5" s="1"/>
  <c r="K17" i="5"/>
  <c r="AC17" i="5" s="1"/>
  <c r="K10" i="5"/>
  <c r="AC10" i="5" s="1"/>
  <c r="K32" i="5"/>
  <c r="AC32" i="5" s="1"/>
  <c r="K34" i="5"/>
  <c r="AC34" i="5" s="1"/>
  <c r="K38" i="5"/>
  <c r="AC38" i="5" s="1"/>
  <c r="K11" i="5"/>
  <c r="AC11" i="5" s="1"/>
  <c r="K20" i="5"/>
  <c r="AC20" i="5" s="1"/>
  <c r="K30" i="5"/>
  <c r="AC30" i="5" s="1"/>
  <c r="K37" i="5"/>
  <c r="AC37" i="5" s="1"/>
  <c r="K25" i="5"/>
  <c r="AC25" i="5" s="1"/>
  <c r="K18" i="5"/>
  <c r="AC18" i="5" s="1"/>
  <c r="K12" i="5"/>
  <c r="AC12" i="5" s="1"/>
  <c r="K31" i="5"/>
  <c r="AC31" i="5" s="1"/>
  <c r="K28" i="5"/>
  <c r="AC28" i="5" s="1"/>
  <c r="K15" i="5"/>
  <c r="AC15" i="5" s="1"/>
  <c r="K22" i="5"/>
  <c r="AC22" i="5" s="1"/>
  <c r="K27" i="5"/>
  <c r="AC27" i="5" s="1"/>
  <c r="L12" i="11" l="1"/>
  <c r="L13" i="11"/>
  <c r="L10" i="11"/>
  <c r="L11" i="11"/>
  <c r="L8" i="11"/>
  <c r="L9" i="11"/>
  <c r="L19" i="11"/>
  <c r="E14" i="14"/>
  <c r="E15" i="14"/>
  <c r="C18" i="1" s="1"/>
  <c r="K20" i="2"/>
  <c r="K15" i="2"/>
  <c r="K17" i="2"/>
  <c r="K19" i="2"/>
  <c r="K11" i="2"/>
  <c r="K8" i="2"/>
  <c r="K9" i="2"/>
  <c r="K16" i="2"/>
  <c r="K18" i="9"/>
  <c r="K37" i="12"/>
  <c r="K14" i="2"/>
  <c r="K22" i="2"/>
  <c r="K13" i="2"/>
  <c r="K21" i="12"/>
  <c r="K24" i="12"/>
  <c r="K8" i="12"/>
  <c r="L25" i="11"/>
  <c r="K30" i="12"/>
  <c r="K12" i="12"/>
  <c r="L26" i="11"/>
  <c r="K18" i="12"/>
  <c r="K14" i="12"/>
  <c r="K27" i="12"/>
  <c r="K40" i="12"/>
  <c r="K33" i="12"/>
  <c r="K23" i="12"/>
  <c r="K39" i="12"/>
  <c r="K9" i="9"/>
  <c r="L23" i="11"/>
  <c r="K17" i="12"/>
  <c r="K32" i="12"/>
  <c r="K20" i="12"/>
  <c r="K16" i="12"/>
  <c r="K13" i="9"/>
  <c r="L28" i="11"/>
  <c r="K11" i="12"/>
  <c r="K13" i="12"/>
  <c r="K26" i="12"/>
  <c r="K36" i="12"/>
  <c r="K31" i="12"/>
  <c r="K34" i="12"/>
  <c r="K15" i="12"/>
  <c r="K28" i="12"/>
  <c r="K12" i="9"/>
  <c r="K11" i="9"/>
  <c r="L20" i="11"/>
  <c r="L17" i="11"/>
  <c r="L24" i="11"/>
  <c r="L22" i="11"/>
  <c r="K25" i="12"/>
  <c r="K38" i="12"/>
  <c r="K9" i="12"/>
  <c r="K29" i="12"/>
  <c r="K35" i="12"/>
  <c r="K19" i="12"/>
  <c r="K10" i="12"/>
  <c r="K8" i="9"/>
  <c r="L18" i="11"/>
  <c r="L14" i="11"/>
  <c r="L16" i="11"/>
  <c r="L31" i="11"/>
  <c r="L21" i="11"/>
  <c r="L15" i="11"/>
  <c r="L27" i="11"/>
  <c r="L29" i="11"/>
  <c r="L30" i="11"/>
  <c r="K16" i="8"/>
  <c r="K12" i="2"/>
  <c r="K10" i="2"/>
  <c r="K21" i="2"/>
  <c r="K8" i="8"/>
  <c r="K11" i="8"/>
  <c r="K10" i="14"/>
  <c r="L7" i="8" s="1"/>
  <c r="K10" i="8"/>
  <c r="K9" i="8"/>
  <c r="B37" i="19" l="1"/>
  <c r="B46" i="12"/>
  <c r="B37" i="17"/>
  <c r="B24" i="9"/>
  <c r="B39" i="11"/>
  <c r="B24" i="8"/>
  <c r="B46" i="5"/>
  <c r="B37" i="16"/>
  <c r="B28" i="2"/>
  <c r="B37" i="15"/>
  <c r="W7" i="19"/>
  <c r="W8" i="19" s="1"/>
  <c r="L16" i="9"/>
  <c r="L18" i="9" s="1"/>
  <c r="L7" i="5"/>
  <c r="L11" i="5" s="1"/>
  <c r="L15" i="8"/>
  <c r="L16" i="8" s="1"/>
  <c r="L7" i="9"/>
  <c r="L13" i="9" s="1"/>
  <c r="L7" i="12"/>
  <c r="L29" i="12" s="1"/>
  <c r="L7" i="2"/>
  <c r="L8" i="2" s="1"/>
  <c r="M7" i="11"/>
  <c r="W7" i="15"/>
  <c r="W8" i="15" s="1"/>
  <c r="W7" i="16"/>
  <c r="W8" i="16" s="1"/>
  <c r="W7" i="17"/>
  <c r="W8" i="17" s="1"/>
  <c r="L8" i="8"/>
  <c r="L12" i="8"/>
  <c r="L9" i="8"/>
  <c r="L10" i="8"/>
  <c r="L11" i="8"/>
  <c r="M12" i="11" l="1"/>
  <c r="M13" i="11"/>
  <c r="M10" i="11"/>
  <c r="M11" i="11"/>
  <c r="M8" i="11"/>
  <c r="M9" i="11"/>
  <c r="M18" i="11"/>
  <c r="L8" i="5"/>
  <c r="L28" i="5"/>
  <c r="L15" i="5"/>
  <c r="L13" i="2"/>
  <c r="L14" i="2"/>
  <c r="L22" i="2"/>
  <c r="L21" i="2"/>
  <c r="L20" i="2"/>
  <c r="L10" i="2"/>
  <c r="L17" i="2"/>
  <c r="L12" i="2"/>
  <c r="M28" i="11"/>
  <c r="L16" i="2"/>
  <c r="L18" i="2"/>
  <c r="L11" i="2"/>
  <c r="L23" i="5"/>
  <c r="L8" i="12"/>
  <c r="L31" i="12"/>
  <c r="L14" i="12"/>
  <c r="L28" i="12"/>
  <c r="L30" i="12"/>
  <c r="L12" i="12"/>
  <c r="L21" i="12"/>
  <c r="L34" i="12"/>
  <c r="L17" i="8"/>
  <c r="M24" i="11"/>
  <c r="M21" i="11"/>
  <c r="L17" i="9"/>
  <c r="L15" i="12"/>
  <c r="L40" i="12"/>
  <c r="L33" i="12"/>
  <c r="L26" i="12"/>
  <c r="L37" i="12"/>
  <c r="L19" i="12"/>
  <c r="L35" i="12"/>
  <c r="L10" i="12"/>
  <c r="L11" i="12"/>
  <c r="L18" i="12"/>
  <c r="L32" i="12"/>
  <c r="L24" i="12"/>
  <c r="L13" i="12"/>
  <c r="L16" i="12"/>
  <c r="L27" i="12"/>
  <c r="L23" i="12"/>
  <c r="L20" i="12"/>
  <c r="L22" i="12"/>
  <c r="L38" i="12"/>
  <c r="L25" i="12"/>
  <c r="L39" i="12"/>
  <c r="L36" i="12"/>
  <c r="L17" i="12"/>
  <c r="L9" i="12"/>
  <c r="M31" i="11"/>
  <c r="L15" i="2"/>
  <c r="L9" i="2"/>
  <c r="L19" i="2"/>
  <c r="L16" i="5"/>
  <c r="L38" i="5"/>
  <c r="L21" i="5"/>
  <c r="L10" i="5"/>
  <c r="L26" i="5"/>
  <c r="L13" i="5"/>
  <c r="L27" i="5"/>
  <c r="L35" i="5"/>
  <c r="L29" i="5"/>
  <c r="L37" i="5"/>
  <c r="L31" i="5"/>
  <c r="L34" i="5"/>
  <c r="M23" i="11"/>
  <c r="M27" i="11"/>
  <c r="M20" i="11"/>
  <c r="M25" i="11"/>
  <c r="M17" i="11"/>
  <c r="M16" i="11"/>
  <c r="M15" i="11"/>
  <c r="M19" i="11"/>
  <c r="M30" i="11"/>
  <c r="L24" i="5"/>
  <c r="L39" i="5"/>
  <c r="L33" i="5"/>
  <c r="L17" i="5"/>
  <c r="L12" i="5"/>
  <c r="L32" i="5"/>
  <c r="L18" i="5"/>
  <c r="L36" i="5"/>
  <c r="M22" i="11"/>
  <c r="M26" i="11"/>
  <c r="M29" i="11"/>
  <c r="M14" i="11"/>
  <c r="L9" i="5"/>
  <c r="L25" i="5"/>
  <c r="L20" i="5"/>
  <c r="L14" i="5"/>
  <c r="L22" i="5"/>
  <c r="L30" i="5"/>
  <c r="L19" i="5"/>
  <c r="L12" i="9"/>
  <c r="L9" i="9"/>
  <c r="L11" i="9"/>
  <c r="L10" i="9"/>
  <c r="L8" i="9"/>
</calcChain>
</file>

<file path=xl/sharedStrings.xml><?xml version="1.0" encoding="utf-8"?>
<sst xmlns="http://schemas.openxmlformats.org/spreadsheetml/2006/main" count="385" uniqueCount="230">
  <si>
    <t>Borders</t>
  </si>
  <si>
    <t>Fife</t>
  </si>
  <si>
    <t>Forth Valley</t>
  </si>
  <si>
    <t>Grampian</t>
  </si>
  <si>
    <t>Highland</t>
  </si>
  <si>
    <t>Lanarkshire</t>
  </si>
  <si>
    <t>Lothian</t>
  </si>
  <si>
    <t>Orkney</t>
  </si>
  <si>
    <t>Shetland</t>
  </si>
  <si>
    <t>Tayside</t>
  </si>
  <si>
    <t>Western Isles</t>
  </si>
  <si>
    <t>Scotland</t>
  </si>
  <si>
    <t xml:space="preserve">For full details of the external causes of death which have been omitted, please click here. </t>
  </si>
  <si>
    <t>1.</t>
  </si>
  <si>
    <t>External causes of death excluded from analysis</t>
  </si>
  <si>
    <t>ICD10 Code</t>
  </si>
  <si>
    <t>Description</t>
  </si>
  <si>
    <t>Transport Accidents</t>
  </si>
  <si>
    <t>V01-V09</t>
  </si>
  <si>
    <t>Pedestrian injured in transport accident</t>
  </si>
  <si>
    <t>V10-V19</t>
  </si>
  <si>
    <t>Pedal cyclist injured in transport accident</t>
  </si>
  <si>
    <t>V20-V29</t>
  </si>
  <si>
    <t>Motorcycle rider injured in transport accident</t>
  </si>
  <si>
    <t>V30-V39</t>
  </si>
  <si>
    <t>Occupant of three-wheeled motor vehicle injured in transport accident</t>
  </si>
  <si>
    <t>V40-V49</t>
  </si>
  <si>
    <t>Car occupant injured in transport accident</t>
  </si>
  <si>
    <t>V50-V59</t>
  </si>
  <si>
    <t>Occupant of pick-up truck or van injured in transport accident</t>
  </si>
  <si>
    <t>V60-V69</t>
  </si>
  <si>
    <t>Occupant of heavy transport vehicle injured in transport accident</t>
  </si>
  <si>
    <t>V70-V79</t>
  </si>
  <si>
    <t>Bus occupant injured in transport accident</t>
  </si>
  <si>
    <t>V80-V89</t>
  </si>
  <si>
    <t>Other land transport accidents</t>
  </si>
  <si>
    <t>V90-V94</t>
  </si>
  <si>
    <t>Water transport accidents</t>
  </si>
  <si>
    <t>V95-V97</t>
  </si>
  <si>
    <t>Air and space transport accidents</t>
  </si>
  <si>
    <t>V98-V99</t>
  </si>
  <si>
    <t>Other and unspecified transport accidents</t>
  </si>
  <si>
    <t>Other external causes of accidental injury</t>
  </si>
  <si>
    <t>W20-W49</t>
  </si>
  <si>
    <t>Exposure to inanimate mechanical forces</t>
  </si>
  <si>
    <t>W50-W64</t>
  </si>
  <si>
    <t>Exposure to animate mechanical forces</t>
  </si>
  <si>
    <t>W65-W74</t>
  </si>
  <si>
    <t>Accidental drowning and submersion</t>
  </si>
  <si>
    <t>W75-W84</t>
  </si>
  <si>
    <t>Other accidental threats to breathing</t>
  </si>
  <si>
    <t>W85-W99</t>
  </si>
  <si>
    <t>Exposure to electric current, radiation and extreme ambient air temperature and pressure</t>
  </si>
  <si>
    <t>X00-X09</t>
  </si>
  <si>
    <t>Exposure to smoke, fire and flames</t>
  </si>
  <si>
    <t>X10-X19</t>
  </si>
  <si>
    <t>Contact with heat and hot substances</t>
  </si>
  <si>
    <t>X20-X29</t>
  </si>
  <si>
    <t>Contact with venomous animals and plants</t>
  </si>
  <si>
    <t>X30-X39</t>
  </si>
  <si>
    <t>Exposure to forces of nature</t>
  </si>
  <si>
    <t>X40-X49</t>
  </si>
  <si>
    <t>Accidental poisoning by and exposure to noxious substances</t>
  </si>
  <si>
    <t>X50-X57</t>
  </si>
  <si>
    <t>Overexertion, travel and privation</t>
  </si>
  <si>
    <t>X58-X59</t>
  </si>
  <si>
    <t>Accidental exposure to other and unspecified factors</t>
  </si>
  <si>
    <t>X60-X84</t>
  </si>
  <si>
    <t>Intentional self-harm</t>
  </si>
  <si>
    <t>X85-Y09</t>
  </si>
  <si>
    <t>Assault</t>
  </si>
  <si>
    <t>Y10-Y34</t>
  </si>
  <si>
    <t>Event of undetermined intent</t>
  </si>
  <si>
    <t>Y35-Y36</t>
  </si>
  <si>
    <t>Legal intervention and operations of war</t>
  </si>
  <si>
    <t>Complications of medical and surgical care</t>
  </si>
  <si>
    <t>Y40-Y59</t>
  </si>
  <si>
    <t>Drugs, medicaments and biological substances causing adverse effects in therapeutic use</t>
  </si>
  <si>
    <t>Y60-Y69</t>
  </si>
  <si>
    <t>Misadventures to patients during surgical and medical care</t>
  </si>
  <si>
    <t>Y70-Y82</t>
  </si>
  <si>
    <t>Medical devices associated with adverse incidents in diagnostic and therapeutic use</t>
  </si>
  <si>
    <t>Y83-Y84</t>
  </si>
  <si>
    <t>Surgical and other medical procedures as the cause of abnormal reaction of the patient, or of later complication, without mention of misadventure at the time of the procedure</t>
  </si>
  <si>
    <t>Source: International Statistical Classification of Diseases and Related Health Problems (10th Revision) 2007</t>
  </si>
  <si>
    <t>2.</t>
  </si>
  <si>
    <t>Number of bed days includes both elective and emergency admissions.</t>
  </si>
  <si>
    <t>Aberdeen City</t>
  </si>
  <si>
    <t>Aberdeenshire</t>
  </si>
  <si>
    <t>Angus</t>
  </si>
  <si>
    <t>Dundee City</t>
  </si>
  <si>
    <t>East Ayrshire</t>
  </si>
  <si>
    <t>East Dunbartonshire</t>
  </si>
  <si>
    <t>East Lothian</t>
  </si>
  <si>
    <t>East Renfrewshire</t>
  </si>
  <si>
    <t>Falkirk</t>
  </si>
  <si>
    <t>Inverclyde</t>
  </si>
  <si>
    <t>Midlothian</t>
  </si>
  <si>
    <t>Moray</t>
  </si>
  <si>
    <t>North Ayrshire</t>
  </si>
  <si>
    <t>North Lanarkshire</t>
  </si>
  <si>
    <t>Orkney Islands</t>
  </si>
  <si>
    <t>Renfrewshire</t>
  </si>
  <si>
    <t>Scottish Borders</t>
  </si>
  <si>
    <t>Shetland Islands</t>
  </si>
  <si>
    <t>South Ayrshire</t>
  </si>
  <si>
    <t>South Lanarkshire</t>
  </si>
  <si>
    <t>West Dunbartonshire</t>
  </si>
  <si>
    <t>West Lothian</t>
  </si>
  <si>
    <t>5.</t>
  </si>
  <si>
    <t>Measure notes</t>
  </si>
  <si>
    <t>Quality Outcome Measure 10: Percentage of time in the last 6 months of life spent at home or in a community setting</t>
  </si>
  <si>
    <t>Female</t>
  </si>
  <si>
    <t>15% most deprived</t>
  </si>
  <si>
    <t>Other 85%</t>
  </si>
  <si>
    <t>Urban Rural 6-fold Classification</t>
  </si>
  <si>
    <t>Urban Rural 2-fold Classification</t>
  </si>
  <si>
    <t>Age Group</t>
  </si>
  <si>
    <t>65-74</t>
  </si>
  <si>
    <t>Both</t>
  </si>
  <si>
    <t>55-64</t>
  </si>
  <si>
    <t>75-84</t>
  </si>
  <si>
    <t>85+</t>
  </si>
  <si>
    <t>All Ages</t>
  </si>
  <si>
    <t xml:space="preserve">For more information on Urban / Rural classification see </t>
  </si>
  <si>
    <t>http://www.scotland.gov.uk/Topics/Statistics/SIMD/</t>
  </si>
  <si>
    <t xml:space="preserve">For more information on Scottish Index of Multiple Deprivation see </t>
  </si>
  <si>
    <t>Table 1: Percentage of last six months of life spent at home or in a community setting</t>
  </si>
  <si>
    <t>Table 2: Percentage of last six months of life spent at home or in a community setting</t>
  </si>
  <si>
    <t>Table 3: Percentage of last six months of life spent at home or in a community setting</t>
  </si>
  <si>
    <t>Health and Social Care Partnership</t>
  </si>
  <si>
    <t>Glasgow City</t>
  </si>
  <si>
    <t>Clackmannanshire and Stirling</t>
  </si>
  <si>
    <t>These statistics are derived from data collected on discharges from acute and community hospitals (SMR01), pyschiatric hospitals (SMR04) and geriatric long stay facilities (SMR01 GLS) in Scotland.</t>
  </si>
  <si>
    <t>4.</t>
  </si>
  <si>
    <t>Edinburgh</t>
  </si>
  <si>
    <t>Please read the notes below before looking at the data.</t>
  </si>
  <si>
    <r>
      <t>Deprivation Category (15+ Most Deprived)</t>
    </r>
    <r>
      <rPr>
        <b/>
        <vertAlign val="superscript"/>
        <sz val="10"/>
        <rFont val="Arial"/>
        <family val="2"/>
      </rPr>
      <t>3</t>
    </r>
  </si>
  <si>
    <r>
      <t>Deprivation Category (SIMD Quintile)</t>
    </r>
    <r>
      <rPr>
        <b/>
        <vertAlign val="superscript"/>
        <sz val="10"/>
        <rFont val="Arial"/>
        <family val="2"/>
      </rPr>
      <t>2</t>
    </r>
  </si>
  <si>
    <t>3.</t>
  </si>
  <si>
    <t>See Appendix 2 of the full report for more information.</t>
  </si>
  <si>
    <t>Clackmannanshire</t>
  </si>
  <si>
    <t>Stirling</t>
  </si>
  <si>
    <t>Table 4: Percentage of last six months of life spent at home or in a community setting</t>
  </si>
  <si>
    <t>Table 6: Percentage of last six months of life spent at home or in a community setting</t>
  </si>
  <si>
    <t>fy</t>
  </si>
  <si>
    <t>category</t>
  </si>
  <si>
    <t>category_split</t>
  </si>
  <si>
    <t>qom</t>
  </si>
  <si>
    <t>2</t>
  </si>
  <si>
    <t>3</t>
  </si>
  <si>
    <t>4</t>
  </si>
  <si>
    <t>1 - Most Deprived</t>
  </si>
  <si>
    <t>5 - Least Deprived</t>
  </si>
  <si>
    <t>1 Large Urban Areas</t>
  </si>
  <si>
    <t>2 Other Urban Areas</t>
  </si>
  <si>
    <t>3 Accessible Small Towns</t>
  </si>
  <si>
    <t>4 Remote Small Towns</t>
  </si>
  <si>
    <t>5 Accessible Rural</t>
  </si>
  <si>
    <t>6 Remote Rural</t>
  </si>
  <si>
    <t>2 Rural Areas</t>
  </si>
  <si>
    <t>data rows</t>
  </si>
  <si>
    <t>index</t>
  </si>
  <si>
    <t>data columns</t>
  </si>
  <si>
    <t>Male</t>
  </si>
  <si>
    <t>Table 5: Percentage of last six months of life spent at home or in a community setting</t>
  </si>
  <si>
    <t>superscript for provisional data</t>
  </si>
  <si>
    <t>Ayrshire and Arran</t>
  </si>
  <si>
    <t>Dumfries and Galloway</t>
  </si>
  <si>
    <t>Greater Glasgow and Clyde</t>
  </si>
  <si>
    <t>Argyll and Bute</t>
  </si>
  <si>
    <t>Perth and Kinross</t>
  </si>
  <si>
    <t>Figure A1.1: Percentage of last six months of life spent at home or in a community setting</t>
  </si>
  <si>
    <t>Figure A1.2: Percentage of last six months of life spent at home or in a community setting</t>
  </si>
  <si>
    <t>Figure A1.3: Percentage of last six months of life spent at home or in a community setting</t>
  </si>
  <si>
    <t>Figure A1.4: Percentage of last six months of life spent at home or in a community setting</t>
  </si>
  <si>
    <t>Please note that the y-axis does not start at zero.</t>
  </si>
  <si>
    <t>City of Edinburgh</t>
  </si>
  <si>
    <t>Local Authority</t>
  </si>
  <si>
    <t>Financial Year Ending 31st March</t>
  </si>
  <si>
    <t>http://www.who.int/classifications/icd/en/</t>
  </si>
  <si>
    <t>publication type</t>
  </si>
  <si>
    <t>provisional</t>
  </si>
  <si>
    <t>provisional footnote</t>
  </si>
  <si>
    <t>provisional note</t>
  </si>
  <si>
    <t>provisional note (used by above)</t>
  </si>
  <si>
    <t>superscript for note 2</t>
  </si>
  <si>
    <t>²</t>
  </si>
  <si>
    <t>superscript for note 1</t>
  </si>
  <si>
    <t>¹</t>
  </si>
  <si>
    <t>by Health and Social Care Partnership</t>
  </si>
  <si>
    <t>by Local Authority</t>
  </si>
  <si>
    <t>Table 2: Percentage of time in the last six months of life spent at home or in a community setting; by Health and Social Care Partnership</t>
  </si>
  <si>
    <t>Table 6: Percentage of time in the last six months of life spent at home or in a community setting; by Local Authority</t>
  </si>
  <si>
    <t>Table 4: Percentage of time in the last six months of life spent at home or in a community setting; by Deprivation Category</t>
  </si>
  <si>
    <t>Table 5: Percentage of time in the last six months of life spent at home or in a community setting; by Urban/Rural Classification</t>
  </si>
  <si>
    <t>Table 1: Percentage of time in the last six months of life spent at home or in a community setting; by NHS Board of Residence</t>
  </si>
  <si>
    <t>Table 3: Percentage of time in the last six months of life spent at home or in a community setting; by Age and Sex</t>
  </si>
  <si>
    <t>6.</t>
  </si>
  <si>
    <t>NHS Board, Health and Social Care Partnership and Local Authority relate to location of residence at time of death. NHS Board figures are based on the 2019 boundaries.</t>
  </si>
  <si>
    <t>Health and Social Care Team, PHS</t>
  </si>
  <si>
    <t>by NHS Board of Residence</t>
  </si>
  <si>
    <t>NHS Board of Residence</t>
  </si>
  <si>
    <t>by Age and Sex</t>
  </si>
  <si>
    <t>Sex</t>
  </si>
  <si>
    <t>ᴾ</t>
  </si>
  <si>
    <t>Hospital activity data is estimated to be 96% complete at Scotland level. However this is much lower for Forth Valley (50%) and as a result estimated figures for 2019/20 have been calculated for NHS Forth Valley and the Health and Social Care Partnerships within this area. These estimates have also been included in the Scotland figure.</t>
  </si>
  <si>
    <t>COVID-19 footnote</t>
  </si>
  <si>
    <t>Source: SMR01 (including GLS), SMR04 and NRS Death Records</t>
  </si>
  <si>
    <t>Please note that people who died where a fall is coded on the death record are included within the cohort; W00-W19 Falls</t>
  </si>
  <si>
    <t>This measure has been calculated by subtracting the number of bed days spent in an acute, mental health or geriatric long stay hospital in the 6 months prior to death from the maximum number of bed days someone could have spent in hospital in the 6 months prior to death (182.5 days).</t>
  </si>
  <si>
    <t>The length of hospital stays in 2020/21 and 2021/22 are likely to have been impacted by measures in place at different stages of the COVID-19 pandemic. This may be an underlying reason for the larger increase in the percentage of time spent at home or in a community setting between 2019/20 and 2020/21.</t>
  </si>
  <si>
    <t>45-54</t>
  </si>
  <si>
    <t>18-44</t>
  </si>
  <si>
    <t>0-17</t>
  </si>
  <si>
    <t xml:space="preserve">People who died where an external cause of death is coded on the death record have been excluded from the analysis. </t>
  </si>
  <si>
    <t>p.</t>
  </si>
  <si>
    <t>Source: SMR01 - Acute Inpatient and Day Case, SMR01 Geriatric Long Stay (GLS), SMR04 - Mental Health Inpatient and Day Case, National Records of Scotland (NRS) death records</t>
  </si>
  <si>
    <t>Please note that the number of deaths observed in the 0-17 and 18-44 age groups is less than the other age groups reported and caution should be applied when using and interpreting the Quality Outcome Measure (QOM) figures for these age groups.</t>
  </si>
  <si>
    <t>Comhairle nan Eilean Siar</t>
  </si>
  <si>
    <t>2. Data are analysed by the 2020 ‘Scotland level’ Scottish Index of Multiple Deprivation (SIMD) population weighted quintiles. Each quintile consists of approximately 20% of the population living in Scotland, with deprivation quintile 1 indicating the population living in the most deprived areas.</t>
  </si>
  <si>
    <t xml:space="preserve">2. The Urban/Rural classification can be used to classify geographies as urban, rural or remote. Each data zone is assigned to an urban rural category based upon the location of its population weighted centroid. </t>
  </si>
  <si>
    <r>
      <t>by Deprivation Category</t>
    </r>
    <r>
      <rPr>
        <b/>
        <vertAlign val="superscript"/>
        <sz val="12"/>
        <color rgb="FF43358B"/>
        <rFont val="Arial"/>
        <family val="2"/>
      </rPr>
      <t>2,3</t>
    </r>
  </si>
  <si>
    <r>
      <t>by Deprivation Category</t>
    </r>
    <r>
      <rPr>
        <b/>
        <vertAlign val="superscript"/>
        <sz val="12"/>
        <color rgb="FF43358B"/>
        <rFont val="Arial"/>
        <family val="2"/>
      </rPr>
      <t>2</t>
    </r>
  </si>
  <si>
    <r>
      <t>by Urban/Rural Classification</t>
    </r>
    <r>
      <rPr>
        <b/>
        <vertAlign val="superscript"/>
        <sz val="12"/>
        <color rgb="FF43358B"/>
        <rFont val="Arial"/>
        <family val="2"/>
      </rPr>
      <t>2</t>
    </r>
  </si>
  <si>
    <r>
      <t>by Urban Rural Classification</t>
    </r>
    <r>
      <rPr>
        <b/>
        <vertAlign val="superscript"/>
        <sz val="12"/>
        <color rgb="FF43358B"/>
        <rFont val="Arial"/>
        <family val="2"/>
      </rPr>
      <t>2</t>
    </r>
  </si>
  <si>
    <t>1 Rest of Scotland</t>
  </si>
  <si>
    <t xml:space="preserve">3. Deprivation categorised by 15% of the population in the most deprived areas and the remaining 85% of the Scottish population. Based on 2020 Scotland level Scottish Index of Multiple Deprivation (SIMD). </t>
  </si>
  <si>
    <t>The 2022 Urban Rural classification has been used in this analysis.</t>
  </si>
  <si>
    <t>https://www.gov.scot/publications/scottish-government-urban-rural-classification-2022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</si>
</sst>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
  </numFmts>
  <fonts count="27" x14ac:knownFonts="1">
    <font>
      <sz val="10"/>
      <name val="Arial"/>
    </font>
    <font>
      <b/>
      <sz val="10"/>
      <name val="Arial"/>
      <family val="2"/>
    </font>
    <font>
      <b/>
      <sz val="12"/>
      <name val="Arial"/>
      <family val="2"/>
    </font>
    <font>
      <b/>
      <sz val="10"/>
      <color indexed="10"/>
      <name val="Arial"/>
      <family val="2"/>
    </font>
    <font>
      <u/>
      <sz val="10"/>
      <color indexed="12"/>
      <name val="Arial"/>
      <family val="2"/>
    </font>
    <font>
      <sz val="8"/>
      <name val="Arial"/>
      <family val="2"/>
    </font>
    <font>
      <sz val="10"/>
      <name val="Arial"/>
      <family val="2"/>
    </font>
    <font>
      <b/>
      <sz val="12"/>
      <color indexed="12"/>
      <name val="Arial"/>
      <family val="2"/>
    </font>
    <font>
      <i/>
      <sz val="10"/>
      <name val="Arial"/>
      <family val="2"/>
    </font>
    <font>
      <b/>
      <sz val="11"/>
      <name val="Arial"/>
      <family val="2"/>
    </font>
    <font>
      <sz val="12"/>
      <name val="Arial"/>
      <family val="2"/>
    </font>
    <font>
      <b/>
      <i/>
      <sz val="10"/>
      <name val="Arial"/>
      <family val="2"/>
    </font>
    <font>
      <b/>
      <vertAlign val="superscript"/>
      <sz val="10"/>
      <name val="Arial"/>
      <family val="2"/>
    </font>
    <font>
      <u/>
      <sz val="8"/>
      <color indexed="12"/>
      <name val="Arial"/>
      <family val="2"/>
    </font>
    <font>
      <sz val="11"/>
      <color theme="1"/>
      <name val="Calibri"/>
      <family val="2"/>
      <scheme val="minor"/>
    </font>
    <font>
      <sz val="8"/>
      <color theme="1"/>
      <name val="Arial"/>
      <family val="2"/>
    </font>
    <font>
      <b/>
      <sz val="12"/>
      <color rgb="FFFF0000"/>
      <name val="Arial"/>
      <family val="2"/>
    </font>
    <font>
      <sz val="10"/>
      <name val="Arial"/>
      <family val="2"/>
    </font>
    <font>
      <sz val="10"/>
      <color theme="0"/>
      <name val="Arial"/>
      <family val="2"/>
    </font>
    <font>
      <i/>
      <sz val="9"/>
      <name val="Arial"/>
      <family val="2"/>
    </font>
    <font>
      <sz val="10"/>
      <color rgb="FF000000"/>
      <name val="Arial"/>
      <family val="2"/>
    </font>
    <font>
      <sz val="10"/>
      <color rgb="FF000000"/>
      <name val="Arial"/>
      <family val="2"/>
    </font>
    <font>
      <sz val="11"/>
      <color theme="1"/>
      <name val="Arial"/>
      <family val="2"/>
    </font>
    <font>
      <sz val="10"/>
      <color rgb="FF3C4043"/>
      <name val="Arial"/>
      <family val="2"/>
    </font>
    <font>
      <u/>
      <sz val="10"/>
      <color theme="10"/>
      <name val="Arial"/>
      <family val="2"/>
    </font>
    <font>
      <b/>
      <sz val="12"/>
      <color rgb="FF43358B"/>
      <name val="Arial"/>
      <family val="2"/>
    </font>
    <font>
      <b/>
      <vertAlign val="superscript"/>
      <sz val="12"/>
      <color rgb="FF43358B"/>
      <name val="Arial"/>
      <family val="2"/>
    </font>
  </fonts>
  <fills count="4">
    <fill>
      <patternFill patternType="none"/>
    </fill>
    <fill>
      <patternFill patternType="gray125"/>
    </fill>
    <fill>
      <patternFill patternType="solid">
        <fgColor indexed="9"/>
        <bgColor indexed="64"/>
      </patternFill>
    </fill>
    <fill>
      <patternFill patternType="solid">
        <fgColor theme="0"/>
        <bgColor indexed="64"/>
      </patternFill>
    </fill>
  </fills>
  <borders count="5">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9"/>
      </left>
      <right style="thin">
        <color indexed="9"/>
      </right>
      <top style="thin">
        <color indexed="9"/>
      </top>
      <bottom style="thin">
        <color indexed="9"/>
      </bottom>
      <diagonal/>
    </border>
  </borders>
  <cellStyleXfs count="15">
    <xf numFmtId="0" fontId="0" fillId="0" borderId="0"/>
    <xf numFmtId="0" fontId="4" fillId="0" borderId="0" applyNumberFormat="0" applyFill="0" applyBorder="0" applyAlignment="0" applyProtection="0">
      <alignment vertical="top"/>
      <protection locked="0"/>
    </xf>
    <xf numFmtId="0" fontId="4" fillId="0" borderId="0" applyNumberFormat="0" applyFill="0" applyBorder="0" applyAlignment="0" applyProtection="0">
      <alignment vertical="top"/>
      <protection locked="0"/>
    </xf>
    <xf numFmtId="0" fontId="6" fillId="0" borderId="0"/>
    <xf numFmtId="0" fontId="6" fillId="0" borderId="0"/>
    <xf numFmtId="0" fontId="6" fillId="0" borderId="0"/>
    <xf numFmtId="0" fontId="6" fillId="0" borderId="0"/>
    <xf numFmtId="0" fontId="14" fillId="0" borderId="0"/>
    <xf numFmtId="0" fontId="14" fillId="0" borderId="0"/>
    <xf numFmtId="0" fontId="6" fillId="0" borderId="0"/>
    <xf numFmtId="0" fontId="6" fillId="0" borderId="0"/>
    <xf numFmtId="0" fontId="6" fillId="0" borderId="0"/>
    <xf numFmtId="0" fontId="14" fillId="0" borderId="0"/>
    <xf numFmtId="0" fontId="17" fillId="0" borderId="0"/>
    <xf numFmtId="0" fontId="24" fillId="0" borderId="0" applyNumberFormat="0" applyFill="0" applyBorder="0" applyAlignment="0" applyProtection="0"/>
  </cellStyleXfs>
  <cellXfs count="104">
    <xf numFmtId="0" fontId="0" fillId="0" borderId="0" xfId="0"/>
    <xf numFmtId="0" fontId="6" fillId="0" borderId="0" xfId="0" applyFont="1"/>
    <xf numFmtId="0" fontId="7" fillId="0" borderId="0" xfId="0" applyFont="1"/>
    <xf numFmtId="0" fontId="1" fillId="0" borderId="0" xfId="7" applyFont="1" applyAlignment="1">
      <alignment horizontal="right"/>
    </xf>
    <xf numFmtId="0" fontId="1" fillId="0" borderId="1" xfId="0" applyFont="1" applyBorder="1" applyAlignment="1">
      <alignment horizontal="right"/>
    </xf>
    <xf numFmtId="0" fontId="5" fillId="0" borderId="0" xfId="0" applyFont="1"/>
    <xf numFmtId="164" fontId="6" fillId="0" borderId="0" xfId="0" applyNumberFormat="1" applyFont="1"/>
    <xf numFmtId="2" fontId="0" fillId="0" borderId="0" xfId="0" applyNumberFormat="1"/>
    <xf numFmtId="164" fontId="6" fillId="0" borderId="3" xfId="0" applyNumberFormat="1" applyFont="1" applyBorder="1"/>
    <xf numFmtId="0" fontId="6" fillId="0" borderId="3" xfId="0" applyFont="1" applyBorder="1"/>
    <xf numFmtId="0" fontId="1" fillId="0" borderId="1" xfId="0" applyFont="1" applyBorder="1"/>
    <xf numFmtId="0" fontId="6" fillId="0" borderId="0" xfId="13" applyFont="1"/>
    <xf numFmtId="0" fontId="18" fillId="0" borderId="0" xfId="0" applyFont="1"/>
    <xf numFmtId="49" fontId="0" fillId="0" borderId="0" xfId="0" applyNumberFormat="1" applyAlignment="1">
      <alignment vertical="top"/>
    </xf>
    <xf numFmtId="49" fontId="6" fillId="0" borderId="0" xfId="0" applyNumberFormat="1" applyFont="1" applyAlignment="1">
      <alignment vertical="top"/>
    </xf>
    <xf numFmtId="49" fontId="11" fillId="0" borderId="0" xfId="0" applyNumberFormat="1" applyFont="1" applyAlignment="1">
      <alignment vertical="top"/>
    </xf>
    <xf numFmtId="0" fontId="11" fillId="0" borderId="0" xfId="0" applyFont="1" applyAlignment="1">
      <alignment vertical="top"/>
    </xf>
    <xf numFmtId="0" fontId="11" fillId="0" borderId="0" xfId="0" applyFont="1" applyAlignment="1">
      <alignment vertical="top" wrapText="1"/>
    </xf>
    <xf numFmtId="49" fontId="0" fillId="0" borderId="0" xfId="0" applyNumberFormat="1" applyAlignment="1">
      <alignment vertical="top" wrapText="1"/>
    </xf>
    <xf numFmtId="0" fontId="8" fillId="0" borderId="0" xfId="0" applyFont="1" applyAlignment="1" applyProtection="1">
      <alignment horizontal="left"/>
      <protection locked="0"/>
    </xf>
    <xf numFmtId="0" fontId="1" fillId="0" borderId="2" xfId="0" applyFont="1" applyBorder="1" applyAlignment="1">
      <alignment horizontal="left"/>
    </xf>
    <xf numFmtId="164" fontId="1" fillId="0" borderId="0" xfId="0" applyNumberFormat="1" applyFont="1" applyAlignment="1">
      <alignment horizontal="center"/>
    </xf>
    <xf numFmtId="0" fontId="1" fillId="0" borderId="3" xfId="0" applyFont="1" applyBorder="1"/>
    <xf numFmtId="164" fontId="1" fillId="0" borderId="1" xfId="0" applyNumberFormat="1" applyFont="1" applyBorder="1"/>
    <xf numFmtId="0" fontId="1" fillId="0" borderId="1" xfId="0" applyFont="1" applyBorder="1" applyAlignment="1">
      <alignment horizontal="left"/>
    </xf>
    <xf numFmtId="166" fontId="1" fillId="0" borderId="0" xfId="7" applyNumberFormat="1" applyFont="1" applyAlignment="1" applyProtection="1">
      <alignment horizontal="right"/>
      <protection locked="0"/>
    </xf>
    <xf numFmtId="0" fontId="8" fillId="0" borderId="0" xfId="0" applyFont="1" applyAlignment="1">
      <alignment horizontal="left"/>
    </xf>
    <xf numFmtId="164" fontId="18" fillId="0" borderId="0" xfId="0" applyNumberFormat="1" applyFont="1"/>
    <xf numFmtId="0" fontId="6" fillId="0" borderId="0" xfId="0" applyFont="1" applyAlignment="1">
      <alignment horizontal="left"/>
    </xf>
    <xf numFmtId="0" fontId="6" fillId="0" borderId="3" xfId="0" applyFont="1" applyBorder="1" applyAlignment="1">
      <alignment horizontal="left"/>
    </xf>
    <xf numFmtId="0" fontId="5" fillId="2" borderId="0" xfId="0" applyFont="1" applyFill="1"/>
    <xf numFmtId="0" fontId="6" fillId="2" borderId="0" xfId="0" applyFont="1" applyFill="1"/>
    <xf numFmtId="0" fontId="6" fillId="0" borderId="0" xfId="0" quotePrefix="1" applyFont="1"/>
    <xf numFmtId="0" fontId="0" fillId="0" borderId="0" xfId="0" applyAlignment="1">
      <alignment vertical="top"/>
    </xf>
    <xf numFmtId="0" fontId="2" fillId="0" borderId="0" xfId="0" applyFont="1" applyAlignment="1">
      <alignment vertical="top"/>
    </xf>
    <xf numFmtId="0" fontId="3" fillId="0" borderId="0" xfId="0" applyFont="1" applyAlignment="1">
      <alignment vertical="top"/>
    </xf>
    <xf numFmtId="0" fontId="6" fillId="0" borderId="0" xfId="0" applyFont="1" applyAlignment="1">
      <alignment vertical="top"/>
    </xf>
    <xf numFmtId="0" fontId="4" fillId="0" borderId="0" xfId="1" applyFill="1" applyAlignment="1" applyProtection="1">
      <alignment vertical="top"/>
    </xf>
    <xf numFmtId="0" fontId="4" fillId="0" borderId="0" xfId="1" applyFill="1" applyBorder="1" applyAlignment="1" applyProtection="1">
      <alignment vertical="top"/>
    </xf>
    <xf numFmtId="0" fontId="10" fillId="0" borderId="0" xfId="0" applyFont="1" applyAlignment="1">
      <alignment vertical="top"/>
    </xf>
    <xf numFmtId="0" fontId="1" fillId="0" borderId="0" xfId="0" applyFont="1" applyAlignment="1">
      <alignment vertical="top"/>
    </xf>
    <xf numFmtId="0" fontId="0" fillId="0" borderId="0" xfId="0" applyAlignment="1">
      <alignment horizontal="left" vertical="top" wrapText="1"/>
    </xf>
    <xf numFmtId="0" fontId="0" fillId="0" borderId="0" xfId="0" applyAlignment="1">
      <alignment horizontal="left" vertical="top"/>
    </xf>
    <xf numFmtId="0" fontId="5" fillId="0" borderId="0" xfId="0" applyFont="1" applyAlignment="1">
      <alignment horizontal="left" indent="1"/>
    </xf>
    <xf numFmtId="0" fontId="13" fillId="0" borderId="0" xfId="1" applyFont="1" applyFill="1" applyAlignment="1" applyProtection="1">
      <alignment horizontal="left" indent="1"/>
    </xf>
    <xf numFmtId="0" fontId="6" fillId="0" borderId="0" xfId="0" applyFont="1" applyAlignment="1">
      <alignment horizontal="left" indent="1"/>
    </xf>
    <xf numFmtId="0" fontId="20" fillId="0" borderId="0" xfId="0" applyFont="1"/>
    <xf numFmtId="164" fontId="21" fillId="0" borderId="0" xfId="0" applyNumberFormat="1" applyFont="1"/>
    <xf numFmtId="0" fontId="21" fillId="0" borderId="0" xfId="0" applyFont="1"/>
    <xf numFmtId="0" fontId="20" fillId="0" borderId="0" xfId="0" applyFont="1" applyAlignment="1">
      <alignment horizontal="left"/>
    </xf>
    <xf numFmtId="164" fontId="20" fillId="0" borderId="0" xfId="0" applyNumberFormat="1" applyFont="1"/>
    <xf numFmtId="0" fontId="21" fillId="0" borderId="0" xfId="0" applyFont="1" applyAlignment="1">
      <alignment horizontal="left"/>
    </xf>
    <xf numFmtId="0" fontId="8" fillId="0" borderId="0" xfId="0" applyFont="1" applyAlignment="1">
      <alignment horizontal="right"/>
    </xf>
    <xf numFmtId="0" fontId="19" fillId="0" borderId="0" xfId="0" applyFont="1" applyAlignment="1">
      <alignment horizontal="left"/>
    </xf>
    <xf numFmtId="0" fontId="13" fillId="0" borderId="0" xfId="1" applyFont="1" applyAlignment="1" applyProtection="1">
      <alignment horizontal="left"/>
    </xf>
    <xf numFmtId="0" fontId="5" fillId="0" borderId="0" xfId="0" applyFont="1" applyAlignment="1">
      <alignment wrapText="1"/>
    </xf>
    <xf numFmtId="0" fontId="9" fillId="2" borderId="1" xfId="3" applyFont="1" applyFill="1" applyBorder="1"/>
    <xf numFmtId="0" fontId="1" fillId="2" borderId="0" xfId="3" applyFont="1" applyFill="1"/>
    <xf numFmtId="0" fontId="6" fillId="2" borderId="0" xfId="3" applyFill="1"/>
    <xf numFmtId="0" fontId="1" fillId="2" borderId="0" xfId="3" applyFont="1" applyFill="1" applyAlignment="1">
      <alignment vertical="center"/>
    </xf>
    <xf numFmtId="0" fontId="6" fillId="2" borderId="0" xfId="3" applyFill="1" applyAlignment="1">
      <alignment vertical="top"/>
    </xf>
    <xf numFmtId="0" fontId="6" fillId="2" borderId="0" xfId="3" applyFill="1" applyAlignment="1">
      <alignment vertical="top" wrapText="1"/>
    </xf>
    <xf numFmtId="0" fontId="11" fillId="2" borderId="0" xfId="3" applyFont="1" applyFill="1" applyAlignment="1">
      <alignment vertical="top"/>
    </xf>
    <xf numFmtId="0" fontId="5" fillId="2" borderId="0" xfId="3" applyFont="1" applyFill="1"/>
    <xf numFmtId="0" fontId="6" fillId="0" borderId="0" xfId="0" applyFont="1" applyAlignment="1" applyProtection="1">
      <alignment horizontal="left"/>
      <protection locked="0"/>
    </xf>
    <xf numFmtId="164" fontId="6" fillId="0" borderId="2" xfId="0" applyNumberFormat="1" applyFont="1" applyBorder="1"/>
    <xf numFmtId="0" fontId="4" fillId="0" borderId="0" xfId="1" applyFill="1" applyAlignment="1" applyProtection="1"/>
    <xf numFmtId="164" fontId="6" fillId="0" borderId="0" xfId="0" applyNumberFormat="1" applyFont="1" applyAlignment="1" applyProtection="1">
      <alignment horizontal="right"/>
      <protection locked="0"/>
    </xf>
    <xf numFmtId="166" fontId="22" fillId="0" borderId="0" xfId="7" applyNumberFormat="1" applyFont="1" applyAlignment="1" applyProtection="1">
      <alignment horizontal="right"/>
      <protection locked="0"/>
    </xf>
    <xf numFmtId="165" fontId="6" fillId="0" borderId="0" xfId="0" applyNumberFormat="1" applyFont="1" applyAlignment="1" applyProtection="1">
      <alignment horizontal="right"/>
      <protection locked="0"/>
    </xf>
    <xf numFmtId="164" fontId="22" fillId="0" borderId="0" xfId="7" applyNumberFormat="1" applyFont="1"/>
    <xf numFmtId="0" fontId="22" fillId="0" borderId="0" xfId="7" applyFont="1"/>
    <xf numFmtId="1" fontId="6" fillId="0" borderId="0" xfId="0" applyNumberFormat="1" applyFont="1" applyAlignment="1" applyProtection="1">
      <alignment horizontal="left" indent="1"/>
      <protection locked="0"/>
    </xf>
    <xf numFmtId="165" fontId="6" fillId="0" borderId="0" xfId="0" applyNumberFormat="1" applyFont="1" applyAlignment="1" applyProtection="1">
      <alignment horizontal="left" indent="1"/>
      <protection locked="0"/>
    </xf>
    <xf numFmtId="1" fontId="6" fillId="0" borderId="0" xfId="0" applyNumberFormat="1" applyFont="1" applyAlignment="1" applyProtection="1">
      <alignment horizontal="right"/>
      <protection locked="0"/>
    </xf>
    <xf numFmtId="164" fontId="6" fillId="0" borderId="4" xfId="0" applyNumberFormat="1" applyFont="1" applyBorder="1"/>
    <xf numFmtId="0" fontId="6" fillId="0" borderId="4" xfId="0" applyFont="1" applyBorder="1"/>
    <xf numFmtId="0" fontId="6" fillId="3" borderId="0" xfId="3" applyFill="1"/>
    <xf numFmtId="0" fontId="4" fillId="0" borderId="0" xfId="1" applyAlignment="1" applyProtection="1"/>
    <xf numFmtId="0" fontId="4" fillId="2" borderId="0" xfId="1" applyFill="1" applyAlignment="1" applyProtection="1"/>
    <xf numFmtId="0" fontId="6" fillId="0" borderId="0" xfId="3"/>
    <xf numFmtId="0" fontId="17" fillId="0" borderId="0" xfId="13"/>
    <xf numFmtId="0" fontId="6" fillId="0" borderId="0" xfId="1" applyFont="1" applyFill="1" applyBorder="1" applyAlignment="1" applyProtection="1">
      <alignment vertical="top"/>
    </xf>
    <xf numFmtId="0" fontId="23" fillId="0" borderId="0" xfId="0" applyFont="1"/>
    <xf numFmtId="0" fontId="6" fillId="0" borderId="0" xfId="0" applyFont="1" applyAlignment="1">
      <alignment horizontal="left" vertical="top" wrapText="1"/>
    </xf>
    <xf numFmtId="0" fontId="25" fillId="0" borderId="0" xfId="0" applyFont="1"/>
    <xf numFmtId="0" fontId="25" fillId="2" borderId="0" xfId="0" applyFont="1" applyFill="1"/>
    <xf numFmtId="0" fontId="25" fillId="2" borderId="0" xfId="3" applyFont="1" applyFill="1"/>
    <xf numFmtId="49" fontId="6" fillId="0" borderId="0" xfId="0" applyNumberFormat="1" applyFont="1" applyAlignment="1">
      <alignment vertical="top" wrapText="1"/>
    </xf>
    <xf numFmtId="0" fontId="13" fillId="0" borderId="0" xfId="1" applyFont="1" applyAlignment="1" applyProtection="1"/>
    <xf numFmtId="164" fontId="6" fillId="0" borderId="0" xfId="0" quotePrefix="1" applyNumberFormat="1" applyFont="1"/>
    <xf numFmtId="0" fontId="15" fillId="0" borderId="0" xfId="0" applyFont="1"/>
    <xf numFmtId="0" fontId="15" fillId="2" borderId="0" xfId="0" applyFont="1" applyFill="1"/>
    <xf numFmtId="0" fontId="16" fillId="0" borderId="0" xfId="0" applyFont="1" applyAlignment="1">
      <alignment horizontal="left" vertical="top" wrapText="1"/>
    </xf>
    <xf numFmtId="0" fontId="6" fillId="0" borderId="0" xfId="0" applyFont="1" applyAlignment="1">
      <alignment horizontal="left" vertical="top" wrapText="1"/>
    </xf>
    <xf numFmtId="0" fontId="0" fillId="0" borderId="0" xfId="0" applyAlignment="1">
      <alignment horizontal="left" vertical="top" wrapText="1"/>
    </xf>
    <xf numFmtId="0" fontId="4" fillId="2" borderId="0" xfId="1" applyFill="1" applyAlignment="1" applyProtection="1">
      <alignment horizontal="left"/>
    </xf>
    <xf numFmtId="0" fontId="21" fillId="0" borderId="0" xfId="0" applyFont="1" applyAlignment="1">
      <alignment horizontal="left" vertical="top" wrapText="1"/>
    </xf>
    <xf numFmtId="0" fontId="16" fillId="0" borderId="0" xfId="0" applyFont="1" applyAlignment="1">
      <alignment horizontal="left" wrapText="1"/>
    </xf>
    <xf numFmtId="0" fontId="5" fillId="0" borderId="0" xfId="0" applyFont="1" applyAlignment="1">
      <alignment wrapText="1"/>
    </xf>
    <xf numFmtId="0" fontId="5" fillId="2" borderId="0" xfId="0" applyFont="1" applyFill="1" applyAlignment="1">
      <alignment wrapText="1"/>
    </xf>
    <xf numFmtId="0" fontId="1" fillId="2" borderId="0" xfId="3" applyFont="1" applyFill="1" applyAlignment="1">
      <alignment vertical="center"/>
    </xf>
    <xf numFmtId="0" fontId="1" fillId="2" borderId="0" xfId="3" applyFont="1" applyFill="1" applyAlignment="1">
      <alignment vertical="top"/>
    </xf>
    <xf numFmtId="0" fontId="0" fillId="0" borderId="0" xfId="0" applyAlignment="1">
      <alignment vertical="top" wrapText="1"/>
    </xf>
  </cellXfs>
  <cellStyles count="15">
    <cellStyle name="Hyperlink" xfId="1" builtinId="8"/>
    <cellStyle name="Hyperlink 2" xfId="2" xr:uid="{00000000-0005-0000-0000-000001000000}"/>
    <cellStyle name="Hyperlink 3" xfId="14" xr:uid="{00000000-0005-0000-0000-000002000000}"/>
    <cellStyle name="Normal" xfId="0" builtinId="0"/>
    <cellStyle name="Normal 2" xfId="3" xr:uid="{00000000-0005-0000-0000-000004000000}"/>
    <cellStyle name="Normal 2 2" xfId="4" xr:uid="{00000000-0005-0000-0000-000005000000}"/>
    <cellStyle name="Normal 2 2 2" xfId="5" xr:uid="{00000000-0005-0000-0000-000006000000}"/>
    <cellStyle name="Normal 2 3" xfId="6" xr:uid="{00000000-0005-0000-0000-000007000000}"/>
    <cellStyle name="Normal 3" xfId="7" xr:uid="{00000000-0005-0000-0000-000008000000}"/>
    <cellStyle name="Normal 3 2" xfId="8" xr:uid="{00000000-0005-0000-0000-000009000000}"/>
    <cellStyle name="Normal 3 3" xfId="9" xr:uid="{00000000-0005-0000-0000-00000A000000}"/>
    <cellStyle name="Normal 4" xfId="10" xr:uid="{00000000-0005-0000-0000-00000B000000}"/>
    <cellStyle name="Normal 4 2" xfId="11" xr:uid="{00000000-0005-0000-0000-00000C000000}"/>
    <cellStyle name="Normal 4 3" xfId="12" xr:uid="{00000000-0005-0000-0000-00000D000000}"/>
    <cellStyle name="Normal 5" xfId="13" xr:uid="{00000000-0005-0000-0000-00000E000000}"/>
  </cellStyles>
  <dxfs count="0"/>
  <tableStyles count="0" defaultTableStyle="TableStyleMedium9" defaultPivotStyle="PivotStyleLight16"/>
  <colors>
    <mruColors>
      <color rgb="FF3F3685"/>
      <color rgb="FF4335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840535177005309E-2"/>
          <c:y val="7.1100437958452389E-2"/>
          <c:w val="0.87540798779462858"/>
          <c:h val="0.80601930327589733"/>
        </c:manualLayout>
      </c:layout>
      <c:lineChart>
        <c:grouping val="standard"/>
        <c:varyColors val="0"/>
        <c:ser>
          <c:idx val="0"/>
          <c:order val="0"/>
          <c:tx>
            <c:strRef>
              <c:f>'Figure A1-1 - HB'!$M$8</c:f>
              <c:strCache>
                <c:ptCount val="1"/>
                <c:pt idx="0">
                  <c:v>Scotland</c:v>
                </c:pt>
              </c:strCache>
            </c:strRef>
          </c:tx>
          <c:spPr>
            <a:ln>
              <a:solidFill>
                <a:srgbClr val="3F3685"/>
              </a:solidFill>
            </a:ln>
          </c:spPr>
          <c:marker>
            <c:symbol val="none"/>
          </c:marker>
          <c:cat>
            <c:numRef>
              <c:f>[0]!figurea11year</c:f>
              <c:numCache>
                <c:formatCode>General</c:formatCode>
                <c:ptCount val="10"/>
                <c:pt idx="0">
                  <c:v>0</c:v>
                </c:pt>
                <c:pt idx="1">
                  <c:v>0</c:v>
                </c:pt>
                <c:pt idx="2">
                  <c:v>0</c:v>
                </c:pt>
                <c:pt idx="3">
                  <c:v>0</c:v>
                </c:pt>
                <c:pt idx="4">
                  <c:v>0</c:v>
                </c:pt>
                <c:pt idx="5">
                  <c:v>0</c:v>
                </c:pt>
                <c:pt idx="6">
                  <c:v>0</c:v>
                </c:pt>
                <c:pt idx="7">
                  <c:v>0</c:v>
                </c:pt>
                <c:pt idx="8">
                  <c:v>0</c:v>
                </c:pt>
                <c:pt idx="9">
                  <c:v>0</c:v>
                </c:pt>
              </c:numCache>
            </c:numRef>
          </c:cat>
          <c:val>
            <c:numRef>
              <c:f>[0]!figurea11percent</c:f>
              <c:numCache>
                <c:formatCode>0.0</c:formatCode>
                <c:ptCount val="10"/>
                <c:pt idx="0">
                  <c:v>0</c:v>
                </c:pt>
                <c:pt idx="1">
                  <c:v>0</c:v>
                </c:pt>
                <c:pt idx="2">
                  <c:v>0</c:v>
                </c:pt>
                <c:pt idx="3">
                  <c:v>0</c:v>
                </c:pt>
                <c:pt idx="4">
                  <c:v>0</c:v>
                </c:pt>
                <c:pt idx="5">
                  <c:v>0</c:v>
                </c:pt>
                <c:pt idx="6">
                  <c:v>0</c:v>
                </c:pt>
                <c:pt idx="7">
                  <c:v>0</c:v>
                </c:pt>
                <c:pt idx="8">
                  <c:v>0</c:v>
                </c:pt>
                <c:pt idx="9">
                  <c:v>0</c:v>
                </c:pt>
              </c:numCache>
            </c:numRef>
          </c:val>
          <c:smooth val="0"/>
          <c:extLst>
            <c:ext xmlns:c16="http://schemas.microsoft.com/office/drawing/2014/chart" uri="{C3380CC4-5D6E-409C-BE32-E72D297353CC}">
              <c16:uniqueId val="{00000000-E197-4725-BC3F-B00ECA24AE9D}"/>
            </c:ext>
          </c:extLst>
        </c:ser>
        <c:dLbls>
          <c:showLegendKey val="0"/>
          <c:showVal val="0"/>
          <c:showCatName val="0"/>
          <c:showSerName val="0"/>
          <c:showPercent val="0"/>
          <c:showBubbleSize val="0"/>
        </c:dLbls>
        <c:smooth val="0"/>
        <c:axId val="55166464"/>
        <c:axId val="55496704"/>
      </c:lineChart>
      <c:catAx>
        <c:axId val="55166464"/>
        <c:scaling>
          <c:orientation val="minMax"/>
        </c:scaling>
        <c:delete val="0"/>
        <c:axPos val="b"/>
        <c:title>
          <c:tx>
            <c:rich>
              <a:bodyPr/>
              <a:lstStyle/>
              <a:p>
                <a:pPr>
                  <a:defRPr/>
                </a:pPr>
                <a:r>
                  <a:rPr lang="en-US"/>
                  <a:t>Financial Year</a:t>
                </a:r>
              </a:p>
            </c:rich>
          </c:tx>
          <c:overlay val="0"/>
        </c:title>
        <c:numFmt formatCode="General" sourceLinked="1"/>
        <c:majorTickMark val="out"/>
        <c:minorTickMark val="none"/>
        <c:tickLblPos val="nextTo"/>
        <c:spPr>
          <a:ln>
            <a:solidFill>
              <a:schemeClr val="bg1">
                <a:lumMod val="50000"/>
              </a:schemeClr>
            </a:solidFill>
          </a:ln>
        </c:spPr>
        <c:txPr>
          <a:bodyPr rot="0" vert="horz"/>
          <a:lstStyle/>
          <a:p>
            <a:pPr>
              <a:defRPr/>
            </a:pPr>
            <a:endParaRPr lang="en-US"/>
          </a:p>
        </c:txPr>
        <c:crossAx val="55496704"/>
        <c:crosses val="autoZero"/>
        <c:auto val="1"/>
        <c:lblAlgn val="ctr"/>
        <c:lblOffset val="100"/>
        <c:noMultiLvlLbl val="0"/>
      </c:catAx>
      <c:valAx>
        <c:axId val="55496704"/>
        <c:scaling>
          <c:orientation val="minMax"/>
          <c:max val="100"/>
          <c:min val="50"/>
        </c:scaling>
        <c:delete val="0"/>
        <c:axPos val="l"/>
        <c:majorGridlines>
          <c:spPr>
            <a:ln>
              <a:solidFill>
                <a:sysClr val="window" lastClr="FFFFFF">
                  <a:lumMod val="85000"/>
                </a:sysClr>
              </a:solidFill>
            </a:ln>
          </c:spPr>
        </c:majorGridlines>
        <c:minorGridlines/>
        <c:title>
          <c:tx>
            <c:rich>
              <a:bodyPr rot="-5400000" vert="horz"/>
              <a:lstStyle/>
              <a:p>
                <a:pPr>
                  <a:defRPr/>
                </a:pPr>
                <a:r>
                  <a:rPr lang="en-US"/>
                  <a:t>Percentage</a:t>
                </a:r>
              </a:p>
            </c:rich>
          </c:tx>
          <c:layout>
            <c:manualLayout>
              <c:xMode val="edge"/>
              <c:yMode val="edge"/>
              <c:x val="0"/>
              <c:y val="0.37088333333333345"/>
            </c:manualLayout>
          </c:layout>
          <c:overlay val="0"/>
        </c:title>
        <c:numFmt formatCode="0" sourceLinked="0"/>
        <c:majorTickMark val="out"/>
        <c:minorTickMark val="none"/>
        <c:tickLblPos val="nextTo"/>
        <c:spPr>
          <a:ln>
            <a:solidFill>
              <a:schemeClr val="bg1">
                <a:lumMod val="50000"/>
              </a:schemeClr>
            </a:solidFill>
          </a:ln>
        </c:spPr>
        <c:txPr>
          <a:bodyPr/>
          <a:lstStyle/>
          <a:p>
            <a:pPr>
              <a:defRPr sz="900"/>
            </a:pPr>
            <a:endParaRPr lang="en-US"/>
          </a:p>
        </c:txPr>
        <c:crossAx val="55166464"/>
        <c:crosses val="autoZero"/>
        <c:crossBetween val="midCat"/>
        <c:majorUnit val="10"/>
        <c:minorUnit val="10"/>
      </c:valAx>
    </c:plotArea>
    <c:plotVisOnly val="1"/>
    <c:dispBlanksAs val="gap"/>
    <c:showDLblsOverMax val="0"/>
  </c:chart>
  <c:spPr>
    <a:ln>
      <a:noFill/>
    </a:ln>
  </c:spPr>
  <c:printSettings>
    <c:headerFooter/>
    <c:pageMargins b="0.75000000000000799" l="0.70000000000000062" r="0.70000000000000062" t="0.75000000000000799"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840535177005309E-2"/>
          <c:y val="7.1100437958452417E-2"/>
          <c:w val="0.87540798779462858"/>
          <c:h val="0.80601930327589755"/>
        </c:manualLayout>
      </c:layout>
      <c:lineChart>
        <c:grouping val="standard"/>
        <c:varyColors val="0"/>
        <c:ser>
          <c:idx val="0"/>
          <c:order val="0"/>
          <c:tx>
            <c:strRef>
              <c:f>'Figure A1-2 - HSCP'!$M$8</c:f>
              <c:strCache>
                <c:ptCount val="1"/>
                <c:pt idx="0">
                  <c:v>Scotland</c:v>
                </c:pt>
              </c:strCache>
            </c:strRef>
          </c:tx>
          <c:spPr>
            <a:ln>
              <a:solidFill>
                <a:srgbClr val="3F3685"/>
              </a:solidFill>
            </a:ln>
          </c:spPr>
          <c:marker>
            <c:symbol val="none"/>
          </c:marker>
          <c:cat>
            <c:numRef>
              <c:f>[0]!figurea12year</c:f>
              <c:numCache>
                <c:formatCode>General</c:formatCode>
                <c:ptCount val="10"/>
                <c:pt idx="0">
                  <c:v>0</c:v>
                </c:pt>
                <c:pt idx="1">
                  <c:v>0</c:v>
                </c:pt>
                <c:pt idx="2">
                  <c:v>0</c:v>
                </c:pt>
                <c:pt idx="3">
                  <c:v>0</c:v>
                </c:pt>
                <c:pt idx="4">
                  <c:v>0</c:v>
                </c:pt>
                <c:pt idx="5">
                  <c:v>0</c:v>
                </c:pt>
                <c:pt idx="6">
                  <c:v>0</c:v>
                </c:pt>
                <c:pt idx="7">
                  <c:v>0</c:v>
                </c:pt>
                <c:pt idx="8">
                  <c:v>0</c:v>
                </c:pt>
                <c:pt idx="9">
                  <c:v>0</c:v>
                </c:pt>
              </c:numCache>
            </c:numRef>
          </c:cat>
          <c:val>
            <c:numRef>
              <c:f>[0]!figurea12percent</c:f>
              <c:numCache>
                <c:formatCode>0.0</c:formatCode>
                <c:ptCount val="10"/>
                <c:pt idx="0">
                  <c:v>0</c:v>
                </c:pt>
                <c:pt idx="1">
                  <c:v>0</c:v>
                </c:pt>
                <c:pt idx="2">
                  <c:v>0</c:v>
                </c:pt>
                <c:pt idx="3">
                  <c:v>0</c:v>
                </c:pt>
                <c:pt idx="4">
                  <c:v>0</c:v>
                </c:pt>
                <c:pt idx="5">
                  <c:v>0</c:v>
                </c:pt>
                <c:pt idx="6">
                  <c:v>0</c:v>
                </c:pt>
                <c:pt idx="7">
                  <c:v>0</c:v>
                </c:pt>
                <c:pt idx="8">
                  <c:v>0</c:v>
                </c:pt>
                <c:pt idx="9">
                  <c:v>0</c:v>
                </c:pt>
              </c:numCache>
            </c:numRef>
          </c:val>
          <c:smooth val="0"/>
          <c:extLst>
            <c:ext xmlns:c16="http://schemas.microsoft.com/office/drawing/2014/chart" uri="{C3380CC4-5D6E-409C-BE32-E72D297353CC}">
              <c16:uniqueId val="{00000000-B099-4236-8B93-8245B2FC66DD}"/>
            </c:ext>
          </c:extLst>
        </c:ser>
        <c:dLbls>
          <c:showLegendKey val="0"/>
          <c:showVal val="0"/>
          <c:showCatName val="0"/>
          <c:showSerName val="0"/>
          <c:showPercent val="0"/>
          <c:showBubbleSize val="0"/>
        </c:dLbls>
        <c:smooth val="0"/>
        <c:axId val="70439296"/>
        <c:axId val="70541312"/>
      </c:lineChart>
      <c:catAx>
        <c:axId val="70439296"/>
        <c:scaling>
          <c:orientation val="minMax"/>
        </c:scaling>
        <c:delete val="0"/>
        <c:axPos val="b"/>
        <c:title>
          <c:tx>
            <c:rich>
              <a:bodyPr/>
              <a:lstStyle/>
              <a:p>
                <a:pPr>
                  <a:defRPr/>
                </a:pPr>
                <a:r>
                  <a:rPr lang="en-US"/>
                  <a:t>Financial Year</a:t>
                </a:r>
              </a:p>
            </c:rich>
          </c:tx>
          <c:overlay val="0"/>
        </c:title>
        <c:numFmt formatCode="General" sourceLinked="1"/>
        <c:majorTickMark val="out"/>
        <c:minorTickMark val="none"/>
        <c:tickLblPos val="nextTo"/>
        <c:spPr>
          <a:ln>
            <a:solidFill>
              <a:schemeClr val="bg1">
                <a:lumMod val="50000"/>
              </a:schemeClr>
            </a:solidFill>
          </a:ln>
        </c:spPr>
        <c:txPr>
          <a:bodyPr rot="0" vert="horz"/>
          <a:lstStyle/>
          <a:p>
            <a:pPr>
              <a:defRPr/>
            </a:pPr>
            <a:endParaRPr lang="en-US"/>
          </a:p>
        </c:txPr>
        <c:crossAx val="70541312"/>
        <c:crosses val="autoZero"/>
        <c:auto val="1"/>
        <c:lblAlgn val="ctr"/>
        <c:lblOffset val="100"/>
        <c:noMultiLvlLbl val="0"/>
      </c:catAx>
      <c:valAx>
        <c:axId val="70541312"/>
        <c:scaling>
          <c:orientation val="minMax"/>
          <c:max val="100"/>
          <c:min val="50"/>
        </c:scaling>
        <c:delete val="0"/>
        <c:axPos val="l"/>
        <c:majorGridlines>
          <c:spPr>
            <a:ln>
              <a:solidFill>
                <a:sysClr val="window" lastClr="FFFFFF">
                  <a:lumMod val="85000"/>
                </a:sysClr>
              </a:solidFill>
            </a:ln>
          </c:spPr>
        </c:majorGridlines>
        <c:minorGridlines/>
        <c:title>
          <c:tx>
            <c:rich>
              <a:bodyPr rot="-5400000" vert="horz"/>
              <a:lstStyle/>
              <a:p>
                <a:pPr>
                  <a:defRPr/>
                </a:pPr>
                <a:r>
                  <a:rPr lang="en-US"/>
                  <a:t>Percentage</a:t>
                </a:r>
              </a:p>
            </c:rich>
          </c:tx>
          <c:layout>
            <c:manualLayout>
              <c:xMode val="edge"/>
              <c:yMode val="edge"/>
              <c:x val="0"/>
              <c:y val="0.37088333333333356"/>
            </c:manualLayout>
          </c:layout>
          <c:overlay val="0"/>
        </c:title>
        <c:numFmt formatCode="0" sourceLinked="0"/>
        <c:majorTickMark val="out"/>
        <c:minorTickMark val="none"/>
        <c:tickLblPos val="nextTo"/>
        <c:spPr>
          <a:ln>
            <a:solidFill>
              <a:schemeClr val="bg1">
                <a:lumMod val="50000"/>
              </a:schemeClr>
            </a:solidFill>
          </a:ln>
        </c:spPr>
        <c:txPr>
          <a:bodyPr/>
          <a:lstStyle/>
          <a:p>
            <a:pPr>
              <a:defRPr sz="900"/>
            </a:pPr>
            <a:endParaRPr lang="en-US"/>
          </a:p>
        </c:txPr>
        <c:crossAx val="70439296"/>
        <c:crosses val="autoZero"/>
        <c:crossBetween val="midCat"/>
        <c:majorUnit val="10"/>
        <c:minorUnit val="10"/>
      </c:valAx>
    </c:plotArea>
    <c:plotVisOnly val="1"/>
    <c:dispBlanksAs val="gap"/>
    <c:showDLblsOverMax val="0"/>
  </c:chart>
  <c:spPr>
    <a:ln>
      <a:noFill/>
    </a:ln>
  </c:spPr>
  <c:printSettings>
    <c:headerFooter/>
    <c:pageMargins b="0.75000000000000822" l="0.70000000000000062" r="0.70000000000000062" t="0.75000000000000822"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840535177005309E-2"/>
          <c:y val="7.1100437958452417E-2"/>
          <c:w val="0.87540798779462858"/>
          <c:h val="0.80601930327589755"/>
        </c:manualLayout>
      </c:layout>
      <c:lineChart>
        <c:grouping val="standard"/>
        <c:varyColors val="0"/>
        <c:ser>
          <c:idx val="0"/>
          <c:order val="0"/>
          <c:tx>
            <c:strRef>
              <c:f>'Figure A1-3 - Deprivation'!$M$8</c:f>
              <c:strCache>
                <c:ptCount val="1"/>
                <c:pt idx="0">
                  <c:v>1 - Most Deprived</c:v>
                </c:pt>
              </c:strCache>
            </c:strRef>
          </c:tx>
          <c:spPr>
            <a:ln>
              <a:solidFill>
                <a:srgbClr val="3F3685"/>
              </a:solidFill>
            </a:ln>
          </c:spPr>
          <c:marker>
            <c:symbol val="none"/>
          </c:marker>
          <c:cat>
            <c:numRef>
              <c:f>[0]!figurea13year</c:f>
              <c:numCache>
                <c:formatCode>General</c:formatCode>
                <c:ptCount val="10"/>
                <c:pt idx="0">
                  <c:v>0</c:v>
                </c:pt>
                <c:pt idx="1">
                  <c:v>0</c:v>
                </c:pt>
                <c:pt idx="2">
                  <c:v>0</c:v>
                </c:pt>
                <c:pt idx="3">
                  <c:v>0</c:v>
                </c:pt>
                <c:pt idx="4">
                  <c:v>0</c:v>
                </c:pt>
                <c:pt idx="5">
                  <c:v>0</c:v>
                </c:pt>
                <c:pt idx="6">
                  <c:v>0</c:v>
                </c:pt>
                <c:pt idx="7">
                  <c:v>0</c:v>
                </c:pt>
                <c:pt idx="8">
                  <c:v>0</c:v>
                </c:pt>
                <c:pt idx="9">
                  <c:v>0</c:v>
                </c:pt>
              </c:numCache>
            </c:numRef>
          </c:cat>
          <c:val>
            <c:numRef>
              <c:f>[0]!figurea13percent</c:f>
              <c:numCache>
                <c:formatCode>0.0</c:formatCode>
                <c:ptCount val="10"/>
                <c:pt idx="0">
                  <c:v>0</c:v>
                </c:pt>
                <c:pt idx="1">
                  <c:v>0</c:v>
                </c:pt>
                <c:pt idx="2">
                  <c:v>0</c:v>
                </c:pt>
                <c:pt idx="3">
                  <c:v>0</c:v>
                </c:pt>
                <c:pt idx="4">
                  <c:v>0</c:v>
                </c:pt>
                <c:pt idx="5">
                  <c:v>0</c:v>
                </c:pt>
                <c:pt idx="6">
                  <c:v>0</c:v>
                </c:pt>
                <c:pt idx="7">
                  <c:v>0</c:v>
                </c:pt>
                <c:pt idx="8">
                  <c:v>0</c:v>
                </c:pt>
                <c:pt idx="9">
                  <c:v>0</c:v>
                </c:pt>
              </c:numCache>
            </c:numRef>
          </c:val>
          <c:smooth val="0"/>
          <c:extLst>
            <c:ext xmlns:c16="http://schemas.microsoft.com/office/drawing/2014/chart" uri="{C3380CC4-5D6E-409C-BE32-E72D297353CC}">
              <c16:uniqueId val="{00000000-3EB4-4FFF-9325-202A0963D641}"/>
            </c:ext>
          </c:extLst>
        </c:ser>
        <c:dLbls>
          <c:showLegendKey val="0"/>
          <c:showVal val="0"/>
          <c:showCatName val="0"/>
          <c:showSerName val="0"/>
          <c:showPercent val="0"/>
          <c:showBubbleSize val="0"/>
        </c:dLbls>
        <c:smooth val="0"/>
        <c:axId val="73493504"/>
        <c:axId val="73610368"/>
      </c:lineChart>
      <c:catAx>
        <c:axId val="73493504"/>
        <c:scaling>
          <c:orientation val="minMax"/>
        </c:scaling>
        <c:delete val="0"/>
        <c:axPos val="b"/>
        <c:title>
          <c:tx>
            <c:rich>
              <a:bodyPr/>
              <a:lstStyle/>
              <a:p>
                <a:pPr>
                  <a:defRPr/>
                </a:pPr>
                <a:r>
                  <a:rPr lang="en-US"/>
                  <a:t>Financial Year</a:t>
                </a:r>
              </a:p>
            </c:rich>
          </c:tx>
          <c:overlay val="0"/>
        </c:title>
        <c:numFmt formatCode="General" sourceLinked="1"/>
        <c:majorTickMark val="out"/>
        <c:minorTickMark val="none"/>
        <c:tickLblPos val="nextTo"/>
        <c:spPr>
          <a:ln>
            <a:solidFill>
              <a:schemeClr val="bg1">
                <a:lumMod val="50000"/>
              </a:schemeClr>
            </a:solidFill>
          </a:ln>
        </c:spPr>
        <c:txPr>
          <a:bodyPr rot="0" vert="horz"/>
          <a:lstStyle/>
          <a:p>
            <a:pPr>
              <a:defRPr/>
            </a:pPr>
            <a:endParaRPr lang="en-US"/>
          </a:p>
        </c:txPr>
        <c:crossAx val="73610368"/>
        <c:crosses val="autoZero"/>
        <c:auto val="1"/>
        <c:lblAlgn val="ctr"/>
        <c:lblOffset val="100"/>
        <c:noMultiLvlLbl val="0"/>
      </c:catAx>
      <c:valAx>
        <c:axId val="73610368"/>
        <c:scaling>
          <c:orientation val="minMax"/>
          <c:max val="100"/>
          <c:min val="50"/>
        </c:scaling>
        <c:delete val="0"/>
        <c:axPos val="l"/>
        <c:majorGridlines>
          <c:spPr>
            <a:ln>
              <a:solidFill>
                <a:sysClr val="window" lastClr="FFFFFF">
                  <a:lumMod val="85000"/>
                </a:sysClr>
              </a:solidFill>
            </a:ln>
          </c:spPr>
        </c:majorGridlines>
        <c:minorGridlines/>
        <c:title>
          <c:tx>
            <c:rich>
              <a:bodyPr rot="-5400000" vert="horz"/>
              <a:lstStyle/>
              <a:p>
                <a:pPr>
                  <a:defRPr/>
                </a:pPr>
                <a:r>
                  <a:rPr lang="en-US"/>
                  <a:t>Percentage</a:t>
                </a:r>
              </a:p>
            </c:rich>
          </c:tx>
          <c:layout>
            <c:manualLayout>
              <c:xMode val="edge"/>
              <c:yMode val="edge"/>
              <c:x val="0"/>
              <c:y val="0.37088333333333356"/>
            </c:manualLayout>
          </c:layout>
          <c:overlay val="0"/>
        </c:title>
        <c:numFmt formatCode="0" sourceLinked="0"/>
        <c:majorTickMark val="out"/>
        <c:minorTickMark val="none"/>
        <c:tickLblPos val="nextTo"/>
        <c:spPr>
          <a:ln>
            <a:solidFill>
              <a:schemeClr val="bg1">
                <a:lumMod val="50000"/>
              </a:schemeClr>
            </a:solidFill>
          </a:ln>
        </c:spPr>
        <c:txPr>
          <a:bodyPr/>
          <a:lstStyle/>
          <a:p>
            <a:pPr>
              <a:defRPr sz="900"/>
            </a:pPr>
            <a:endParaRPr lang="en-US"/>
          </a:p>
        </c:txPr>
        <c:crossAx val="73493504"/>
        <c:crosses val="autoZero"/>
        <c:crossBetween val="midCat"/>
        <c:majorUnit val="10"/>
        <c:minorUnit val="10"/>
      </c:valAx>
    </c:plotArea>
    <c:plotVisOnly val="1"/>
    <c:dispBlanksAs val="gap"/>
    <c:showDLblsOverMax val="0"/>
  </c:chart>
  <c:spPr>
    <a:ln>
      <a:noFill/>
    </a:ln>
  </c:spPr>
  <c:printSettings>
    <c:headerFooter/>
    <c:pageMargins b="0.75000000000000822" l="0.70000000000000062" r="0.70000000000000062" t="0.75000000000000822"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840535177005309E-2"/>
          <c:y val="7.1100437958452417E-2"/>
          <c:w val="0.87540798779462858"/>
          <c:h val="0.80601930327589755"/>
        </c:manualLayout>
      </c:layout>
      <c:lineChart>
        <c:grouping val="standard"/>
        <c:varyColors val="0"/>
        <c:ser>
          <c:idx val="0"/>
          <c:order val="0"/>
          <c:tx>
            <c:strRef>
              <c:f>'Figure A1-4 - Urban Rural'!$M$8</c:f>
              <c:strCache>
                <c:ptCount val="1"/>
                <c:pt idx="0">
                  <c:v>1 Large Urban Areas</c:v>
                </c:pt>
              </c:strCache>
            </c:strRef>
          </c:tx>
          <c:spPr>
            <a:ln>
              <a:solidFill>
                <a:srgbClr val="3F3685"/>
              </a:solidFill>
            </a:ln>
          </c:spPr>
          <c:marker>
            <c:symbol val="none"/>
          </c:marker>
          <c:cat>
            <c:numRef>
              <c:f>[0]!figurea14year</c:f>
              <c:numCache>
                <c:formatCode>General</c:formatCode>
                <c:ptCount val="10"/>
                <c:pt idx="0">
                  <c:v>0</c:v>
                </c:pt>
                <c:pt idx="1">
                  <c:v>0</c:v>
                </c:pt>
                <c:pt idx="2">
                  <c:v>0</c:v>
                </c:pt>
                <c:pt idx="3">
                  <c:v>0</c:v>
                </c:pt>
                <c:pt idx="4">
                  <c:v>0</c:v>
                </c:pt>
                <c:pt idx="5">
                  <c:v>0</c:v>
                </c:pt>
                <c:pt idx="6">
                  <c:v>0</c:v>
                </c:pt>
                <c:pt idx="7">
                  <c:v>0</c:v>
                </c:pt>
                <c:pt idx="8">
                  <c:v>0</c:v>
                </c:pt>
                <c:pt idx="9">
                  <c:v>0</c:v>
                </c:pt>
              </c:numCache>
            </c:numRef>
          </c:cat>
          <c:val>
            <c:numRef>
              <c:f>[0]!figurea14percent</c:f>
              <c:numCache>
                <c:formatCode>0.0</c:formatCode>
                <c:ptCount val="10"/>
                <c:pt idx="0">
                  <c:v>0</c:v>
                </c:pt>
                <c:pt idx="1">
                  <c:v>0</c:v>
                </c:pt>
                <c:pt idx="2">
                  <c:v>0</c:v>
                </c:pt>
                <c:pt idx="3">
                  <c:v>0</c:v>
                </c:pt>
                <c:pt idx="4">
                  <c:v>0</c:v>
                </c:pt>
                <c:pt idx="5">
                  <c:v>0</c:v>
                </c:pt>
                <c:pt idx="6">
                  <c:v>0</c:v>
                </c:pt>
                <c:pt idx="7">
                  <c:v>0</c:v>
                </c:pt>
                <c:pt idx="8">
                  <c:v>0</c:v>
                </c:pt>
                <c:pt idx="9">
                  <c:v>0</c:v>
                </c:pt>
              </c:numCache>
            </c:numRef>
          </c:val>
          <c:smooth val="0"/>
          <c:extLst>
            <c:ext xmlns:c16="http://schemas.microsoft.com/office/drawing/2014/chart" uri="{C3380CC4-5D6E-409C-BE32-E72D297353CC}">
              <c16:uniqueId val="{00000000-9D27-46AE-9EDB-0D266D76129D}"/>
            </c:ext>
          </c:extLst>
        </c:ser>
        <c:dLbls>
          <c:showLegendKey val="0"/>
          <c:showVal val="0"/>
          <c:showCatName val="0"/>
          <c:showSerName val="0"/>
          <c:showPercent val="0"/>
          <c:showBubbleSize val="0"/>
        </c:dLbls>
        <c:smooth val="0"/>
        <c:axId val="200614656"/>
        <c:axId val="200616576"/>
      </c:lineChart>
      <c:catAx>
        <c:axId val="200614656"/>
        <c:scaling>
          <c:orientation val="minMax"/>
        </c:scaling>
        <c:delete val="0"/>
        <c:axPos val="b"/>
        <c:title>
          <c:tx>
            <c:rich>
              <a:bodyPr/>
              <a:lstStyle/>
              <a:p>
                <a:pPr>
                  <a:defRPr/>
                </a:pPr>
                <a:r>
                  <a:rPr lang="en-US"/>
                  <a:t>Financial Year</a:t>
                </a:r>
              </a:p>
            </c:rich>
          </c:tx>
          <c:overlay val="0"/>
        </c:title>
        <c:numFmt formatCode="General" sourceLinked="1"/>
        <c:majorTickMark val="out"/>
        <c:minorTickMark val="none"/>
        <c:tickLblPos val="nextTo"/>
        <c:spPr>
          <a:ln>
            <a:solidFill>
              <a:schemeClr val="bg1">
                <a:lumMod val="50000"/>
              </a:schemeClr>
            </a:solidFill>
          </a:ln>
        </c:spPr>
        <c:txPr>
          <a:bodyPr rot="0" vert="horz"/>
          <a:lstStyle/>
          <a:p>
            <a:pPr>
              <a:defRPr/>
            </a:pPr>
            <a:endParaRPr lang="en-US"/>
          </a:p>
        </c:txPr>
        <c:crossAx val="200616576"/>
        <c:crosses val="autoZero"/>
        <c:auto val="1"/>
        <c:lblAlgn val="ctr"/>
        <c:lblOffset val="100"/>
        <c:noMultiLvlLbl val="0"/>
      </c:catAx>
      <c:valAx>
        <c:axId val="200616576"/>
        <c:scaling>
          <c:orientation val="minMax"/>
          <c:max val="100"/>
          <c:min val="50"/>
        </c:scaling>
        <c:delete val="0"/>
        <c:axPos val="l"/>
        <c:majorGridlines>
          <c:spPr>
            <a:ln>
              <a:solidFill>
                <a:sysClr val="window" lastClr="FFFFFF">
                  <a:lumMod val="85000"/>
                </a:sysClr>
              </a:solidFill>
            </a:ln>
          </c:spPr>
        </c:majorGridlines>
        <c:minorGridlines/>
        <c:title>
          <c:tx>
            <c:rich>
              <a:bodyPr rot="-5400000" vert="horz"/>
              <a:lstStyle/>
              <a:p>
                <a:pPr>
                  <a:defRPr/>
                </a:pPr>
                <a:r>
                  <a:rPr lang="en-US"/>
                  <a:t>Percentage</a:t>
                </a:r>
              </a:p>
            </c:rich>
          </c:tx>
          <c:layout>
            <c:manualLayout>
              <c:xMode val="edge"/>
              <c:yMode val="edge"/>
              <c:x val="0"/>
              <c:y val="0.37088333333333356"/>
            </c:manualLayout>
          </c:layout>
          <c:overlay val="0"/>
        </c:title>
        <c:numFmt formatCode="0" sourceLinked="0"/>
        <c:majorTickMark val="out"/>
        <c:minorTickMark val="none"/>
        <c:tickLblPos val="nextTo"/>
        <c:spPr>
          <a:ln>
            <a:solidFill>
              <a:schemeClr val="bg1">
                <a:lumMod val="50000"/>
              </a:schemeClr>
            </a:solidFill>
          </a:ln>
        </c:spPr>
        <c:txPr>
          <a:bodyPr/>
          <a:lstStyle/>
          <a:p>
            <a:pPr>
              <a:defRPr sz="900"/>
            </a:pPr>
            <a:endParaRPr lang="en-US"/>
          </a:p>
        </c:txPr>
        <c:crossAx val="200614656"/>
        <c:crosses val="autoZero"/>
        <c:crossBetween val="midCat"/>
        <c:majorUnit val="10"/>
        <c:minorUnit val="10"/>
      </c:valAx>
    </c:plotArea>
    <c:plotVisOnly val="1"/>
    <c:dispBlanksAs val="gap"/>
    <c:showDLblsOverMax val="0"/>
  </c:chart>
  <c:spPr>
    <a:ln>
      <a:noFill/>
    </a:ln>
  </c:spPr>
  <c:printSettings>
    <c:headerFooter/>
    <c:pageMargins b="0.75000000000000822" l="0.70000000000000062" r="0.70000000000000062" t="0.75000000000000822" header="0.30000000000000032" footer="0.30000000000000032"/>
    <c:pageSetup/>
  </c:printSettings>
</c:chartSpace>
</file>

<file path=xl/ctrlProps/ctrlProp1.xml><?xml version="1.0" encoding="utf-8"?>
<formControlPr xmlns="http://schemas.microsoft.com/office/spreadsheetml/2009/9/main" objectType="Drop" dropStyle="combo" dx="16" fmlaLink="$A$5" fmlaRange="calculation!$B$12:$B$26" noThreeD="1" sel="1" val="0"/>
</file>

<file path=xl/ctrlProps/ctrlProp2.xml><?xml version="1.0" encoding="utf-8"?>
<formControlPr xmlns="http://schemas.microsoft.com/office/spreadsheetml/2009/9/main" objectType="Drop" dropStyle="combo" dx="16" fmlaLink="$A$5" fmlaRange="calculation!$B$28:$B$59" noThreeD="1" sel="1" val="0"/>
</file>

<file path=xl/ctrlProps/ctrlProp3.xml><?xml version="1.0" encoding="utf-8"?>
<formControlPr xmlns="http://schemas.microsoft.com/office/spreadsheetml/2009/9/main" objectType="Drop" dropStyle="combo" dx="16" fmlaLink="$A$5" fmlaRange="calculation!$B$61:$B$65" noThreeD="1" sel="1" val="0"/>
</file>

<file path=xl/ctrlProps/ctrlProp4.xml><?xml version="1.0" encoding="utf-8"?>
<formControlPr xmlns="http://schemas.microsoft.com/office/spreadsheetml/2009/9/main" objectType="Drop" dropStyle="combo" dx="16" fmlaLink="$A$5" fmlaRange="calculation!$B$67:$B$72" noThreeD="1" sel="1" val="0"/>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38100</xdr:colOff>
      <xdr:row>24</xdr:row>
      <xdr:rowOff>28576</xdr:rowOff>
    </xdr:from>
    <xdr:to>
      <xdr:col>12</xdr:col>
      <xdr:colOff>314325</xdr:colOff>
      <xdr:row>40</xdr:row>
      <xdr:rowOff>85725</xdr:rowOff>
    </xdr:to>
    <xdr:sp macro="" textlink="">
      <xdr:nvSpPr>
        <xdr:cNvPr id="3" name="Text Box 1">
          <a:extLst>
            <a:ext uri="{FF2B5EF4-FFF2-40B4-BE49-F238E27FC236}">
              <a16:creationId xmlns:a16="http://schemas.microsoft.com/office/drawing/2014/main" id="{00000000-0008-0000-0000-000003000000}"/>
            </a:ext>
          </a:extLst>
        </xdr:cNvPr>
        <xdr:cNvSpPr txBox="1">
          <a:spLocks noChangeArrowheads="1"/>
        </xdr:cNvSpPr>
      </xdr:nvSpPr>
      <xdr:spPr bwMode="auto">
        <a:xfrm>
          <a:off x="381000" y="4095751"/>
          <a:ext cx="6372225" cy="2533649"/>
        </a:xfrm>
        <a:prstGeom prst="rect">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endParaRPr lang="en-GB" sz="1000" b="0" i="0" u="none" strike="noStrike" baseline="0">
            <a:solidFill>
              <a:srgbClr val="000000"/>
            </a:solidFill>
            <a:latin typeface="Arial"/>
            <a:cs typeface="Arial"/>
          </a:endParaRPr>
        </a:p>
        <a:p>
          <a:pPr algn="l" rtl="0">
            <a:defRPr sz="1000"/>
          </a:pPr>
          <a:r>
            <a:rPr lang="en-GB" sz="1000" b="0" i="0" u="sng" strike="noStrike" baseline="0">
              <a:solidFill>
                <a:srgbClr val="000000"/>
              </a:solidFill>
              <a:latin typeface="Arial"/>
              <a:cs typeface="Arial"/>
            </a:rPr>
            <a:t>Calculation of Measure</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FF"/>
              </a:solidFill>
              <a:latin typeface="Arial"/>
              <a:cs typeface="Arial"/>
            </a:rPr>
            <a:t>Actual Bed days</a:t>
          </a:r>
          <a:r>
            <a:rPr lang="en-GB" sz="1000" b="0" i="0" u="none" strike="noStrike" baseline="0">
              <a:solidFill>
                <a:srgbClr val="000000"/>
              </a:solidFill>
              <a:latin typeface="Arial"/>
              <a:cs typeface="Arial"/>
            </a:rPr>
            <a:t>                =  Total bed days in hospital in the 6 months prior to death for those</a:t>
          </a:r>
        </a:p>
        <a:p>
          <a:pPr algn="l" rtl="0">
            <a:defRPr sz="1000"/>
          </a:pPr>
          <a:r>
            <a:rPr lang="en-GB" sz="1000" b="0" i="0" u="none" strike="noStrike" baseline="0">
              <a:solidFill>
                <a:srgbClr val="000000"/>
              </a:solidFill>
              <a:latin typeface="Arial"/>
              <a:cs typeface="Arial"/>
            </a:rPr>
            <a:t>                                              people who died within a specific year</a:t>
          </a: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FF"/>
              </a:solidFill>
              <a:latin typeface="Arial"/>
              <a:cs typeface="Arial"/>
            </a:rPr>
            <a:t>Possible bed days</a:t>
          </a:r>
          <a:r>
            <a:rPr lang="en-GB" sz="1000" b="0" i="0" u="none" strike="noStrike" baseline="0">
              <a:solidFill>
                <a:srgbClr val="000000"/>
              </a:solidFill>
              <a:latin typeface="Arial"/>
              <a:cs typeface="Arial"/>
            </a:rPr>
            <a:t>             = Total number of deaths in specified period x 182.5</a:t>
          </a: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FF"/>
              </a:solidFill>
              <a:latin typeface="Arial"/>
              <a:cs typeface="Arial"/>
            </a:rPr>
            <a:t>% of time in hospital in last 6 months of life              </a:t>
          </a:r>
          <a:r>
            <a:rPr lang="en-GB" sz="1000" b="0" i="0" u="none" strike="noStrike" baseline="0">
              <a:solidFill>
                <a:srgbClr val="000000"/>
              </a:solidFill>
              <a:latin typeface="Arial"/>
              <a:cs typeface="Arial"/>
            </a:rPr>
            <a:t> = (Actual bed days / possible bed days) x 100</a:t>
          </a: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FF"/>
              </a:solidFill>
              <a:latin typeface="Arial"/>
              <a:cs typeface="Arial"/>
            </a:rPr>
            <a:t>% of time at home or in a community setting in last 6 months of life</a:t>
          </a:r>
          <a:r>
            <a:rPr lang="en-GB" sz="1000" b="0" i="0" u="none" strike="noStrike" baseline="0">
              <a:solidFill>
                <a:srgbClr val="000000"/>
              </a:solidFill>
              <a:latin typeface="Arial"/>
              <a:cs typeface="Arial"/>
            </a:rPr>
            <a:t>         = 100 – % time in hospital in</a:t>
          </a:r>
        </a:p>
        <a:p>
          <a:pPr algn="l" rtl="0">
            <a:defRPr sz="1000"/>
          </a:pPr>
          <a:r>
            <a:rPr lang="en-GB" sz="1000" b="0" i="0" u="none" strike="noStrike" baseline="0">
              <a:solidFill>
                <a:srgbClr val="000000"/>
              </a:solidFill>
              <a:latin typeface="Arial"/>
              <a:cs typeface="Arial"/>
            </a:rPr>
            <a:t>                                                                                                                                   last 6 months of life</a:t>
          </a:r>
        </a:p>
        <a:p>
          <a:pPr algn="l" rtl="0">
            <a:defRPr sz="1000"/>
          </a:pPr>
          <a:endParaRPr lang="en-GB" sz="1200" b="0" i="0" u="none" strike="noStrike" baseline="0">
            <a:solidFill>
              <a:srgbClr val="000000"/>
            </a:solidFill>
            <a:latin typeface="Times New Roman"/>
            <a:cs typeface="Times New Roman"/>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en-GB" sz="1000" b="0" i="0" u="none" strike="noStrike" baseline="0">
              <a:solidFill>
                <a:srgbClr val="0000FF"/>
              </a:solidFill>
              <a:latin typeface="Arial"/>
              <a:ea typeface="+mn-ea"/>
              <a:cs typeface="Arial"/>
            </a:rPr>
            <a:t>Average number of days spent at home or in a community setting            </a:t>
          </a:r>
          <a:r>
            <a:rPr lang="en-GB" sz="1000" b="0" i="0" baseline="0">
              <a:effectLst/>
              <a:latin typeface="Arial" panose="020B0604020202020204" pitchFamily="34" charset="0"/>
              <a:ea typeface="+mn-ea"/>
              <a:cs typeface="Arial" panose="020B0604020202020204" pitchFamily="34" charset="0"/>
            </a:rPr>
            <a:t>= % of time at home or in a community 				               setting in last 6 months of life x 182.5</a:t>
          </a:r>
          <a:endParaRPr lang="en-GB" sz="1200">
            <a:effectLst/>
            <a:latin typeface="Arial" panose="020B0604020202020204" pitchFamily="34" charset="0"/>
            <a:cs typeface="Arial" panose="020B0604020202020204" pitchFamily="34" charset="0"/>
          </a:endParaRPr>
        </a:p>
        <a:p>
          <a:pPr algn="l" rtl="0">
            <a:defRPr sz="1000"/>
          </a:pPr>
          <a:endParaRPr lang="en-GB" sz="1200" b="0" i="0" u="none" strike="noStrike" baseline="0">
            <a:solidFill>
              <a:srgbClr val="000000"/>
            </a:solidFill>
            <a:latin typeface="Times New Roman"/>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114299</xdr:colOff>
      <xdr:row>7</xdr:row>
      <xdr:rowOff>161924</xdr:rowOff>
    </xdr:from>
    <xdr:to>
      <xdr:col>10</xdr:col>
      <xdr:colOff>485774</xdr:colOff>
      <xdr:row>28</xdr:row>
      <xdr:rowOff>47624</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99060</xdr:colOff>
          <xdr:row>4</xdr:row>
          <xdr:rowOff>38100</xdr:rowOff>
        </xdr:from>
        <xdr:to>
          <xdr:col>5</xdr:col>
          <xdr:colOff>518160</xdr:colOff>
          <xdr:row>5</xdr:row>
          <xdr:rowOff>76200</xdr:rowOff>
        </xdr:to>
        <xdr:sp macro="" textlink="">
          <xdr:nvSpPr>
            <xdr:cNvPr id="3074" name="Drop Down 2" hidden="1">
              <a:extLst>
                <a:ext uri="{63B3BB69-23CF-44E3-9099-C40C66FF867C}">
                  <a14:compatExt spid="_x0000_s3074"/>
                </a:ext>
                <a:ext uri="{FF2B5EF4-FFF2-40B4-BE49-F238E27FC236}">
                  <a16:creationId xmlns:a16="http://schemas.microsoft.com/office/drawing/2014/main" id="{00000000-0008-0000-0200-000002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0</xdr:col>
      <xdr:colOff>342899</xdr:colOff>
      <xdr:row>7</xdr:row>
      <xdr:rowOff>161924</xdr:rowOff>
    </xdr:from>
    <xdr:to>
      <xdr:col>10</xdr:col>
      <xdr:colOff>485774</xdr:colOff>
      <xdr:row>28</xdr:row>
      <xdr:rowOff>47624</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99060</xdr:colOff>
          <xdr:row>4</xdr:row>
          <xdr:rowOff>38100</xdr:rowOff>
        </xdr:from>
        <xdr:to>
          <xdr:col>5</xdr:col>
          <xdr:colOff>518160</xdr:colOff>
          <xdr:row>5</xdr:row>
          <xdr:rowOff>76200</xdr:rowOff>
        </xdr:to>
        <xdr:sp macro="" textlink="">
          <xdr:nvSpPr>
            <xdr:cNvPr id="7169" name="Drop Down 1" hidden="1">
              <a:extLst>
                <a:ext uri="{63B3BB69-23CF-44E3-9099-C40C66FF867C}">
                  <a14:compatExt spid="_x0000_s7169"/>
                </a:ext>
                <a:ext uri="{FF2B5EF4-FFF2-40B4-BE49-F238E27FC236}">
                  <a16:creationId xmlns:a16="http://schemas.microsoft.com/office/drawing/2014/main" id="{00000000-0008-0000-0400-000001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0</xdr:col>
      <xdr:colOff>342899</xdr:colOff>
      <xdr:row>7</xdr:row>
      <xdr:rowOff>161924</xdr:rowOff>
    </xdr:from>
    <xdr:to>
      <xdr:col>10</xdr:col>
      <xdr:colOff>485774</xdr:colOff>
      <xdr:row>28</xdr:row>
      <xdr:rowOff>47624</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99060</xdr:colOff>
          <xdr:row>4</xdr:row>
          <xdr:rowOff>38100</xdr:rowOff>
        </xdr:from>
        <xdr:to>
          <xdr:col>5</xdr:col>
          <xdr:colOff>388620</xdr:colOff>
          <xdr:row>5</xdr:row>
          <xdr:rowOff>76200</xdr:rowOff>
        </xdr:to>
        <xdr:sp macro="" textlink="">
          <xdr:nvSpPr>
            <xdr:cNvPr id="8193" name="Drop Down 1" hidden="1">
              <a:extLst>
                <a:ext uri="{63B3BB69-23CF-44E3-9099-C40C66FF867C}">
                  <a14:compatExt spid="_x0000_s8193"/>
                </a:ext>
                <a:ext uri="{FF2B5EF4-FFF2-40B4-BE49-F238E27FC236}">
                  <a16:creationId xmlns:a16="http://schemas.microsoft.com/office/drawing/2014/main" id="{00000000-0008-0000-0700-000001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xdr:from>
      <xdr:col>0</xdr:col>
      <xdr:colOff>342899</xdr:colOff>
      <xdr:row>7</xdr:row>
      <xdr:rowOff>161924</xdr:rowOff>
    </xdr:from>
    <xdr:to>
      <xdr:col>10</xdr:col>
      <xdr:colOff>485774</xdr:colOff>
      <xdr:row>28</xdr:row>
      <xdr:rowOff>47624</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99060</xdr:colOff>
          <xdr:row>4</xdr:row>
          <xdr:rowOff>38100</xdr:rowOff>
        </xdr:from>
        <xdr:to>
          <xdr:col>5</xdr:col>
          <xdr:colOff>518160</xdr:colOff>
          <xdr:row>5</xdr:row>
          <xdr:rowOff>76200</xdr:rowOff>
        </xdr:to>
        <xdr:sp macro="" textlink="">
          <xdr:nvSpPr>
            <xdr:cNvPr id="10241" name="Drop Down 1" hidden="1">
              <a:extLst>
                <a:ext uri="{63B3BB69-23CF-44E3-9099-C40C66FF867C}">
                  <a14:compatExt spid="_x0000_s10241"/>
                </a:ext>
                <a:ext uri="{FF2B5EF4-FFF2-40B4-BE49-F238E27FC236}">
                  <a16:creationId xmlns:a16="http://schemas.microsoft.com/office/drawing/2014/main" id="{00000000-0008-0000-0900-000001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8-End-of-Life/Publication/Master/reference-files/figures-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Figure 1"/>
      <sheetName val="Figure 1 Background Data"/>
      <sheetName val="Figure 2"/>
      <sheetName val="Figure 2 Background Data"/>
      <sheetName val="Figure 3"/>
      <sheetName val="Figure 3 Background Data"/>
      <sheetName val="Figure 4"/>
      <sheetName val="Figure 4 Background Data"/>
      <sheetName val="Figure 5"/>
      <sheetName val="Figure 5 Background Data"/>
      <sheetName val="Figure A3.1"/>
      <sheetName val="Figure A3.1 Background Data"/>
      <sheetName val="External Causes of Deaths"/>
      <sheetName val="data"/>
      <sheetName val="calculation"/>
    </sheetNames>
    <sheetDataSet>
      <sheetData sheetId="0" refreshError="1"/>
      <sheetData sheetId="1" refreshError="1"/>
      <sheetData sheetId="2">
        <row r="8">
          <cell r="B8" t="e">
            <v>#REF!</v>
          </cell>
          <cell r="C8" t="e">
            <v>#REF!</v>
          </cell>
          <cell r="D8" t="e">
            <v>#REF!</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2">
          <cell r="A2" t="str">
            <v/>
          </cell>
        </row>
      </sheetData>
      <sheetData sheetId="15">
        <row r="1">
          <cell r="B1">
            <v>0</v>
          </cell>
        </row>
        <row r="2">
          <cell r="B2">
            <v>6</v>
          </cell>
        </row>
        <row r="7">
          <cell r="B7">
            <v>10</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publichealthscotland.scot/publications/percentage-of-end-of-life-spent-at-home-or-in-a-community-setting/percentage-of-end-of-life-spent-at-home-or-in-a-community-setting-financial-years-ending-31-march-2014-to-2023/" TargetMode="External"/><Relationship Id="rId1" Type="http://schemas.openxmlformats.org/officeDocument/2006/relationships/hyperlink" Target="https://beta.isdscotland.org/find-publications-and-data/health-and-social-care/social-and-community-care/percentage-of-end-of-life-spent-at-home-or-in-a-community-setting/20-October-2020"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trlProp" Target="../ctrlProps/ctrlProp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trlProp" Target="../ctrlProps/ctrlProp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scotland.gov.uk/Topics/Statistics/SIMD/" TargetMode="Externa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hyperlink" Target="http://www.scotland.gov.uk/Topics/Statistics/SIMD/" TargetMode="External"/><Relationship Id="rId4" Type="http://schemas.openxmlformats.org/officeDocument/2006/relationships/ctrlProp" Target="../ctrlProps/ctrlProp3.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www.gov.scot/publications/scottish-government-urban-rural-classification-2022" TargetMode="External"/><Relationship Id="rId1" Type="http://schemas.openxmlformats.org/officeDocument/2006/relationships/hyperlink" Target="http://www.gov.scot/Topics/Statistics/About/Methodology/UrbanRuralClassification"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hyperlink" Target="https://www.gov.scot/publications/scottish-government-urban-rural-classification-2022" TargetMode="External"/><Relationship Id="rId1" Type="http://schemas.openxmlformats.org/officeDocument/2006/relationships/hyperlink" Target="http://www.gov.scot/Topics/Statistics/About/Methodology/UrbanRuralClassification" TargetMode="External"/><Relationship Id="rId5" Type="http://schemas.openxmlformats.org/officeDocument/2006/relationships/ctrlProp" Target="../ctrlProps/ctrlProp4.xml"/><Relationship Id="rId4"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www.who.int/classifications/icd/en/" TargetMode="External"/><Relationship Id="rId1" Type="http://schemas.openxmlformats.org/officeDocument/2006/relationships/hyperlink" Target="http://www.who.int/classifications/icd/en/"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P52"/>
  <sheetViews>
    <sheetView showGridLines="0" tabSelected="1" zoomScaleNormal="100" workbookViewId="0"/>
  </sheetViews>
  <sheetFormatPr defaultColWidth="9.109375" defaultRowHeight="15" customHeight="1" x14ac:dyDescent="0.25"/>
  <cols>
    <col min="1" max="1" width="1.6640625" style="33" customWidth="1"/>
    <col min="2" max="2" width="3.44140625" style="33" customWidth="1"/>
    <col min="3" max="16384" width="9.109375" style="33"/>
  </cols>
  <sheetData>
    <row r="1" spans="2:16" ht="15" customHeight="1" x14ac:dyDescent="0.25">
      <c r="B1" s="93" t="str">
        <f>""</f>
        <v/>
      </c>
      <c r="C1" s="93"/>
      <c r="D1" s="93"/>
      <c r="E1" s="93"/>
      <c r="F1" s="93"/>
      <c r="G1" s="93"/>
      <c r="H1" s="93"/>
      <c r="I1" s="93"/>
      <c r="J1" s="93"/>
      <c r="K1" s="93"/>
      <c r="L1" s="93"/>
      <c r="M1" s="93"/>
      <c r="N1" s="93"/>
      <c r="O1" s="93"/>
    </row>
    <row r="2" spans="2:16" ht="15" customHeight="1" x14ac:dyDescent="0.25">
      <c r="B2" s="34" t="s">
        <v>111</v>
      </c>
    </row>
    <row r="4" spans="2:16" ht="15" customHeight="1" x14ac:dyDescent="0.25">
      <c r="B4" s="35" t="s">
        <v>136</v>
      </c>
    </row>
    <row r="5" spans="2:16" ht="15" customHeight="1" x14ac:dyDescent="0.25">
      <c r="B5" s="36"/>
      <c r="C5" s="36"/>
      <c r="D5" s="36"/>
      <c r="E5" s="36"/>
      <c r="F5" s="36"/>
      <c r="G5" s="36"/>
      <c r="H5" s="36"/>
      <c r="I5" s="36"/>
      <c r="J5" s="36"/>
      <c r="K5" s="36"/>
      <c r="L5" s="36"/>
      <c r="M5" s="36"/>
      <c r="N5" s="36"/>
      <c r="O5" s="36"/>
      <c r="P5" s="36"/>
    </row>
    <row r="6" spans="2:16" ht="15" customHeight="1" x14ac:dyDescent="0.25">
      <c r="B6" s="37" t="s">
        <v>196</v>
      </c>
      <c r="O6" s="37"/>
      <c r="P6" s="36"/>
    </row>
    <row r="7" spans="2:16" ht="15" customHeight="1" x14ac:dyDescent="0.25">
      <c r="B7" s="37" t="s">
        <v>192</v>
      </c>
      <c r="O7" s="37"/>
      <c r="P7" s="36"/>
    </row>
    <row r="8" spans="2:16" ht="15" customHeight="1" x14ac:dyDescent="0.25">
      <c r="B8" s="37" t="s">
        <v>197</v>
      </c>
      <c r="P8" s="36"/>
    </row>
    <row r="9" spans="2:16" ht="15" customHeight="1" x14ac:dyDescent="0.25">
      <c r="B9" s="37" t="s">
        <v>194</v>
      </c>
      <c r="C9" s="37"/>
      <c r="D9" s="37"/>
      <c r="E9" s="37"/>
      <c r="F9" s="37"/>
      <c r="G9" s="37"/>
      <c r="H9" s="37"/>
      <c r="I9" s="37"/>
      <c r="J9" s="37"/>
      <c r="K9" s="37"/>
      <c r="L9" s="37"/>
      <c r="M9" s="37"/>
      <c r="N9" s="37"/>
      <c r="O9" s="37"/>
      <c r="P9" s="36"/>
    </row>
    <row r="10" spans="2:16" ht="15" customHeight="1" x14ac:dyDescent="0.25">
      <c r="B10" s="37" t="s">
        <v>195</v>
      </c>
      <c r="C10" s="37"/>
      <c r="D10" s="37"/>
      <c r="E10" s="37"/>
      <c r="F10" s="37"/>
      <c r="G10" s="37"/>
      <c r="H10" s="37"/>
      <c r="I10" s="37"/>
      <c r="J10" s="37"/>
      <c r="K10" s="37"/>
      <c r="L10" s="37"/>
      <c r="M10" s="37"/>
      <c r="N10" s="37"/>
      <c r="O10" s="37"/>
      <c r="P10" s="36"/>
    </row>
    <row r="11" spans="2:16" s="39" customFormat="1" ht="15" customHeight="1" x14ac:dyDescent="0.25">
      <c r="B11" s="38" t="s">
        <v>193</v>
      </c>
      <c r="C11" s="33"/>
      <c r="D11" s="33"/>
      <c r="E11" s="33"/>
      <c r="F11" s="33"/>
      <c r="G11" s="33"/>
      <c r="H11" s="33"/>
      <c r="I11" s="33"/>
      <c r="J11" s="33"/>
      <c r="K11" s="33"/>
      <c r="L11" s="33"/>
      <c r="M11" s="33"/>
      <c r="N11" s="33"/>
      <c r="O11" s="33"/>
      <c r="P11" s="36"/>
    </row>
    <row r="12" spans="2:16" s="39" customFormat="1" ht="15" customHeight="1" x14ac:dyDescent="0.25">
      <c r="B12" s="38"/>
      <c r="C12" s="33"/>
      <c r="D12" s="33"/>
      <c r="E12" s="33"/>
      <c r="F12" s="33"/>
      <c r="G12" s="33"/>
      <c r="H12" s="33"/>
      <c r="I12" s="33"/>
      <c r="J12" s="33"/>
      <c r="K12" s="33"/>
      <c r="L12" s="33"/>
      <c r="M12" s="33"/>
      <c r="N12" s="33"/>
      <c r="O12" s="33"/>
      <c r="P12" s="36"/>
    </row>
    <row r="13" spans="2:16" s="39" customFormat="1" ht="26.25" customHeight="1" x14ac:dyDescent="0.25">
      <c r="B13" s="97" t="s">
        <v>217</v>
      </c>
      <c r="C13" s="97"/>
      <c r="D13" s="97"/>
      <c r="E13" s="97"/>
      <c r="F13" s="97"/>
      <c r="G13" s="97"/>
      <c r="H13" s="97"/>
      <c r="I13" s="97"/>
      <c r="J13" s="97"/>
      <c r="K13" s="97"/>
      <c r="L13" s="97"/>
      <c r="M13" s="97"/>
      <c r="N13" s="97"/>
      <c r="O13" s="97"/>
      <c r="P13" s="36"/>
    </row>
    <row r="14" spans="2:16" s="39" customFormat="1" ht="15" customHeight="1" x14ac:dyDescent="0.25">
      <c r="B14" s="82" t="s">
        <v>200</v>
      </c>
      <c r="C14" s="33"/>
      <c r="D14" s="33"/>
      <c r="E14" s="33"/>
      <c r="F14" s="33"/>
      <c r="G14" s="33"/>
      <c r="H14" s="33"/>
      <c r="I14" s="33"/>
      <c r="J14" s="33"/>
      <c r="K14" s="33"/>
      <c r="L14" s="33"/>
      <c r="M14" s="33"/>
      <c r="N14" s="33"/>
      <c r="O14" s="33"/>
      <c r="P14" s="36"/>
    </row>
    <row r="16" spans="2:16" ht="15" customHeight="1" x14ac:dyDescent="0.25">
      <c r="B16" s="40" t="s">
        <v>110</v>
      </c>
    </row>
    <row r="17" spans="2:16" ht="15" customHeight="1" x14ac:dyDescent="0.25">
      <c r="B17" s="40"/>
    </row>
    <row r="18" spans="2:16" ht="16.2" customHeight="1" x14ac:dyDescent="0.25">
      <c r="B18" s="14" t="s">
        <v>216</v>
      </c>
      <c r="C18" s="94" t="e">
        <f ca="1" xml:space="preserve"> calculation!$E$15</f>
        <v>#REF!</v>
      </c>
      <c r="D18" s="95"/>
      <c r="E18" s="95"/>
      <c r="F18" s="95"/>
      <c r="G18" s="95"/>
      <c r="H18" s="95"/>
      <c r="I18" s="95"/>
      <c r="J18" s="95"/>
      <c r="K18" s="95"/>
      <c r="L18" s="95"/>
      <c r="M18" s="95"/>
      <c r="N18" s="95"/>
      <c r="O18" s="95"/>
      <c r="P18" s="95"/>
    </row>
    <row r="19" spans="2:16" ht="15" customHeight="1" x14ac:dyDescent="0.25">
      <c r="B19" s="13"/>
      <c r="C19" s="96" t="s">
        <v>140</v>
      </c>
      <c r="D19" s="96"/>
      <c r="E19" s="96"/>
      <c r="F19" s="96"/>
      <c r="G19" s="96"/>
      <c r="H19" s="96"/>
      <c r="I19" s="96"/>
      <c r="J19" s="96"/>
      <c r="K19" s="96"/>
      <c r="L19" s="96"/>
      <c r="M19" s="96"/>
      <c r="N19" s="96"/>
      <c r="O19" s="96"/>
      <c r="P19" s="96"/>
    </row>
    <row r="20" spans="2:16" ht="15" customHeight="1" x14ac:dyDescent="0.25">
      <c r="C20" s="94"/>
      <c r="D20" s="95"/>
      <c r="E20" s="95"/>
      <c r="F20" s="95"/>
      <c r="G20" s="95"/>
      <c r="H20" s="95"/>
      <c r="I20" s="95"/>
      <c r="J20" s="95"/>
      <c r="K20" s="95"/>
      <c r="L20" s="95"/>
      <c r="M20" s="95"/>
      <c r="N20" s="95"/>
      <c r="O20" s="95"/>
      <c r="P20" s="95"/>
    </row>
    <row r="21" spans="2:16" ht="28.95" customHeight="1" x14ac:dyDescent="0.25">
      <c r="B21" s="14" t="s">
        <v>13</v>
      </c>
      <c r="C21" s="97" t="s">
        <v>211</v>
      </c>
      <c r="D21" s="97"/>
      <c r="E21" s="97"/>
      <c r="F21" s="97"/>
      <c r="G21" s="97"/>
      <c r="H21" s="97"/>
      <c r="I21" s="97"/>
      <c r="J21" s="97"/>
      <c r="K21" s="97"/>
      <c r="L21" s="97"/>
      <c r="M21" s="97"/>
      <c r="N21" s="97"/>
      <c r="O21" s="97"/>
      <c r="P21" s="97"/>
    </row>
    <row r="22" spans="2:16" ht="15" customHeight="1" x14ac:dyDescent="0.25">
      <c r="C22" s="84"/>
      <c r="D22" s="41"/>
      <c r="E22" s="41"/>
      <c r="F22" s="41"/>
      <c r="G22" s="41"/>
      <c r="H22" s="41"/>
      <c r="I22" s="41"/>
      <c r="J22" s="41"/>
      <c r="K22" s="41"/>
      <c r="L22" s="41"/>
      <c r="M22" s="41"/>
      <c r="N22" s="41"/>
      <c r="O22" s="41"/>
      <c r="P22" s="41"/>
    </row>
    <row r="23" spans="2:16" ht="26.25" customHeight="1" x14ac:dyDescent="0.25">
      <c r="B23" s="14" t="s">
        <v>85</v>
      </c>
      <c r="C23" s="94" t="s">
        <v>210</v>
      </c>
      <c r="D23" s="95"/>
      <c r="E23" s="95"/>
      <c r="F23" s="95"/>
      <c r="G23" s="95"/>
      <c r="H23" s="95"/>
      <c r="I23" s="95"/>
      <c r="J23" s="95"/>
      <c r="K23" s="95"/>
      <c r="L23" s="95"/>
      <c r="M23" s="95"/>
      <c r="N23" s="95"/>
      <c r="O23" s="95"/>
      <c r="P23" s="95"/>
    </row>
    <row r="24" spans="2:16" ht="15" customHeight="1" x14ac:dyDescent="0.25">
      <c r="B24" s="13"/>
      <c r="C24" s="41"/>
      <c r="D24" s="41"/>
      <c r="E24" s="41"/>
      <c r="F24" s="41"/>
      <c r="G24" s="41"/>
      <c r="H24" s="41"/>
      <c r="I24" s="41"/>
      <c r="J24" s="41"/>
      <c r="K24" s="41"/>
      <c r="L24" s="41"/>
      <c r="M24" s="41"/>
      <c r="N24" s="41"/>
      <c r="O24" s="41"/>
      <c r="P24" s="41"/>
    </row>
    <row r="25" spans="2:16" ht="15" customHeight="1" x14ac:dyDescent="0.25">
      <c r="B25" s="13"/>
      <c r="C25" s="41"/>
      <c r="D25" s="41"/>
      <c r="E25" s="41"/>
      <c r="F25" s="41"/>
      <c r="G25" s="41"/>
      <c r="H25" s="41"/>
      <c r="I25" s="41"/>
      <c r="J25" s="41"/>
      <c r="K25" s="41"/>
      <c r="L25" s="41"/>
      <c r="M25" s="41"/>
      <c r="N25" s="41"/>
      <c r="O25" s="41"/>
      <c r="P25" s="41"/>
    </row>
    <row r="26" spans="2:16" ht="15" customHeight="1" x14ac:dyDescent="0.25">
      <c r="B26" s="13"/>
      <c r="C26" s="41"/>
      <c r="D26" s="41"/>
      <c r="E26" s="41"/>
      <c r="F26" s="41"/>
      <c r="G26" s="41"/>
      <c r="H26" s="41"/>
      <c r="I26" s="41"/>
      <c r="J26" s="41"/>
      <c r="K26" s="41"/>
      <c r="L26" s="41"/>
      <c r="M26" s="41"/>
      <c r="N26" s="41"/>
      <c r="O26" s="41"/>
      <c r="P26" s="41"/>
    </row>
    <row r="27" spans="2:16" ht="15" customHeight="1" x14ac:dyDescent="0.25">
      <c r="B27" s="13"/>
      <c r="C27" s="41"/>
      <c r="D27" s="41"/>
      <c r="E27" s="41"/>
      <c r="F27" s="41"/>
      <c r="G27" s="41"/>
      <c r="H27" s="41"/>
      <c r="I27" s="41"/>
      <c r="J27" s="41"/>
      <c r="K27" s="41"/>
      <c r="L27" s="41"/>
      <c r="M27" s="41"/>
      <c r="N27" s="41"/>
      <c r="O27" s="41"/>
      <c r="P27" s="41"/>
    </row>
    <row r="28" spans="2:16" ht="15" customHeight="1" x14ac:dyDescent="0.25">
      <c r="B28" s="13"/>
      <c r="C28" s="41"/>
      <c r="D28" s="41"/>
      <c r="E28" s="41"/>
      <c r="F28" s="41"/>
      <c r="G28" s="41"/>
      <c r="H28" s="41"/>
      <c r="I28" s="41"/>
      <c r="J28" s="41"/>
      <c r="K28" s="41"/>
      <c r="L28" s="41"/>
      <c r="M28" s="41"/>
      <c r="N28" s="41"/>
      <c r="O28" s="41"/>
      <c r="P28" s="41"/>
    </row>
    <row r="29" spans="2:16" ht="15" customHeight="1" x14ac:dyDescent="0.25">
      <c r="B29" s="13"/>
      <c r="C29" s="41"/>
      <c r="D29" s="41"/>
      <c r="E29" s="41"/>
      <c r="F29" s="41"/>
      <c r="G29" s="41"/>
      <c r="H29" s="41"/>
      <c r="I29" s="41"/>
      <c r="J29" s="41"/>
      <c r="K29" s="41"/>
      <c r="L29" s="41"/>
      <c r="M29" s="41"/>
      <c r="N29" s="41"/>
      <c r="O29" s="41"/>
      <c r="P29" s="41"/>
    </row>
    <row r="30" spans="2:16" ht="15" customHeight="1" x14ac:dyDescent="0.25">
      <c r="B30" s="13"/>
      <c r="C30" s="41"/>
      <c r="D30" s="41"/>
      <c r="E30" s="41"/>
      <c r="F30" s="41"/>
      <c r="G30" s="41"/>
      <c r="H30" s="41"/>
      <c r="I30" s="41"/>
      <c r="J30" s="41"/>
      <c r="K30" s="41"/>
      <c r="L30" s="41"/>
      <c r="M30" s="41"/>
      <c r="N30" s="41"/>
      <c r="O30" s="41"/>
      <c r="P30" s="41"/>
    </row>
    <row r="31" spans="2:16" ht="15" customHeight="1" x14ac:dyDescent="0.25">
      <c r="B31" s="13"/>
      <c r="C31" s="41"/>
      <c r="D31" s="41"/>
      <c r="E31" s="41"/>
      <c r="F31" s="41"/>
      <c r="G31" s="41"/>
      <c r="H31" s="41"/>
      <c r="I31" s="41"/>
      <c r="J31" s="41"/>
      <c r="K31" s="41"/>
      <c r="L31" s="41"/>
      <c r="M31" s="41"/>
      <c r="N31" s="41"/>
      <c r="O31" s="41"/>
      <c r="P31" s="41"/>
    </row>
    <row r="32" spans="2:16" ht="15" customHeight="1" x14ac:dyDescent="0.25">
      <c r="B32" s="13"/>
      <c r="C32" s="41"/>
      <c r="D32" s="41"/>
      <c r="E32" s="41"/>
      <c r="F32" s="41"/>
      <c r="G32" s="41"/>
      <c r="H32" s="41"/>
      <c r="I32" s="41"/>
      <c r="J32" s="41"/>
      <c r="K32" s="41"/>
      <c r="L32" s="41"/>
      <c r="M32" s="41"/>
      <c r="N32" s="41"/>
      <c r="O32" s="41"/>
      <c r="P32" s="41"/>
    </row>
    <row r="33" spans="2:16" ht="15" customHeight="1" x14ac:dyDescent="0.25">
      <c r="B33" s="13"/>
      <c r="C33" s="41"/>
      <c r="D33" s="41"/>
      <c r="E33" s="41"/>
      <c r="F33" s="41"/>
      <c r="G33" s="41"/>
      <c r="H33" s="41"/>
      <c r="I33" s="41"/>
      <c r="J33" s="41"/>
      <c r="K33" s="41"/>
      <c r="L33" s="41"/>
      <c r="M33" s="41"/>
      <c r="N33" s="41"/>
      <c r="O33" s="41"/>
      <c r="P33" s="41"/>
    </row>
    <row r="34" spans="2:16" ht="15" customHeight="1" x14ac:dyDescent="0.25">
      <c r="B34" s="13"/>
      <c r="C34" s="41"/>
      <c r="D34" s="41"/>
      <c r="E34" s="41"/>
      <c r="F34" s="41"/>
      <c r="G34" s="41"/>
      <c r="H34" s="41"/>
      <c r="I34" s="41"/>
      <c r="J34" s="41"/>
      <c r="K34" s="41"/>
      <c r="L34" s="41"/>
      <c r="M34" s="41"/>
      <c r="N34" s="41"/>
      <c r="O34" s="41"/>
      <c r="P34" s="41"/>
    </row>
    <row r="35" spans="2:16" ht="15" customHeight="1" x14ac:dyDescent="0.25">
      <c r="B35" s="13"/>
      <c r="C35" s="41"/>
      <c r="D35" s="41"/>
      <c r="E35" s="41"/>
      <c r="F35" s="41"/>
      <c r="G35" s="41"/>
      <c r="H35" s="41"/>
      <c r="I35" s="41"/>
      <c r="J35" s="41"/>
      <c r="K35" s="41"/>
      <c r="L35" s="41"/>
      <c r="M35" s="41"/>
      <c r="N35" s="41"/>
      <c r="O35" s="41"/>
      <c r="P35" s="41"/>
    </row>
    <row r="36" spans="2:16" ht="15" customHeight="1" x14ac:dyDescent="0.25">
      <c r="B36" s="13"/>
      <c r="C36" s="41"/>
      <c r="D36" s="41"/>
      <c r="E36" s="41"/>
      <c r="F36" s="41"/>
      <c r="G36" s="41"/>
      <c r="H36" s="41"/>
      <c r="I36" s="41"/>
      <c r="J36" s="41"/>
      <c r="K36" s="41"/>
      <c r="L36" s="41"/>
      <c r="M36" s="41"/>
      <c r="N36" s="41"/>
      <c r="O36" s="41"/>
      <c r="P36" s="41"/>
    </row>
    <row r="37" spans="2:16" ht="15" customHeight="1" x14ac:dyDescent="0.25">
      <c r="B37" s="13"/>
      <c r="C37" s="41"/>
      <c r="D37" s="41"/>
      <c r="E37" s="41"/>
      <c r="F37" s="41"/>
      <c r="G37" s="41"/>
      <c r="H37" s="41"/>
      <c r="I37" s="41"/>
      <c r="J37" s="41"/>
      <c r="K37" s="41"/>
      <c r="L37" s="41"/>
      <c r="M37" s="41"/>
      <c r="N37" s="41"/>
      <c r="O37" s="41"/>
      <c r="P37" s="41"/>
    </row>
    <row r="38" spans="2:16" ht="15" customHeight="1" x14ac:dyDescent="0.25">
      <c r="B38" s="13"/>
      <c r="C38" s="41"/>
      <c r="D38" s="41"/>
      <c r="E38" s="41"/>
      <c r="F38" s="41"/>
      <c r="G38" s="41"/>
      <c r="H38" s="41"/>
      <c r="I38" s="41"/>
      <c r="J38" s="41"/>
      <c r="K38" s="41"/>
      <c r="L38" s="41"/>
      <c r="M38" s="41"/>
      <c r="N38" s="41"/>
      <c r="O38" s="41"/>
      <c r="P38" s="41"/>
    </row>
    <row r="39" spans="2:16" ht="15" customHeight="1" x14ac:dyDescent="0.25">
      <c r="B39" s="13"/>
      <c r="C39" s="41"/>
      <c r="D39" s="41"/>
      <c r="E39" s="41"/>
      <c r="F39" s="41"/>
      <c r="G39" s="41"/>
      <c r="H39" s="41"/>
      <c r="I39" s="41"/>
      <c r="J39" s="41"/>
      <c r="K39" s="41"/>
      <c r="L39" s="41"/>
      <c r="M39" s="41"/>
      <c r="N39" s="41"/>
      <c r="O39" s="41"/>
      <c r="P39" s="41"/>
    </row>
    <row r="40" spans="2:16" ht="15" customHeight="1" x14ac:dyDescent="0.25">
      <c r="B40" s="13"/>
      <c r="C40" s="41"/>
      <c r="D40" s="41"/>
      <c r="E40" s="41"/>
      <c r="F40" s="41"/>
      <c r="G40" s="41"/>
      <c r="H40" s="41"/>
      <c r="I40" s="41"/>
      <c r="J40" s="41"/>
      <c r="K40" s="41"/>
      <c r="L40" s="41"/>
      <c r="M40" s="41"/>
      <c r="N40" s="41"/>
      <c r="O40" s="41"/>
      <c r="P40" s="41"/>
    </row>
    <row r="41" spans="2:16" ht="15" customHeight="1" x14ac:dyDescent="0.25">
      <c r="B41" s="13"/>
      <c r="C41" s="41"/>
      <c r="D41" s="41"/>
      <c r="E41" s="41"/>
      <c r="F41" s="41"/>
      <c r="G41" s="41"/>
      <c r="H41" s="41"/>
      <c r="I41" s="41"/>
      <c r="J41" s="41"/>
      <c r="K41" s="41"/>
      <c r="L41" s="41"/>
      <c r="M41" s="41"/>
      <c r="N41" s="41"/>
      <c r="O41" s="41"/>
      <c r="P41" s="41"/>
    </row>
    <row r="42" spans="2:16" ht="15" customHeight="1" x14ac:dyDescent="0.25">
      <c r="B42" s="13"/>
      <c r="C42" s="41"/>
      <c r="D42" s="41"/>
      <c r="E42" s="41"/>
      <c r="F42" s="41"/>
      <c r="G42" s="41"/>
      <c r="H42" s="41"/>
      <c r="I42" s="41"/>
      <c r="J42" s="41"/>
      <c r="K42" s="41"/>
      <c r="L42" s="41"/>
      <c r="M42" s="41"/>
      <c r="N42" s="41"/>
      <c r="O42" s="41"/>
      <c r="P42" s="41"/>
    </row>
    <row r="43" spans="2:16" ht="15" customHeight="1" x14ac:dyDescent="0.25">
      <c r="B43" s="14" t="s">
        <v>139</v>
      </c>
      <c r="C43" s="42" t="s">
        <v>86</v>
      </c>
      <c r="D43" s="41"/>
      <c r="E43" s="41"/>
      <c r="F43" s="41"/>
      <c r="G43" s="41"/>
      <c r="H43" s="41"/>
      <c r="I43" s="41"/>
      <c r="J43" s="41"/>
      <c r="K43" s="41"/>
      <c r="L43" s="41"/>
      <c r="M43" s="41"/>
      <c r="N43" s="41"/>
      <c r="O43" s="41"/>
      <c r="P43" s="41"/>
    </row>
    <row r="45" spans="2:16" ht="15" customHeight="1" x14ac:dyDescent="0.25">
      <c r="B45" s="14" t="s">
        <v>134</v>
      </c>
      <c r="C45" s="33" t="s">
        <v>215</v>
      </c>
    </row>
    <row r="46" spans="2:16" ht="15" customHeight="1" x14ac:dyDescent="0.25">
      <c r="B46" s="13"/>
      <c r="C46" s="37" t="s">
        <v>12</v>
      </c>
      <c r="D46" s="37"/>
      <c r="E46" s="37"/>
      <c r="F46" s="37"/>
      <c r="G46" s="37"/>
      <c r="H46" s="37"/>
      <c r="I46" s="37"/>
      <c r="J46" s="37"/>
      <c r="K46" s="37"/>
    </row>
    <row r="47" spans="2:16" ht="15" customHeight="1" x14ac:dyDescent="0.25">
      <c r="B47" s="15"/>
      <c r="C47" s="16" t="s">
        <v>209</v>
      </c>
      <c r="D47" s="17"/>
      <c r="E47" s="16"/>
      <c r="F47" s="16"/>
      <c r="G47" s="16"/>
      <c r="H47" s="16"/>
      <c r="I47" s="16"/>
      <c r="J47" s="16"/>
      <c r="K47" s="16"/>
      <c r="L47" s="16"/>
    </row>
    <row r="48" spans="2:16" ht="15" customHeight="1" x14ac:dyDescent="0.25">
      <c r="B48" s="18"/>
      <c r="C48" s="41"/>
    </row>
    <row r="49" spans="1:16" ht="26.4" customHeight="1" x14ac:dyDescent="0.25">
      <c r="B49" s="88" t="s">
        <v>109</v>
      </c>
      <c r="C49" s="95" t="s">
        <v>199</v>
      </c>
      <c r="D49" s="95"/>
      <c r="E49" s="95"/>
      <c r="F49" s="95"/>
      <c r="G49" s="95"/>
      <c r="H49" s="95"/>
      <c r="I49" s="95"/>
      <c r="J49" s="95"/>
      <c r="K49" s="95"/>
      <c r="L49" s="95"/>
      <c r="M49" s="95"/>
      <c r="N49" s="95"/>
      <c r="O49" s="95"/>
      <c r="P49" s="95"/>
    </row>
    <row r="50" spans="1:16" ht="15" customHeight="1" x14ac:dyDescent="0.25">
      <c r="B50" s="18"/>
      <c r="C50" s="41"/>
    </row>
    <row r="51" spans="1:16" ht="28.5" customHeight="1" x14ac:dyDescent="0.25">
      <c r="A51" s="13"/>
      <c r="B51" s="14" t="s">
        <v>198</v>
      </c>
      <c r="C51" s="94" t="s">
        <v>133</v>
      </c>
      <c r="D51" s="95"/>
      <c r="E51" s="95"/>
      <c r="F51" s="95"/>
      <c r="G51" s="95"/>
      <c r="H51" s="95"/>
      <c r="I51" s="95"/>
      <c r="J51" s="95"/>
      <c r="K51" s="95"/>
      <c r="L51" s="95"/>
      <c r="M51" s="95"/>
      <c r="N51" s="95"/>
      <c r="O51" s="95"/>
      <c r="P51" s="95"/>
    </row>
    <row r="52" spans="1:16" ht="15" customHeight="1" x14ac:dyDescent="0.25">
      <c r="A52" s="13"/>
      <c r="B52" s="13"/>
    </row>
  </sheetData>
  <mergeCells count="9">
    <mergeCell ref="B1:O1"/>
    <mergeCell ref="C18:P18"/>
    <mergeCell ref="C20:P20"/>
    <mergeCell ref="C23:P23"/>
    <mergeCell ref="C51:P51"/>
    <mergeCell ref="C19:P19"/>
    <mergeCell ref="C49:P49"/>
    <mergeCell ref="C21:P21"/>
    <mergeCell ref="B13:O13"/>
  </mergeCells>
  <phoneticPr fontId="5" type="noConversion"/>
  <hyperlinks>
    <hyperlink ref="C46" location="'External Causes of Deaths'!A1" display="For full details of the external causes of death which have been omitted, please click here. " xr:uid="{00000000-0004-0000-0000-000000000000}"/>
    <hyperlink ref="C46:K46" location="'External Causes of Deaths'!A1" display="For full details of the external causes of death which have been omitted, please click here. " xr:uid="{00000000-0004-0000-0000-000001000000}"/>
    <hyperlink ref="B8" location="'Table 3 - Age Sex'!A1" display="Table 3: Percentage of time in the last six months of life spent at home or in a community setting; by Age and Sex" xr:uid="{00000000-0004-0000-0000-000002000000}"/>
    <hyperlink ref="B10" location="'Table 5 - Urban Rural'!A1" display="Table 5: Percentage of time in the last six months of life spent at home or in a community setting; by Urban/Rural Classification" xr:uid="{00000000-0004-0000-0000-000003000000}"/>
    <hyperlink ref="B9:O9" location="'Table 5 - Urban Rural'!A1" display="Table 5: Percentage of time in the last six months of life spent at home or in a community setting (by Urban/Rural Classification)" xr:uid="{00000000-0004-0000-0000-000004000000}"/>
    <hyperlink ref="B6" location="'Table 1 - HB'!A1" display="Table 1: Percentage of time in the last six months of life spent at home or in a community setting; by Health Board of Residence" xr:uid="{00000000-0004-0000-0000-000005000000}"/>
    <hyperlink ref="B7" location="'Table 2 - HSCP'!A1" display="Table 2: Percentage of time in the last six months of life spent at home or in a community setting (by Health and Social Care Partnership)" xr:uid="{00000000-0004-0000-0000-000006000000}"/>
    <hyperlink ref="B9" location="'Table 4 - Deprivation'!A1" display="Table 4: Percentage of time in the last six months of life spent at home or in a community setting; by Deprivation Category" xr:uid="{00000000-0004-0000-0000-000007000000}"/>
    <hyperlink ref="B11" location="'Table 6 - LA'!A1" display="Table 6: Percentage of time in the last six months of life spent at home or in a community setting; by Local Authority" xr:uid="{00000000-0004-0000-0000-000008000000}"/>
    <hyperlink ref="C19" r:id="rId1" xr:uid="{00000000-0004-0000-0000-000009000000}"/>
    <hyperlink ref="C19:P19" r:id="rId2" display="See Appendix 2 of the full report for more information." xr:uid="{9A743234-A722-4414-A174-CB6A57800D63}"/>
  </hyperlinks>
  <pageMargins left="0.74803149606299213" right="0.74803149606299213" top="0.98425196850393704" bottom="0.98425196850393704" header="0.51181102362204722" footer="0.51181102362204722"/>
  <pageSetup paperSize="9" scale="70" orientation="landscape" r:id="rId3"/>
  <headerFooter alignWithMargins="0"/>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B1:M65"/>
  <sheetViews>
    <sheetView showGridLines="0" zoomScaleNormal="100" zoomScaleSheetLayoutView="100" workbookViewId="0"/>
  </sheetViews>
  <sheetFormatPr defaultColWidth="9.109375" defaultRowHeight="15" customHeight="1" x14ac:dyDescent="0.25"/>
  <cols>
    <col min="1" max="1" width="1.6640625" style="1" customWidth="1"/>
    <col min="2" max="2" width="32.5546875" style="1" customWidth="1"/>
    <col min="3" max="8" width="11.5546875" style="1" customWidth="1"/>
    <col min="9" max="9" width="11.88671875" style="1" customWidth="1"/>
    <col min="10" max="12" width="11.44140625" style="1" customWidth="1"/>
    <col min="13" max="16384" width="9.109375" style="1"/>
  </cols>
  <sheetData>
    <row r="1" spans="2:13" ht="15" customHeight="1" x14ac:dyDescent="0.3">
      <c r="B1" s="98" t="str">
        <f>Notes!B1:O1</f>
        <v/>
      </c>
      <c r="C1" s="98"/>
      <c r="D1" s="98"/>
      <c r="E1" s="98"/>
      <c r="F1" s="98"/>
      <c r="G1" s="98"/>
      <c r="H1" s="98"/>
      <c r="I1" s="98"/>
    </row>
    <row r="2" spans="2:13" ht="15" customHeight="1" x14ac:dyDescent="0.3">
      <c r="B2" s="85" t="s">
        <v>127</v>
      </c>
      <c r="I2" s="64"/>
      <c r="J2" s="64"/>
      <c r="K2" s="64"/>
    </row>
    <row r="3" spans="2:13" ht="15" customHeight="1" x14ac:dyDescent="0.3">
      <c r="B3" s="85" t="s">
        <v>201</v>
      </c>
      <c r="I3" s="64"/>
      <c r="J3" s="64"/>
      <c r="K3" s="64"/>
    </row>
    <row r="4" spans="2:13" ht="15" customHeight="1" x14ac:dyDescent="0.3">
      <c r="B4" s="2"/>
      <c r="I4" s="64"/>
      <c r="J4" s="64"/>
      <c r="K4" s="64"/>
    </row>
    <row r="5" spans="2:13" ht="15" customHeight="1" x14ac:dyDescent="0.25">
      <c r="I5" s="64"/>
      <c r="J5" s="64"/>
      <c r="K5" s="19"/>
      <c r="L5" s="52" t="s">
        <v>179</v>
      </c>
    </row>
    <row r="6" spans="2:13" ht="15" customHeight="1" x14ac:dyDescent="0.25">
      <c r="C6" s="12"/>
      <c r="D6" s="12"/>
      <c r="E6" s="12"/>
      <c r="F6" s="12"/>
      <c r="G6" s="12"/>
      <c r="H6" s="12"/>
      <c r="I6" s="12"/>
      <c r="J6" s="12"/>
      <c r="K6" s="12"/>
    </row>
    <row r="7" spans="2:13" ht="15" customHeight="1" x14ac:dyDescent="0.25">
      <c r="B7" s="20" t="s">
        <v>202</v>
      </c>
      <c r="C7" s="4" t="e">
        <f ca="1">calculation!B$10</f>
        <v>#REF!</v>
      </c>
      <c r="D7" s="4" t="e">
        <f ca="1">calculation!C$10</f>
        <v>#REF!</v>
      </c>
      <c r="E7" s="4" t="e">
        <f ca="1">calculation!D$10</f>
        <v>#REF!</v>
      </c>
      <c r="F7" s="4" t="e">
        <f ca="1">calculation!E$10</f>
        <v>#REF!</v>
      </c>
      <c r="G7" s="4" t="e">
        <f ca="1">calculation!F$10</f>
        <v>#REF!</v>
      </c>
      <c r="H7" s="4" t="e">
        <f ca="1">calculation!G$10</f>
        <v>#REF!</v>
      </c>
      <c r="I7" s="4" t="e">
        <f ca="1">calculation!H$10</f>
        <v>#REF!</v>
      </c>
      <c r="J7" s="4" t="e">
        <f ca="1">calculation!I$10</f>
        <v>#REF!</v>
      </c>
      <c r="K7" s="4" t="e">
        <f ca="1">calculation!J$10</f>
        <v>#REF!</v>
      </c>
      <c r="L7" s="4" t="e">
        <f ca="1">calculation!K$10</f>
        <v>#REF!</v>
      </c>
      <c r="M7" s="21"/>
    </row>
    <row r="8" spans="2:13" ht="15" customHeight="1" x14ac:dyDescent="0.25">
      <c r="B8" s="65" t="s">
        <v>167</v>
      </c>
      <c r="C8" s="6" t="e">
        <f ca="1">VLOOKUP(CONCATENATE(LEFT(C$7, 7), "hb", "NHS ", $B8), [0]!data_range, 5, FALSE)</f>
        <v>#REF!</v>
      </c>
      <c r="D8" s="6" t="e">
        <f ca="1">VLOOKUP(CONCATENATE(LEFT(D$7, 7), "hb", "NHS ", $B8), [0]!data_range, 5, FALSE)</f>
        <v>#REF!</v>
      </c>
      <c r="E8" s="6" t="e">
        <f ca="1">VLOOKUP(CONCATENATE(LEFT(E$7, 7), "hb", "NHS ", $B8), [0]!data_range, 5, FALSE)</f>
        <v>#REF!</v>
      </c>
      <c r="F8" s="6" t="e">
        <f ca="1">VLOOKUP(CONCATENATE(LEFT(F$7, 7), "hb", "NHS ", $B8), [0]!data_range, 5, FALSE)</f>
        <v>#REF!</v>
      </c>
      <c r="G8" s="6" t="e">
        <f ca="1">VLOOKUP(CONCATENATE(LEFT(G$7, 7), "hb", "NHS ", $B8), [0]!data_range, 5, FALSE)</f>
        <v>#REF!</v>
      </c>
      <c r="H8" s="6" t="e">
        <f ca="1">VLOOKUP(CONCATENATE(LEFT(H$7, 7), "hb", "NHS ", $B8), [0]!data_range, 5, FALSE)</f>
        <v>#REF!</v>
      </c>
      <c r="I8" s="6" t="e">
        <f ca="1">VLOOKUP(CONCATENATE(LEFT(I$7, 7), "hb", "NHS ", $B8), [0]!data_range, 5, FALSE)</f>
        <v>#REF!</v>
      </c>
      <c r="J8" s="6" t="e">
        <f ca="1">VLOOKUP(CONCATENATE(LEFT(J$7, 7), "hb", "NHS ", $B8), [0]!data_range, 5, FALSE)</f>
        <v>#REF!</v>
      </c>
      <c r="K8" s="6" t="e">
        <f ca="1">VLOOKUP(CONCATENATE(LEFT(K$7, 7), "hb", "NHS ", $B8), [0]!data_range, 5, FALSE)</f>
        <v>#REF!</v>
      </c>
      <c r="L8" s="6" t="e">
        <f ca="1">VLOOKUP(CONCATENATE(LEFT(L$7, 7), "hb", "NHS ", $B8), [0]!data_range, 5, FALSE)</f>
        <v>#REF!</v>
      </c>
      <c r="M8" s="6"/>
    </row>
    <row r="9" spans="2:13" ht="15" customHeight="1" x14ac:dyDescent="0.25">
      <c r="B9" s="6" t="s">
        <v>0</v>
      </c>
      <c r="C9" s="6" t="e">
        <f ca="1">VLOOKUP(CONCATENATE(LEFT(C$7, 7), "hb", "NHS ", $B9), [0]!data_range, 5, FALSE)</f>
        <v>#REF!</v>
      </c>
      <c r="D9" s="6" t="e">
        <f ca="1">VLOOKUP(CONCATENATE(LEFT(D$7, 7), "hb", "NHS ", $B9), [0]!data_range, 5, FALSE)</f>
        <v>#REF!</v>
      </c>
      <c r="E9" s="6" t="e">
        <f ca="1">VLOOKUP(CONCATENATE(LEFT(E$7, 7), "hb", "NHS ", $B9), [0]!data_range, 5, FALSE)</f>
        <v>#REF!</v>
      </c>
      <c r="F9" s="6" t="e">
        <f ca="1">VLOOKUP(CONCATENATE(LEFT(F$7, 7), "hb", "NHS ", $B9), [0]!data_range, 5, FALSE)</f>
        <v>#REF!</v>
      </c>
      <c r="G9" s="6" t="e">
        <f ca="1">VLOOKUP(CONCATENATE(LEFT(G$7, 7), "hb", "NHS ", $B9), [0]!data_range, 5, FALSE)</f>
        <v>#REF!</v>
      </c>
      <c r="H9" s="6" t="e">
        <f ca="1">VLOOKUP(CONCATENATE(LEFT(H$7, 7), "hb", "NHS ", $B9), [0]!data_range, 5, FALSE)</f>
        <v>#REF!</v>
      </c>
      <c r="I9" s="6" t="e">
        <f ca="1">VLOOKUP(CONCATENATE(LEFT(I$7, 7), "hb", "NHS ", $B9), [0]!data_range, 5, FALSE)</f>
        <v>#REF!</v>
      </c>
      <c r="J9" s="6" t="e">
        <f ca="1">VLOOKUP(CONCATENATE(LEFT(J$7, 7), "hb", "NHS ", $B9), [0]!data_range, 5, FALSE)</f>
        <v>#REF!</v>
      </c>
      <c r="K9" s="6" t="e">
        <f ca="1">VLOOKUP(CONCATENATE(LEFT(K$7, 7), "hb", "NHS ", $B9), [0]!data_range, 5, FALSE)</f>
        <v>#REF!</v>
      </c>
      <c r="L9" s="6" t="e">
        <f ca="1">VLOOKUP(CONCATENATE(LEFT(L$7, 7), "hb", "NHS ", $B9), [0]!data_range, 5, FALSE)</f>
        <v>#REF!</v>
      </c>
      <c r="M9" s="6"/>
    </row>
    <row r="10" spans="2:13" ht="15" customHeight="1" x14ac:dyDescent="0.25">
      <c r="B10" s="6" t="s">
        <v>168</v>
      </c>
      <c r="C10" s="6" t="e">
        <f ca="1">VLOOKUP(CONCATENATE(LEFT(C$7, 7), "hb", "NHS ", $B10), [0]!data_range, 5, FALSE)</f>
        <v>#REF!</v>
      </c>
      <c r="D10" s="6" t="e">
        <f ca="1">VLOOKUP(CONCATENATE(LEFT(D$7, 7), "hb", "NHS ", $B10), [0]!data_range, 5, FALSE)</f>
        <v>#REF!</v>
      </c>
      <c r="E10" s="6" t="e">
        <f ca="1">VLOOKUP(CONCATENATE(LEFT(E$7, 7), "hb", "NHS ", $B10), [0]!data_range, 5, FALSE)</f>
        <v>#REF!</v>
      </c>
      <c r="F10" s="6" t="e">
        <f ca="1">VLOOKUP(CONCATENATE(LEFT(F$7, 7), "hb", "NHS ", $B10), [0]!data_range, 5, FALSE)</f>
        <v>#REF!</v>
      </c>
      <c r="G10" s="6" t="e">
        <f ca="1">VLOOKUP(CONCATENATE(LEFT(G$7, 7), "hb", "NHS ", $B10), [0]!data_range, 5, FALSE)</f>
        <v>#REF!</v>
      </c>
      <c r="H10" s="6" t="e">
        <f ca="1">VLOOKUP(CONCATENATE(LEFT(H$7, 7), "hb", "NHS ", $B10), [0]!data_range, 5, FALSE)</f>
        <v>#REF!</v>
      </c>
      <c r="I10" s="6" t="e">
        <f ca="1">VLOOKUP(CONCATENATE(LEFT(I$7, 7), "hb", "NHS ", $B10), [0]!data_range, 5, FALSE)</f>
        <v>#REF!</v>
      </c>
      <c r="J10" s="6" t="e">
        <f ca="1">VLOOKUP(CONCATENATE(LEFT(J$7, 7), "hb", "NHS ", $B10), [0]!data_range, 5, FALSE)</f>
        <v>#REF!</v>
      </c>
      <c r="K10" s="6" t="e">
        <f ca="1">VLOOKUP(CONCATENATE(LEFT(K$7, 7), "hb", "NHS ", $B10), [0]!data_range, 5, FALSE)</f>
        <v>#REF!</v>
      </c>
      <c r="L10" s="6" t="e">
        <f ca="1">VLOOKUP(CONCATENATE(LEFT(L$7, 7), "hb", "NHS ", $B10), [0]!data_range, 5, FALSE)</f>
        <v>#REF!</v>
      </c>
      <c r="M10" s="6"/>
    </row>
    <row r="11" spans="2:13" ht="15" customHeight="1" x14ac:dyDescent="0.25">
      <c r="B11" s="6" t="s">
        <v>1</v>
      </c>
      <c r="C11" s="6" t="e">
        <f ca="1">VLOOKUP(CONCATENATE(LEFT(C$7, 7), "hb", "NHS ", $B11), [0]!data_range, 5, FALSE)</f>
        <v>#REF!</v>
      </c>
      <c r="D11" s="6" t="e">
        <f ca="1">VLOOKUP(CONCATENATE(LEFT(D$7, 7), "hb", "NHS ", $B11), [0]!data_range, 5, FALSE)</f>
        <v>#REF!</v>
      </c>
      <c r="E11" s="6" t="e">
        <f ca="1">VLOOKUP(CONCATENATE(LEFT(E$7, 7), "hb", "NHS ", $B11), [0]!data_range, 5, FALSE)</f>
        <v>#REF!</v>
      </c>
      <c r="F11" s="6" t="e">
        <f ca="1">VLOOKUP(CONCATENATE(LEFT(F$7, 7), "hb", "NHS ", $B11), [0]!data_range, 5, FALSE)</f>
        <v>#REF!</v>
      </c>
      <c r="G11" s="6" t="e">
        <f ca="1">VLOOKUP(CONCATENATE(LEFT(G$7, 7), "hb", "NHS ", $B11), [0]!data_range, 5, FALSE)</f>
        <v>#REF!</v>
      </c>
      <c r="H11" s="6" t="e">
        <f ca="1">VLOOKUP(CONCATENATE(LEFT(H$7, 7), "hb", "NHS ", $B11), [0]!data_range, 5, FALSE)</f>
        <v>#REF!</v>
      </c>
      <c r="I11" s="6" t="e">
        <f ca="1">VLOOKUP(CONCATENATE(LEFT(I$7, 7), "hb", "NHS ", $B11), [0]!data_range, 5, FALSE)</f>
        <v>#REF!</v>
      </c>
      <c r="J11" s="6" t="e">
        <f ca="1">VLOOKUP(CONCATENATE(LEFT(J$7, 7), "hb", "NHS ", $B11), [0]!data_range, 5, FALSE)</f>
        <v>#REF!</v>
      </c>
      <c r="K11" s="6" t="e">
        <f ca="1">VLOOKUP(CONCATENATE(LEFT(K$7, 7), "hb", "NHS ", $B11), [0]!data_range, 5, FALSE)</f>
        <v>#REF!</v>
      </c>
      <c r="L11" s="6" t="e">
        <f ca="1">VLOOKUP(CONCATENATE(LEFT(L$7, 7), "hb", "NHS ", $B11), [0]!data_range, 5, FALSE)</f>
        <v>#REF!</v>
      </c>
      <c r="M11" s="6"/>
    </row>
    <row r="12" spans="2:13" ht="15" customHeight="1" x14ac:dyDescent="0.25">
      <c r="B12" s="6" t="s">
        <v>2</v>
      </c>
      <c r="C12" s="6" t="e">
        <f ca="1">VLOOKUP(CONCATENATE(LEFT(C$7, 7), "hb", "NHS ", $B12), [0]!data_range, 5, FALSE)</f>
        <v>#REF!</v>
      </c>
      <c r="D12" s="6" t="e">
        <f ca="1">VLOOKUP(CONCATENATE(LEFT(D$7, 7), "hb", "NHS ", $B12), [0]!data_range, 5, FALSE)</f>
        <v>#REF!</v>
      </c>
      <c r="E12" s="6" t="e">
        <f ca="1">VLOOKUP(CONCATENATE(LEFT(E$7, 7), "hb", "NHS ", $B12), [0]!data_range, 5, FALSE)</f>
        <v>#REF!</v>
      </c>
      <c r="F12" s="6" t="e">
        <f ca="1">VLOOKUP(CONCATENATE(LEFT(F$7, 7), "hb", "NHS ", $B12), [0]!data_range, 5, FALSE)</f>
        <v>#REF!</v>
      </c>
      <c r="G12" s="6" t="e">
        <f ca="1">VLOOKUP(CONCATENATE(LEFT(G$7, 7), "hb", "NHS ", $B12), [0]!data_range, 5, FALSE)</f>
        <v>#REF!</v>
      </c>
      <c r="H12" s="6" t="e">
        <f ca="1">VLOOKUP(CONCATENATE(LEFT(H$7, 7), "hb", "NHS ", $B12), [0]!data_range, 5, FALSE)</f>
        <v>#REF!</v>
      </c>
      <c r="I12" s="6" t="e">
        <f ca="1">VLOOKUP(CONCATENATE(LEFT(I$7, 7), "hb", "NHS ", $B12), [0]!data_range, 5, FALSE)</f>
        <v>#REF!</v>
      </c>
      <c r="J12" s="6" t="e">
        <f ca="1">VLOOKUP(CONCATENATE(LEFT(J$7, 7), "hb", "NHS ", $B12), [0]!data_range, 5, FALSE)</f>
        <v>#REF!</v>
      </c>
      <c r="K12" s="6" t="e">
        <f ca="1">VLOOKUP(CONCATENATE(LEFT(K$7, 7), "hb", "NHS ", $B12), [0]!data_range, 5, FALSE)</f>
        <v>#REF!</v>
      </c>
      <c r="L12" s="6" t="e">
        <f ca="1">VLOOKUP(CONCATENATE(LEFT(L$7, 7), "hb", "NHS ", $B12), [0]!data_range, 5, FALSE)</f>
        <v>#REF!</v>
      </c>
      <c r="M12" s="6"/>
    </row>
    <row r="13" spans="2:13" ht="15" customHeight="1" x14ac:dyDescent="0.25">
      <c r="B13" s="6" t="s">
        <v>3</v>
      </c>
      <c r="C13" s="6" t="e">
        <f ca="1">VLOOKUP(CONCATENATE(LEFT(C$7, 7), "hb", "NHS ", $B13), [0]!data_range, 5, FALSE)</f>
        <v>#REF!</v>
      </c>
      <c r="D13" s="6" t="e">
        <f ca="1">VLOOKUP(CONCATENATE(LEFT(D$7, 7), "hb", "NHS ", $B13), [0]!data_range, 5, FALSE)</f>
        <v>#REF!</v>
      </c>
      <c r="E13" s="6" t="e">
        <f ca="1">VLOOKUP(CONCATENATE(LEFT(E$7, 7), "hb", "NHS ", $B13), [0]!data_range, 5, FALSE)</f>
        <v>#REF!</v>
      </c>
      <c r="F13" s="6" t="e">
        <f ca="1">VLOOKUP(CONCATENATE(LEFT(F$7, 7), "hb", "NHS ", $B13), [0]!data_range, 5, FALSE)</f>
        <v>#REF!</v>
      </c>
      <c r="G13" s="6" t="e">
        <f ca="1">VLOOKUP(CONCATENATE(LEFT(G$7, 7), "hb", "NHS ", $B13), [0]!data_range, 5, FALSE)</f>
        <v>#REF!</v>
      </c>
      <c r="H13" s="6" t="e">
        <f ca="1">VLOOKUP(CONCATENATE(LEFT(H$7, 7), "hb", "NHS ", $B13), [0]!data_range, 5, FALSE)</f>
        <v>#REF!</v>
      </c>
      <c r="I13" s="6" t="e">
        <f ca="1">VLOOKUP(CONCATENATE(LEFT(I$7, 7), "hb", "NHS ", $B13), [0]!data_range, 5, FALSE)</f>
        <v>#REF!</v>
      </c>
      <c r="J13" s="6" t="e">
        <f ca="1">VLOOKUP(CONCATENATE(LEFT(J$7, 7), "hb", "NHS ", $B13), [0]!data_range, 5, FALSE)</f>
        <v>#REF!</v>
      </c>
      <c r="K13" s="6" t="e">
        <f ca="1">VLOOKUP(CONCATENATE(LEFT(K$7, 7), "hb", "NHS ", $B13), [0]!data_range, 5, FALSE)</f>
        <v>#REF!</v>
      </c>
      <c r="L13" s="6" t="e">
        <f ca="1">VLOOKUP(CONCATENATE(LEFT(L$7, 7), "hb", "NHS ", $B13), [0]!data_range, 5, FALSE)</f>
        <v>#REF!</v>
      </c>
      <c r="M13" s="6"/>
    </row>
    <row r="14" spans="2:13" ht="15" customHeight="1" x14ac:dyDescent="0.25">
      <c r="B14" s="6" t="s">
        <v>169</v>
      </c>
      <c r="C14" s="6" t="e">
        <f ca="1">VLOOKUP(CONCATENATE(LEFT(C$7, 7), "hb", "NHS ", $B14), [0]!data_range, 5, FALSE)</f>
        <v>#REF!</v>
      </c>
      <c r="D14" s="6" t="e">
        <f ca="1">VLOOKUP(CONCATENATE(LEFT(D$7, 7), "hb", "NHS ", $B14), [0]!data_range, 5, FALSE)</f>
        <v>#REF!</v>
      </c>
      <c r="E14" s="6" t="e">
        <f ca="1">VLOOKUP(CONCATENATE(LEFT(E$7, 7), "hb", "NHS ", $B14), [0]!data_range, 5, FALSE)</f>
        <v>#REF!</v>
      </c>
      <c r="F14" s="6" t="e">
        <f ca="1">VLOOKUP(CONCATENATE(LEFT(F$7, 7), "hb", "NHS ", $B14), [0]!data_range, 5, FALSE)</f>
        <v>#REF!</v>
      </c>
      <c r="G14" s="6" t="e">
        <f ca="1">VLOOKUP(CONCATENATE(LEFT(G$7, 7), "hb", "NHS ", $B14), [0]!data_range, 5, FALSE)</f>
        <v>#REF!</v>
      </c>
      <c r="H14" s="6" t="e">
        <f ca="1">VLOOKUP(CONCATENATE(LEFT(H$7, 7), "hb", "NHS ", $B14), [0]!data_range, 5, FALSE)</f>
        <v>#REF!</v>
      </c>
      <c r="I14" s="6" t="e">
        <f ca="1">VLOOKUP(CONCATENATE(LEFT(I$7, 7), "hb", "NHS ", $B14), [0]!data_range, 5, FALSE)</f>
        <v>#REF!</v>
      </c>
      <c r="J14" s="6" t="e">
        <f ca="1">VLOOKUP(CONCATENATE(LEFT(J$7, 7), "hb", "NHS ", $B14), [0]!data_range, 5, FALSE)</f>
        <v>#REF!</v>
      </c>
      <c r="K14" s="6" t="e">
        <f ca="1">VLOOKUP(CONCATENATE(LEFT(K$7, 7), "hb", "NHS ", $B14), [0]!data_range, 5, FALSE)</f>
        <v>#REF!</v>
      </c>
      <c r="L14" s="6" t="e">
        <f ca="1">VLOOKUP(CONCATENATE(LEFT(L$7, 7), "hb", "NHS ", $B14), [0]!data_range, 5, FALSE)</f>
        <v>#REF!</v>
      </c>
      <c r="M14" s="6"/>
    </row>
    <row r="15" spans="2:13" ht="15" customHeight="1" x14ac:dyDescent="0.25">
      <c r="B15" s="6" t="s">
        <v>4</v>
      </c>
      <c r="C15" s="6" t="e">
        <f ca="1">VLOOKUP(CONCATENATE(LEFT(C$7, 7), "hb", "NHS ", $B15), [0]!data_range, 5, FALSE)</f>
        <v>#REF!</v>
      </c>
      <c r="D15" s="6" t="e">
        <f ca="1">VLOOKUP(CONCATENATE(LEFT(D$7, 7), "hb", "NHS ", $B15), [0]!data_range, 5, FALSE)</f>
        <v>#REF!</v>
      </c>
      <c r="E15" s="6" t="e">
        <f ca="1">VLOOKUP(CONCATENATE(LEFT(E$7, 7), "hb", "NHS ", $B15), [0]!data_range, 5, FALSE)</f>
        <v>#REF!</v>
      </c>
      <c r="F15" s="6" t="e">
        <f ca="1">VLOOKUP(CONCATENATE(LEFT(F$7, 7), "hb", "NHS ", $B15), [0]!data_range, 5, FALSE)</f>
        <v>#REF!</v>
      </c>
      <c r="G15" s="6" t="e">
        <f ca="1">VLOOKUP(CONCATENATE(LEFT(G$7, 7), "hb", "NHS ", $B15), [0]!data_range, 5, FALSE)</f>
        <v>#REF!</v>
      </c>
      <c r="H15" s="6" t="e">
        <f ca="1">VLOOKUP(CONCATENATE(LEFT(H$7, 7), "hb", "NHS ", $B15), [0]!data_range, 5, FALSE)</f>
        <v>#REF!</v>
      </c>
      <c r="I15" s="6" t="e">
        <f ca="1">VLOOKUP(CONCATENATE(LEFT(I$7, 7), "hb", "NHS ", $B15), [0]!data_range, 5, FALSE)</f>
        <v>#REF!</v>
      </c>
      <c r="J15" s="6" t="e">
        <f ca="1">VLOOKUP(CONCATENATE(LEFT(J$7, 7), "hb", "NHS ", $B15), [0]!data_range, 5, FALSE)</f>
        <v>#REF!</v>
      </c>
      <c r="K15" s="6" t="e">
        <f ca="1">VLOOKUP(CONCATENATE(LEFT(K$7, 7), "hb", "NHS ", $B15), [0]!data_range, 5, FALSE)</f>
        <v>#REF!</v>
      </c>
      <c r="L15" s="6" t="e">
        <f ca="1">VLOOKUP(CONCATENATE(LEFT(L$7, 7), "hb", "NHS ", $B15), [0]!data_range, 5, FALSE)</f>
        <v>#REF!</v>
      </c>
      <c r="M15" s="6"/>
    </row>
    <row r="16" spans="2:13" ht="15" customHeight="1" x14ac:dyDescent="0.25">
      <c r="B16" s="6" t="s">
        <v>5</v>
      </c>
      <c r="C16" s="6" t="e">
        <f ca="1">VLOOKUP(CONCATENATE(LEFT(C$7, 7), "hb", "NHS ", $B16), [0]!data_range, 5, FALSE)</f>
        <v>#REF!</v>
      </c>
      <c r="D16" s="6" t="e">
        <f ca="1">VLOOKUP(CONCATENATE(LEFT(D$7, 7), "hb", "NHS ", $B16), [0]!data_range, 5, FALSE)</f>
        <v>#REF!</v>
      </c>
      <c r="E16" s="6" t="e">
        <f ca="1">VLOOKUP(CONCATENATE(LEFT(E$7, 7), "hb", "NHS ", $B16), [0]!data_range, 5, FALSE)</f>
        <v>#REF!</v>
      </c>
      <c r="F16" s="6" t="e">
        <f ca="1">VLOOKUP(CONCATENATE(LEFT(F$7, 7), "hb", "NHS ", $B16), [0]!data_range, 5, FALSE)</f>
        <v>#REF!</v>
      </c>
      <c r="G16" s="6" t="e">
        <f ca="1">VLOOKUP(CONCATENATE(LEFT(G$7, 7), "hb", "NHS ", $B16), [0]!data_range, 5, FALSE)</f>
        <v>#REF!</v>
      </c>
      <c r="H16" s="6" t="e">
        <f ca="1">VLOOKUP(CONCATENATE(LEFT(H$7, 7), "hb", "NHS ", $B16), [0]!data_range, 5, FALSE)</f>
        <v>#REF!</v>
      </c>
      <c r="I16" s="6" t="e">
        <f ca="1">VLOOKUP(CONCATENATE(LEFT(I$7, 7), "hb", "NHS ", $B16), [0]!data_range, 5, FALSE)</f>
        <v>#REF!</v>
      </c>
      <c r="J16" s="6" t="e">
        <f ca="1">VLOOKUP(CONCATENATE(LEFT(J$7, 7), "hb", "NHS ", $B16), [0]!data_range, 5, FALSE)</f>
        <v>#REF!</v>
      </c>
      <c r="K16" s="6" t="e">
        <f ca="1">VLOOKUP(CONCATENATE(LEFT(K$7, 7), "hb", "NHS ", $B16), [0]!data_range, 5, FALSE)</f>
        <v>#REF!</v>
      </c>
      <c r="L16" s="6" t="e">
        <f ca="1">VLOOKUP(CONCATENATE(LEFT(L$7, 7), "hb", "NHS ", $B16), [0]!data_range, 5, FALSE)</f>
        <v>#REF!</v>
      </c>
      <c r="M16" s="6"/>
    </row>
    <row r="17" spans="2:12" ht="15" customHeight="1" x14ac:dyDescent="0.25">
      <c r="B17" s="6" t="s">
        <v>6</v>
      </c>
      <c r="C17" s="6" t="e">
        <f ca="1">VLOOKUP(CONCATENATE(LEFT(C$7, 7), "hb", "NHS ", $B17), [0]!data_range, 5, FALSE)</f>
        <v>#REF!</v>
      </c>
      <c r="D17" s="6" t="e">
        <f ca="1">VLOOKUP(CONCATENATE(LEFT(D$7, 7), "hb", "NHS ", $B17), [0]!data_range, 5, FALSE)</f>
        <v>#REF!</v>
      </c>
      <c r="E17" s="6" t="e">
        <f ca="1">VLOOKUP(CONCATENATE(LEFT(E$7, 7), "hb", "NHS ", $B17), [0]!data_range, 5, FALSE)</f>
        <v>#REF!</v>
      </c>
      <c r="F17" s="6" t="e">
        <f ca="1">VLOOKUP(CONCATENATE(LEFT(F$7, 7), "hb", "NHS ", $B17), [0]!data_range, 5, FALSE)</f>
        <v>#REF!</v>
      </c>
      <c r="G17" s="6" t="e">
        <f ca="1">VLOOKUP(CONCATENATE(LEFT(G$7, 7), "hb", "NHS ", $B17), [0]!data_range, 5, FALSE)</f>
        <v>#REF!</v>
      </c>
      <c r="H17" s="6" t="e">
        <f ca="1">VLOOKUP(CONCATENATE(LEFT(H$7, 7), "hb", "NHS ", $B17), [0]!data_range, 5, FALSE)</f>
        <v>#REF!</v>
      </c>
      <c r="I17" s="6" t="e">
        <f ca="1">VLOOKUP(CONCATENATE(LEFT(I$7, 7), "hb", "NHS ", $B17), [0]!data_range, 5, FALSE)</f>
        <v>#REF!</v>
      </c>
      <c r="J17" s="6" t="e">
        <f ca="1">VLOOKUP(CONCATENATE(LEFT(J$7, 7), "hb", "NHS ", $B17), [0]!data_range, 5, FALSE)</f>
        <v>#REF!</v>
      </c>
      <c r="K17" s="6" t="e">
        <f ca="1">VLOOKUP(CONCATENATE(LEFT(K$7, 7), "hb", "NHS ", $B17), [0]!data_range, 5, FALSE)</f>
        <v>#REF!</v>
      </c>
      <c r="L17" s="6" t="e">
        <f ca="1">VLOOKUP(CONCATENATE(LEFT(L$7, 7), "hb", "NHS ", $B17), [0]!data_range, 5, FALSE)</f>
        <v>#REF!</v>
      </c>
    </row>
    <row r="18" spans="2:12" ht="15" customHeight="1" x14ac:dyDescent="0.25">
      <c r="B18" s="6" t="s">
        <v>7</v>
      </c>
      <c r="C18" s="6" t="e">
        <f ca="1">VLOOKUP(CONCATENATE(LEFT(C$7, 7), "hb", "NHS ", $B18), [0]!data_range, 5, FALSE)</f>
        <v>#REF!</v>
      </c>
      <c r="D18" s="6" t="e">
        <f ca="1">VLOOKUP(CONCATENATE(LEFT(D$7, 7), "hb", "NHS ", $B18), [0]!data_range, 5, FALSE)</f>
        <v>#REF!</v>
      </c>
      <c r="E18" s="6" t="e">
        <f ca="1">VLOOKUP(CONCATENATE(LEFT(E$7, 7), "hb", "NHS ", $B18), [0]!data_range, 5, FALSE)</f>
        <v>#REF!</v>
      </c>
      <c r="F18" s="6" t="e">
        <f ca="1">VLOOKUP(CONCATENATE(LEFT(F$7, 7), "hb", "NHS ", $B18), [0]!data_range, 5, FALSE)</f>
        <v>#REF!</v>
      </c>
      <c r="G18" s="6" t="e">
        <f ca="1">VLOOKUP(CONCATENATE(LEFT(G$7, 7), "hb", "NHS ", $B18), [0]!data_range, 5, FALSE)</f>
        <v>#REF!</v>
      </c>
      <c r="H18" s="6" t="e">
        <f ca="1">VLOOKUP(CONCATENATE(LEFT(H$7, 7), "hb", "NHS ", $B18), [0]!data_range, 5, FALSE)</f>
        <v>#REF!</v>
      </c>
      <c r="I18" s="6" t="e">
        <f ca="1">VLOOKUP(CONCATENATE(LEFT(I$7, 7), "hb", "NHS ", $B18), [0]!data_range, 5, FALSE)</f>
        <v>#REF!</v>
      </c>
      <c r="J18" s="6" t="e">
        <f ca="1">VLOOKUP(CONCATENATE(LEFT(J$7, 7), "hb", "NHS ", $B18), [0]!data_range, 5, FALSE)</f>
        <v>#REF!</v>
      </c>
      <c r="K18" s="6" t="e">
        <f ca="1">VLOOKUP(CONCATENATE(LEFT(K$7, 7), "hb", "NHS ", $B18), [0]!data_range, 5, FALSE)</f>
        <v>#REF!</v>
      </c>
      <c r="L18" s="6" t="e">
        <f ca="1">VLOOKUP(CONCATENATE(LEFT(L$7, 7), "hb", "NHS ", $B18), [0]!data_range, 5, FALSE)</f>
        <v>#REF!</v>
      </c>
    </row>
    <row r="19" spans="2:12" ht="15" customHeight="1" x14ac:dyDescent="0.25">
      <c r="B19" s="6" t="s">
        <v>8</v>
      </c>
      <c r="C19" s="6" t="e">
        <f ca="1">VLOOKUP(CONCATENATE(LEFT(C$7, 7), "hb", "NHS ", $B19), [0]!data_range, 5, FALSE)</f>
        <v>#REF!</v>
      </c>
      <c r="D19" s="6" t="e">
        <f ca="1">VLOOKUP(CONCATENATE(LEFT(D$7, 7), "hb", "NHS ", $B19), [0]!data_range, 5, FALSE)</f>
        <v>#REF!</v>
      </c>
      <c r="E19" s="6" t="e">
        <f ca="1">VLOOKUP(CONCATENATE(LEFT(E$7, 7), "hb", "NHS ", $B19), [0]!data_range, 5, FALSE)</f>
        <v>#REF!</v>
      </c>
      <c r="F19" s="6" t="e">
        <f ca="1">VLOOKUP(CONCATENATE(LEFT(F$7, 7), "hb", "NHS ", $B19), [0]!data_range, 5, FALSE)</f>
        <v>#REF!</v>
      </c>
      <c r="G19" s="6" t="e">
        <f ca="1">VLOOKUP(CONCATENATE(LEFT(G$7, 7), "hb", "NHS ", $B19), [0]!data_range, 5, FALSE)</f>
        <v>#REF!</v>
      </c>
      <c r="H19" s="6" t="e">
        <f ca="1">VLOOKUP(CONCATENATE(LEFT(H$7, 7), "hb", "NHS ", $B19), [0]!data_range, 5, FALSE)</f>
        <v>#REF!</v>
      </c>
      <c r="I19" s="6" t="e">
        <f ca="1">VLOOKUP(CONCATENATE(LEFT(I$7, 7), "hb", "NHS ", $B19), [0]!data_range, 5, FALSE)</f>
        <v>#REF!</v>
      </c>
      <c r="J19" s="6" t="e">
        <f ca="1">VLOOKUP(CONCATENATE(LEFT(J$7, 7), "hb", "NHS ", $B19), [0]!data_range, 5, FALSE)</f>
        <v>#REF!</v>
      </c>
      <c r="K19" s="6" t="e">
        <f ca="1">VLOOKUP(CONCATENATE(LEFT(K$7, 7), "hb", "NHS ", $B19), [0]!data_range, 5, FALSE)</f>
        <v>#REF!</v>
      </c>
      <c r="L19" s="6" t="e">
        <f ca="1">VLOOKUP(CONCATENATE(LEFT(L$7, 7), "hb", "NHS ", $B19), [0]!data_range, 5, FALSE)</f>
        <v>#REF!</v>
      </c>
    </row>
    <row r="20" spans="2:12" ht="15" customHeight="1" x14ac:dyDescent="0.25">
      <c r="B20" s="6" t="s">
        <v>9</v>
      </c>
      <c r="C20" s="6" t="e">
        <f ca="1">VLOOKUP(CONCATENATE(LEFT(C$7, 7), "hb", "NHS ", $B20), [0]!data_range, 5, FALSE)</f>
        <v>#REF!</v>
      </c>
      <c r="D20" s="6" t="e">
        <f ca="1">VLOOKUP(CONCATENATE(LEFT(D$7, 7), "hb", "NHS ", $B20), [0]!data_range, 5, FALSE)</f>
        <v>#REF!</v>
      </c>
      <c r="E20" s="6" t="e">
        <f ca="1">VLOOKUP(CONCATENATE(LEFT(E$7, 7), "hb", "NHS ", $B20), [0]!data_range, 5, FALSE)</f>
        <v>#REF!</v>
      </c>
      <c r="F20" s="6" t="e">
        <f ca="1">VLOOKUP(CONCATENATE(LEFT(F$7, 7), "hb", "NHS ", $B20), [0]!data_range, 5, FALSE)</f>
        <v>#REF!</v>
      </c>
      <c r="G20" s="6" t="e">
        <f ca="1">VLOOKUP(CONCATENATE(LEFT(G$7, 7), "hb", "NHS ", $B20), [0]!data_range, 5, FALSE)</f>
        <v>#REF!</v>
      </c>
      <c r="H20" s="6" t="e">
        <f ca="1">VLOOKUP(CONCATENATE(LEFT(H$7, 7), "hb", "NHS ", $B20), [0]!data_range, 5, FALSE)</f>
        <v>#REF!</v>
      </c>
      <c r="I20" s="6" t="e">
        <f ca="1">VLOOKUP(CONCATENATE(LEFT(I$7, 7), "hb", "NHS ", $B20), [0]!data_range, 5, FALSE)</f>
        <v>#REF!</v>
      </c>
      <c r="J20" s="6" t="e">
        <f ca="1">VLOOKUP(CONCATENATE(LEFT(J$7, 7), "hb", "NHS ", $B20), [0]!data_range, 5, FALSE)</f>
        <v>#REF!</v>
      </c>
      <c r="K20" s="6" t="e">
        <f ca="1">VLOOKUP(CONCATENATE(LEFT(K$7, 7), "hb", "NHS ", $B20), [0]!data_range, 5, FALSE)</f>
        <v>#REF!</v>
      </c>
      <c r="L20" s="6" t="e">
        <f ca="1">VLOOKUP(CONCATENATE(LEFT(L$7, 7), "hb", "NHS ", $B20), [0]!data_range, 5, FALSE)</f>
        <v>#REF!</v>
      </c>
    </row>
    <row r="21" spans="2:12" ht="15" customHeight="1" x14ac:dyDescent="0.25">
      <c r="B21" s="8" t="s">
        <v>10</v>
      </c>
      <c r="C21" s="6" t="e">
        <f ca="1">VLOOKUP(CONCATENATE(LEFT(C$7, 7), "hb", "NHS ", $B21), [0]!data_range, 5, FALSE)</f>
        <v>#REF!</v>
      </c>
      <c r="D21" s="6" t="e">
        <f ca="1">VLOOKUP(CONCATENATE(LEFT(D$7, 7), "hb", "NHS ", $B21), [0]!data_range, 5, FALSE)</f>
        <v>#REF!</v>
      </c>
      <c r="E21" s="6" t="e">
        <f ca="1">VLOOKUP(CONCATENATE(LEFT(E$7, 7), "hb", "NHS ", $B21), [0]!data_range, 5, FALSE)</f>
        <v>#REF!</v>
      </c>
      <c r="F21" s="6" t="e">
        <f ca="1">VLOOKUP(CONCATENATE(LEFT(F$7, 7), "hb", "NHS ", $B21), [0]!data_range, 5, FALSE)</f>
        <v>#REF!</v>
      </c>
      <c r="G21" s="6" t="e">
        <f ca="1">VLOOKUP(CONCATENATE(LEFT(G$7, 7), "hb", "NHS ", $B21), [0]!data_range, 5, FALSE)</f>
        <v>#REF!</v>
      </c>
      <c r="H21" s="6" t="e">
        <f ca="1">VLOOKUP(CONCATENATE(LEFT(H$7, 7), "hb", "NHS ", $B21), [0]!data_range, 5, FALSE)</f>
        <v>#REF!</v>
      </c>
      <c r="I21" s="6" t="e">
        <f ca="1">VLOOKUP(CONCATENATE(LEFT(I$7, 7), "hb", "NHS ", $B21), [0]!data_range, 5, FALSE)</f>
        <v>#REF!</v>
      </c>
      <c r="J21" s="6" t="e">
        <f ca="1">VLOOKUP(CONCATENATE(LEFT(J$7, 7), "hb", "NHS ", $B21), [0]!data_range, 5, FALSE)</f>
        <v>#REF!</v>
      </c>
      <c r="K21" s="6" t="e">
        <f ca="1">VLOOKUP(CONCATENATE(LEFT(K$7, 7), "hb", "NHS ", $B21), [0]!data_range, 5, FALSE)</f>
        <v>#REF!</v>
      </c>
      <c r="L21" s="6" t="e">
        <f ca="1">VLOOKUP(CONCATENATE(LEFT(L$7, 7), "hb", "NHS ", $B21), [0]!data_range, 5, FALSE)</f>
        <v>#REF!</v>
      </c>
    </row>
    <row r="22" spans="2:12" ht="15" customHeight="1" x14ac:dyDescent="0.25">
      <c r="B22" s="22" t="s">
        <v>11</v>
      </c>
      <c r="C22" s="23" t="e">
        <f ca="1">VLOOKUP(CONCATENATE(LEFT(C$7, 7), "Scotland", $B22), [0]!data_range, 5, FALSE)</f>
        <v>#REF!</v>
      </c>
      <c r="D22" s="23" t="e">
        <f ca="1">VLOOKUP(CONCATENATE(LEFT(D$7, 7), "Scotland", $B22), [0]!data_range, 5, FALSE)</f>
        <v>#REF!</v>
      </c>
      <c r="E22" s="23" t="e">
        <f ca="1">VLOOKUP(CONCATENATE(LEFT(E$7, 7), "Scotland", $B22), [0]!data_range, 5, FALSE)</f>
        <v>#REF!</v>
      </c>
      <c r="F22" s="23" t="e">
        <f ca="1">VLOOKUP(CONCATENATE(LEFT(F$7, 7), "Scotland", $B22), [0]!data_range, 5, FALSE)</f>
        <v>#REF!</v>
      </c>
      <c r="G22" s="23" t="e">
        <f ca="1">VLOOKUP(CONCATENATE(LEFT(G$7, 7), "Scotland", $B22), [0]!data_range, 5, FALSE)</f>
        <v>#REF!</v>
      </c>
      <c r="H22" s="23" t="e">
        <f ca="1">VLOOKUP(CONCATENATE(LEFT(H$7, 7), "Scotland", $B22), [0]!data_range, 5, FALSE)</f>
        <v>#REF!</v>
      </c>
      <c r="I22" s="23" t="e">
        <f ca="1">VLOOKUP(CONCATENATE(LEFT(I$7, 7), "Scotland", $B22), [0]!data_range, 5, FALSE)</f>
        <v>#REF!</v>
      </c>
      <c r="J22" s="23" t="e">
        <f ca="1">VLOOKUP(CONCATENATE(LEFT(J$7, 7), "Scotland", $B22), [0]!data_range, 5, FALSE)</f>
        <v>#REF!</v>
      </c>
      <c r="K22" s="23" t="e">
        <f ca="1">VLOOKUP(CONCATENATE(LEFT(K$7, 7), "Scotland", $B22), [0]!data_range, 5, FALSE)</f>
        <v>#REF!</v>
      </c>
      <c r="L22" s="23" t="e">
        <f ca="1">VLOOKUP(CONCATENATE(LEFT(L$7, 7), "Scotland", $B22), [0]!data_range, 5, FALSE)</f>
        <v>#REF!</v>
      </c>
    </row>
    <row r="23" spans="2:12" ht="15" customHeight="1" x14ac:dyDescent="0.25">
      <c r="C23" s="6"/>
      <c r="I23" s="64"/>
      <c r="J23" s="64"/>
      <c r="K23" s="64"/>
    </row>
    <row r="24" spans="2:12" ht="15" customHeight="1" x14ac:dyDescent="0.25">
      <c r="B24" s="66" t="s">
        <v>14</v>
      </c>
      <c r="I24" s="64"/>
      <c r="J24" s="64"/>
      <c r="K24" s="64"/>
    </row>
    <row r="25" spans="2:12" ht="15" customHeight="1" x14ac:dyDescent="0.25">
      <c r="I25" s="64"/>
      <c r="J25" s="64"/>
      <c r="K25" s="64"/>
    </row>
    <row r="26" spans="2:12" ht="15" customHeight="1" x14ac:dyDescent="0.25">
      <c r="B26" s="5" t="s">
        <v>208</v>
      </c>
      <c r="E26" s="6"/>
      <c r="F26" s="6"/>
      <c r="G26" s="6"/>
      <c r="I26" s="64"/>
      <c r="J26" s="64"/>
      <c r="K26" s="64"/>
    </row>
    <row r="27" spans="2:12" ht="15" customHeight="1" x14ac:dyDescent="0.25">
      <c r="B27" s="5" t="s">
        <v>200</v>
      </c>
      <c r="E27" s="6"/>
      <c r="F27" s="6"/>
      <c r="G27" s="6"/>
      <c r="I27" s="64"/>
      <c r="J27" s="64"/>
      <c r="K27" s="64"/>
    </row>
    <row r="28" spans="2:12" ht="15" customHeight="1" x14ac:dyDescent="0.25">
      <c r="B28" s="5" t="e">
        <f ca="1" xml:space="preserve"> "p. " &amp; calculation!$E$14</f>
        <v>#REF!</v>
      </c>
      <c r="E28" s="6"/>
      <c r="F28" s="6"/>
      <c r="G28" s="6"/>
      <c r="I28" s="64"/>
      <c r="J28" s="64"/>
      <c r="K28" s="64"/>
    </row>
    <row r="29" spans="2:12" ht="15" customHeight="1" x14ac:dyDescent="0.25">
      <c r="B29" s="5" t="str">
        <f>"1. " &amp; calculation!E17</f>
        <v>1. Figures in 2020/21 and 2021/22 are likely to have been affected by the impact of COVID-19 on hospital stays.</v>
      </c>
      <c r="E29" s="6"/>
      <c r="F29" s="6"/>
      <c r="G29" s="6"/>
      <c r="I29" s="64"/>
      <c r="J29" s="64"/>
      <c r="K29" s="64"/>
    </row>
    <row r="30" spans="2:12" ht="15" customHeight="1" x14ac:dyDescent="0.25">
      <c r="E30" s="6"/>
      <c r="F30" s="6"/>
      <c r="G30" s="6"/>
      <c r="I30" s="64"/>
      <c r="J30" s="64"/>
      <c r="K30" s="64"/>
    </row>
    <row r="31" spans="2:12" ht="15" customHeight="1" x14ac:dyDescent="0.25">
      <c r="E31" s="6"/>
      <c r="F31" s="6"/>
      <c r="G31" s="6"/>
      <c r="I31" s="64"/>
      <c r="J31" s="64"/>
      <c r="K31" s="64"/>
    </row>
    <row r="32" spans="2:12" ht="15" customHeight="1" x14ac:dyDescent="0.25">
      <c r="E32" s="6"/>
      <c r="F32" s="6"/>
      <c r="G32" s="6"/>
      <c r="I32" s="64"/>
      <c r="J32" s="64"/>
      <c r="K32" s="64"/>
    </row>
    <row r="33" spans="5:11" ht="15" customHeight="1" x14ac:dyDescent="0.25">
      <c r="E33" s="6"/>
      <c r="F33" s="6"/>
      <c r="G33" s="6"/>
      <c r="I33" s="64"/>
      <c r="J33" s="64"/>
      <c r="K33" s="64"/>
    </row>
    <row r="34" spans="5:11" ht="15" customHeight="1" x14ac:dyDescent="0.25">
      <c r="E34" s="6"/>
      <c r="F34" s="6"/>
      <c r="G34" s="6"/>
      <c r="I34" s="64"/>
      <c r="J34" s="64"/>
      <c r="K34" s="64"/>
    </row>
    <row r="35" spans="5:11" ht="15" customHeight="1" x14ac:dyDescent="0.25">
      <c r="E35" s="6"/>
      <c r="F35" s="6"/>
      <c r="G35" s="6"/>
      <c r="I35" s="64"/>
      <c r="J35" s="64"/>
      <c r="K35" s="64"/>
    </row>
    <row r="36" spans="5:11" ht="15" customHeight="1" x14ac:dyDescent="0.25">
      <c r="E36" s="6"/>
      <c r="F36" s="6"/>
      <c r="G36" s="6"/>
      <c r="I36" s="64"/>
      <c r="J36" s="64"/>
      <c r="K36" s="64"/>
    </row>
    <row r="37" spans="5:11" ht="15" customHeight="1" x14ac:dyDescent="0.25">
      <c r="E37" s="6"/>
      <c r="F37" s="6"/>
      <c r="G37" s="6"/>
      <c r="I37" s="64"/>
      <c r="J37" s="64"/>
      <c r="K37" s="64"/>
    </row>
    <row r="38" spans="5:11" ht="15" customHeight="1" x14ac:dyDescent="0.25">
      <c r="E38" s="6"/>
      <c r="F38" s="6"/>
      <c r="G38" s="6"/>
      <c r="I38" s="64"/>
      <c r="J38" s="64"/>
      <c r="K38" s="64"/>
    </row>
    <row r="39" spans="5:11" ht="15" customHeight="1" x14ac:dyDescent="0.25">
      <c r="I39" s="64"/>
      <c r="J39" s="64"/>
      <c r="K39" s="64"/>
    </row>
    <row r="40" spans="5:11" ht="15" customHeight="1" x14ac:dyDescent="0.25">
      <c r="I40" s="64"/>
      <c r="J40" s="64"/>
      <c r="K40" s="64"/>
    </row>
    <row r="41" spans="5:11" ht="15" customHeight="1" x14ac:dyDescent="0.25">
      <c r="I41" s="64"/>
      <c r="J41" s="64"/>
      <c r="K41" s="64"/>
    </row>
    <row r="42" spans="5:11" ht="15" customHeight="1" x14ac:dyDescent="0.25">
      <c r="I42" s="64"/>
      <c r="J42" s="64"/>
      <c r="K42" s="64"/>
    </row>
    <row r="43" spans="5:11" ht="15" customHeight="1" x14ac:dyDescent="0.25">
      <c r="I43" s="64"/>
      <c r="J43" s="64"/>
      <c r="K43" s="64"/>
    </row>
    <row r="44" spans="5:11" ht="15" customHeight="1" x14ac:dyDescent="0.25">
      <c r="I44" s="64"/>
      <c r="J44" s="64"/>
      <c r="K44" s="64"/>
    </row>
    <row r="45" spans="5:11" ht="15" customHeight="1" x14ac:dyDescent="0.25">
      <c r="I45" s="64"/>
      <c r="J45" s="64"/>
      <c r="K45" s="64"/>
    </row>
    <row r="46" spans="5:11" ht="15" customHeight="1" x14ac:dyDescent="0.25">
      <c r="I46" s="64"/>
      <c r="J46" s="64"/>
      <c r="K46" s="64"/>
    </row>
    <row r="47" spans="5:11" ht="15" customHeight="1" x14ac:dyDescent="0.25">
      <c r="I47" s="64"/>
      <c r="J47" s="64"/>
      <c r="K47" s="64"/>
    </row>
    <row r="48" spans="5:11" ht="15" customHeight="1" x14ac:dyDescent="0.25">
      <c r="I48" s="64"/>
      <c r="J48" s="64"/>
      <c r="K48" s="64"/>
    </row>
    <row r="49" spans="9:11" ht="15" customHeight="1" x14ac:dyDescent="0.25">
      <c r="I49" s="64"/>
      <c r="J49" s="64"/>
      <c r="K49" s="64"/>
    </row>
    <row r="50" spans="9:11" ht="15" customHeight="1" x14ac:dyDescent="0.25">
      <c r="I50" s="64"/>
      <c r="J50" s="64"/>
      <c r="K50" s="64"/>
    </row>
    <row r="51" spans="9:11" ht="15" customHeight="1" x14ac:dyDescent="0.25">
      <c r="I51" s="64"/>
      <c r="J51" s="64"/>
      <c r="K51" s="64"/>
    </row>
    <row r="52" spans="9:11" ht="15" customHeight="1" x14ac:dyDescent="0.25">
      <c r="I52" s="64"/>
      <c r="J52" s="64"/>
      <c r="K52" s="64"/>
    </row>
    <row r="53" spans="9:11" ht="15" customHeight="1" x14ac:dyDescent="0.25">
      <c r="I53" s="64"/>
      <c r="J53" s="64"/>
      <c r="K53" s="64"/>
    </row>
    <row r="54" spans="9:11" ht="15" customHeight="1" x14ac:dyDescent="0.25">
      <c r="I54" s="64"/>
      <c r="J54" s="64"/>
      <c r="K54" s="64"/>
    </row>
    <row r="55" spans="9:11" ht="15" customHeight="1" x14ac:dyDescent="0.25">
      <c r="I55" s="64"/>
      <c r="J55" s="64"/>
      <c r="K55" s="64"/>
    </row>
    <row r="56" spans="9:11" ht="15" customHeight="1" x14ac:dyDescent="0.25">
      <c r="I56" s="64"/>
      <c r="J56" s="64"/>
      <c r="K56" s="64"/>
    </row>
    <row r="57" spans="9:11" ht="15" customHeight="1" x14ac:dyDescent="0.25">
      <c r="I57" s="64"/>
      <c r="J57" s="64"/>
      <c r="K57" s="64"/>
    </row>
    <row r="58" spans="9:11" ht="15" customHeight="1" x14ac:dyDescent="0.25">
      <c r="I58" s="64"/>
      <c r="J58" s="64"/>
      <c r="K58" s="64"/>
    </row>
    <row r="59" spans="9:11" ht="15" customHeight="1" x14ac:dyDescent="0.25">
      <c r="I59" s="64"/>
      <c r="J59" s="64"/>
      <c r="K59" s="64"/>
    </row>
    <row r="60" spans="9:11" ht="15" customHeight="1" x14ac:dyDescent="0.25">
      <c r="I60" s="64"/>
      <c r="J60" s="64"/>
      <c r="K60" s="64"/>
    </row>
    <row r="61" spans="9:11" ht="15" customHeight="1" x14ac:dyDescent="0.25">
      <c r="I61" s="64"/>
      <c r="J61" s="64"/>
      <c r="K61" s="64"/>
    </row>
    <row r="62" spans="9:11" ht="15" customHeight="1" x14ac:dyDescent="0.25">
      <c r="I62" s="64"/>
      <c r="J62" s="64"/>
      <c r="K62" s="64"/>
    </row>
    <row r="63" spans="9:11" ht="15" customHeight="1" x14ac:dyDescent="0.25">
      <c r="I63" s="64"/>
      <c r="J63" s="64"/>
      <c r="K63" s="64"/>
    </row>
    <row r="64" spans="9:11" ht="15" customHeight="1" x14ac:dyDescent="0.25">
      <c r="I64" s="64"/>
      <c r="J64" s="64"/>
      <c r="K64" s="64"/>
    </row>
    <row r="65" spans="9:11" ht="15" customHeight="1" x14ac:dyDescent="0.25">
      <c r="I65" s="64"/>
      <c r="J65" s="64"/>
      <c r="K65" s="64"/>
    </row>
  </sheetData>
  <mergeCells count="1">
    <mergeCell ref="B1:I1"/>
  </mergeCells>
  <phoneticPr fontId="5" type="noConversion"/>
  <hyperlinks>
    <hyperlink ref="B24" location="'External Causes of Deaths'!A1" display="External causes of death excluded from analysis" xr:uid="{00000000-0004-0000-0100-000000000000}"/>
  </hyperlinks>
  <pageMargins left="0.74803149606299213" right="0.74803149606299213" top="0.98425196850393704" bottom="0.98425196850393704" header="0.51181102362204722" footer="0.51181102362204722"/>
  <pageSetup paperSize="9" scale="93" orientation="landscape"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1"/>
  <dimension ref="A2:W38"/>
  <sheetViews>
    <sheetView showGridLines="0" topLeftCell="A6" workbookViewId="0"/>
  </sheetViews>
  <sheetFormatPr defaultColWidth="9.109375" defaultRowHeight="13.2" x14ac:dyDescent="0.25"/>
  <cols>
    <col min="1" max="1" width="1.6640625" style="1" customWidth="1"/>
    <col min="2" max="16384" width="9.109375" style="1"/>
  </cols>
  <sheetData>
    <row r="2" spans="1:23" ht="15.6" x14ac:dyDescent="0.3">
      <c r="B2" s="86" t="s">
        <v>172</v>
      </c>
    </row>
    <row r="3" spans="1:23" ht="15.6" x14ac:dyDescent="0.3">
      <c r="B3" s="86" t="str">
        <f xml:space="preserve"> "by NHS Board of Residence; " &amp; M8</f>
        <v>by NHS Board of Residence; Scotland</v>
      </c>
    </row>
    <row r="5" spans="1:23" x14ac:dyDescent="0.25">
      <c r="A5" s="12">
        <v>1</v>
      </c>
    </row>
    <row r="7" spans="1:23" s="12" customFormat="1" x14ac:dyDescent="0.25">
      <c r="N7" s="12" t="e">
        <f ca="1">calculation!B$10</f>
        <v>#REF!</v>
      </c>
      <c r="O7" s="12" t="e">
        <f ca="1">calculation!C$10</f>
        <v>#REF!</v>
      </c>
      <c r="P7" s="12" t="e">
        <f ca="1">calculation!D$10</f>
        <v>#REF!</v>
      </c>
      <c r="Q7" s="12" t="e">
        <f ca="1">calculation!E$10</f>
        <v>#REF!</v>
      </c>
      <c r="R7" s="12" t="e">
        <f ca="1">calculation!F$10</f>
        <v>#REF!</v>
      </c>
      <c r="S7" s="12" t="e">
        <f ca="1">calculation!G$10</f>
        <v>#REF!</v>
      </c>
      <c r="T7" s="12" t="e">
        <f ca="1">calculation!H$10</f>
        <v>#REF!</v>
      </c>
      <c r="U7" s="12" t="e">
        <f ca="1">calculation!I$10</f>
        <v>#REF!</v>
      </c>
      <c r="V7" s="12" t="e">
        <f ca="1">calculation!J$10</f>
        <v>#REF!</v>
      </c>
      <c r="W7" s="12" t="e">
        <f ca="1">calculation!K$10</f>
        <v>#REF!</v>
      </c>
    </row>
    <row r="8" spans="1:23" s="12" customFormat="1" x14ac:dyDescent="0.25">
      <c r="M8" s="12" t="str">
        <f>VLOOKUP($A$5, calculation!$A$12:$B$26, 2, 0)</f>
        <v>Scotland</v>
      </c>
      <c r="N8" s="27" t="e">
        <f ca="1">IF($M$8 = "Scotland", VLOOKUP(CONCATENATE(LEFT(N$7, 7), "Scotland", $M$8), [0]!data_range, 5, FALSE), VLOOKUP(CONCATENATE(LEFT(N$7, 7), "hb", "NHS ", $M$8), [0]!data_range, 5, FALSE))</f>
        <v>#REF!</v>
      </c>
      <c r="O8" s="27" t="e">
        <f ca="1">IF($M$8 = "Scotland", VLOOKUP(CONCATENATE(LEFT(O$7, 7), "Scotland", $M$8), [0]!data_range, 5, FALSE), VLOOKUP(CONCATENATE(LEFT(O$7, 7), "hb", "NHS ", $M$8), [0]!data_range, 5, FALSE))</f>
        <v>#REF!</v>
      </c>
      <c r="P8" s="27" t="e">
        <f ca="1">IF($M$8 = "Scotland", VLOOKUP(CONCATENATE(LEFT(P$7, 7), "Scotland", $M$8), [0]!data_range, 5, FALSE), VLOOKUP(CONCATENATE(LEFT(P$7, 7), "hb", "NHS ", $M$8), [0]!data_range, 5, FALSE))</f>
        <v>#REF!</v>
      </c>
      <c r="Q8" s="27" t="e">
        <f ca="1">IF($M$8 = "Scotland", VLOOKUP(CONCATENATE(LEFT(Q$7, 7), "Scotland", $M$8), [0]!data_range, 5, FALSE), VLOOKUP(CONCATENATE(LEFT(Q$7, 7), "hb", "NHS ", $M$8), [0]!data_range, 5, FALSE))</f>
        <v>#REF!</v>
      </c>
      <c r="R8" s="27" t="e">
        <f ca="1">IF($M$8 = "Scotland", VLOOKUP(CONCATENATE(LEFT(R$7, 7), "Scotland", $M$8), [0]!data_range, 5, FALSE), VLOOKUP(CONCATENATE(LEFT(R$7, 7), "hb", "NHS ", $M$8), [0]!data_range, 5, FALSE))</f>
        <v>#REF!</v>
      </c>
      <c r="S8" s="27" t="e">
        <f ca="1">IF($M$8 = "Scotland", VLOOKUP(CONCATENATE(LEFT(S$7, 7), "Scotland", $M$8), [0]!data_range, 5, FALSE), VLOOKUP(CONCATENATE(LEFT(S$7, 7), "hb", "NHS ", $M$8), [0]!data_range, 5, FALSE))</f>
        <v>#REF!</v>
      </c>
      <c r="T8" s="27" t="e">
        <f ca="1">IF($M$8 = "Scotland", VLOOKUP(CONCATENATE(LEFT(T$7, 7), "Scotland", $M$8), [0]!data_range, 5, FALSE), VLOOKUP(CONCATENATE(LEFT(T$7, 7), "hb", "NHS ", $M$8), [0]!data_range, 5, FALSE))</f>
        <v>#REF!</v>
      </c>
      <c r="U8" s="27" t="e">
        <f ca="1">IF($M$8 = "Scotland", VLOOKUP(CONCATENATE(LEFT(U$7, 7), "Scotland", $M$8), [0]!data_range, 5, FALSE), VLOOKUP(CONCATENATE(LEFT(U$7, 7), "hb", "NHS ", $M$8), [0]!data_range, 5, FALSE))</f>
        <v>#REF!</v>
      </c>
      <c r="V8" s="27" t="e">
        <f ca="1">IF($M$8 = "Scotland", VLOOKUP(CONCATENATE(LEFT(V$7, 7), "Scotland", $M$8), [0]!data_range, 5, FALSE), VLOOKUP(CONCATENATE(LEFT(V$7, 7), "hb", "NHS ", $M$8), [0]!data_range, 5, FALSE))</f>
        <v>#REF!</v>
      </c>
      <c r="W8" s="27" t="e">
        <f ca="1">IF($M$8 = "Scotland", VLOOKUP(CONCATENATE(LEFT(W$7, 7), "Scotland", $M$8), [0]!data_range, 5, FALSE), VLOOKUP(CONCATENATE(LEFT(W$7, 7), "hb", "NHS ", $M$8), [0]!data_range, 5, FALSE))</f>
        <v>#REF!</v>
      </c>
    </row>
    <row r="31" spans="2:2" x14ac:dyDescent="0.25">
      <c r="B31" s="53" t="s">
        <v>176</v>
      </c>
    </row>
    <row r="33" spans="2:2" x14ac:dyDescent="0.25">
      <c r="B33" s="66" t="s">
        <v>14</v>
      </c>
    </row>
    <row r="34" spans="2:2" x14ac:dyDescent="0.25">
      <c r="B34" s="31"/>
    </row>
    <row r="35" spans="2:2" x14ac:dyDescent="0.25">
      <c r="B35" s="30" t="s">
        <v>208</v>
      </c>
    </row>
    <row r="36" spans="2:2" x14ac:dyDescent="0.25">
      <c r="B36" s="5" t="s">
        <v>200</v>
      </c>
    </row>
    <row r="37" spans="2:2" x14ac:dyDescent="0.25">
      <c r="B37" s="30" t="e">
        <f ca="1" xml:space="preserve"> "p. " &amp; calculation!$E$14</f>
        <v>#REF!</v>
      </c>
    </row>
    <row r="38" spans="2:2" x14ac:dyDescent="0.25">
      <c r="B38" s="5" t="str">
        <f>"1. " &amp; calculation!E17</f>
        <v>1. Figures in 2020/21 and 2021/22 are likely to have been affected by the impact of COVID-19 on hospital stays.</v>
      </c>
    </row>
  </sheetData>
  <hyperlinks>
    <hyperlink ref="B33" location="'External Causes of Deaths'!A1" display="External causes of death excluded from analysis" xr:uid="{00000000-0004-0000-0200-000000000000}"/>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074" r:id="rId4" name="Drop Down 2">
              <controlPr defaultSize="0" autoLine="0" autoPict="0">
                <anchor moveWithCells="1">
                  <from>
                    <xdr:col>1</xdr:col>
                    <xdr:colOff>99060</xdr:colOff>
                    <xdr:row>4</xdr:row>
                    <xdr:rowOff>38100</xdr:rowOff>
                  </from>
                  <to>
                    <xdr:col>5</xdr:col>
                    <xdr:colOff>518160</xdr:colOff>
                    <xdr:row>5</xdr:row>
                    <xdr:rowOff>76200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B1:AC188"/>
  <sheetViews>
    <sheetView showGridLines="0" topLeftCell="A31" zoomScaleNormal="100" workbookViewId="0"/>
  </sheetViews>
  <sheetFormatPr defaultColWidth="9.109375" defaultRowHeight="15" customHeight="1" x14ac:dyDescent="0.25"/>
  <cols>
    <col min="1" max="1" width="1.6640625" style="1" customWidth="1"/>
    <col min="2" max="2" width="32.44140625" style="1" customWidth="1"/>
    <col min="3" max="12" width="11.5546875" style="1" customWidth="1"/>
    <col min="13" max="16384" width="9.109375" style="1"/>
  </cols>
  <sheetData>
    <row r="1" spans="2:29" ht="15" customHeight="1" x14ac:dyDescent="0.3">
      <c r="B1" s="98" t="str">
        <f>Notes!B1:O1</f>
        <v/>
      </c>
      <c r="C1" s="98"/>
      <c r="D1" s="98"/>
      <c r="E1" s="98"/>
      <c r="F1" s="98"/>
      <c r="G1" s="98"/>
      <c r="H1" s="98"/>
      <c r="I1" s="98"/>
      <c r="J1" s="98"/>
    </row>
    <row r="2" spans="2:29" ht="15" customHeight="1" x14ac:dyDescent="0.3">
      <c r="B2" s="85" t="s">
        <v>128</v>
      </c>
      <c r="J2" s="64"/>
      <c r="K2" s="64"/>
      <c r="L2" s="67"/>
    </row>
    <row r="3" spans="2:29" ht="15" customHeight="1" x14ac:dyDescent="0.3">
      <c r="B3" s="85" t="s">
        <v>190</v>
      </c>
      <c r="J3" s="64"/>
      <c r="K3" s="64"/>
      <c r="L3" s="67"/>
    </row>
    <row r="4" spans="2:29" ht="15" customHeight="1" x14ac:dyDescent="0.3">
      <c r="B4" s="2"/>
      <c r="J4" s="64"/>
      <c r="K4" s="64"/>
      <c r="L4" s="67"/>
    </row>
    <row r="5" spans="2:29" ht="15" customHeight="1" x14ac:dyDescent="0.25">
      <c r="J5" s="64"/>
      <c r="K5" s="19"/>
      <c r="L5" s="52" t="s">
        <v>179</v>
      </c>
    </row>
    <row r="6" spans="2:29" ht="15" customHeight="1" x14ac:dyDescent="0.25">
      <c r="C6" s="12"/>
      <c r="D6" s="12"/>
      <c r="E6" s="12"/>
      <c r="F6" s="12"/>
      <c r="G6" s="12"/>
      <c r="H6" s="12"/>
      <c r="I6" s="12"/>
      <c r="J6" s="12"/>
      <c r="K6" s="12"/>
      <c r="L6" s="67"/>
    </row>
    <row r="7" spans="2:29" ht="15" customHeight="1" x14ac:dyDescent="0.25">
      <c r="B7" s="24" t="s">
        <v>130</v>
      </c>
      <c r="C7" s="4" t="e">
        <f ca="1">calculation!B$10</f>
        <v>#REF!</v>
      </c>
      <c r="D7" s="4" t="e">
        <f ca="1">calculation!C$10</f>
        <v>#REF!</v>
      </c>
      <c r="E7" s="4" t="e">
        <f ca="1">calculation!D$10</f>
        <v>#REF!</v>
      </c>
      <c r="F7" s="4" t="e">
        <f ca="1">calculation!E$10</f>
        <v>#REF!</v>
      </c>
      <c r="G7" s="4" t="e">
        <f ca="1">calculation!F$10</f>
        <v>#REF!</v>
      </c>
      <c r="H7" s="4" t="e">
        <f ca="1">calculation!G$10</f>
        <v>#REF!</v>
      </c>
      <c r="I7" s="4" t="e">
        <f ca="1">calculation!H$10</f>
        <v>#REF!</v>
      </c>
      <c r="J7" s="4" t="e">
        <f ca="1">calculation!I$10</f>
        <v>#REF!</v>
      </c>
      <c r="K7" s="4" t="e">
        <f ca="1">calculation!J$10</f>
        <v>#REF!</v>
      </c>
      <c r="L7" s="4" t="e">
        <f ca="1">calculation!K$10</f>
        <v>#REF!</v>
      </c>
      <c r="M7" s="3"/>
      <c r="N7" s="3"/>
      <c r="O7" s="3"/>
      <c r="P7" s="3"/>
      <c r="Q7" s="3"/>
      <c r="R7" s="3"/>
      <c r="S7" s="3"/>
    </row>
    <row r="8" spans="2:29" ht="15" customHeight="1" x14ac:dyDescent="0.25">
      <c r="B8" s="64" t="s">
        <v>87</v>
      </c>
      <c r="C8" s="6" t="e">
        <f ca="1">VLOOKUP(CONCATENATE(LEFT(C$7, 7), "hscp", $B8), [0]!data_range, 5, FALSE)</f>
        <v>#REF!</v>
      </c>
      <c r="D8" s="6" t="e">
        <f ca="1">VLOOKUP(CONCATENATE(LEFT(D$7, 7), "hscp", $B8), [0]!data_range, 5, FALSE)</f>
        <v>#REF!</v>
      </c>
      <c r="E8" s="6" t="e">
        <f ca="1">VLOOKUP(CONCATENATE(LEFT(E$7, 7), "hscp", $B8), [0]!data_range, 5, FALSE)</f>
        <v>#REF!</v>
      </c>
      <c r="F8" s="6" t="e">
        <f ca="1">VLOOKUP(CONCATENATE(LEFT(F$7, 7), "hscp", $B8), [0]!data_range, 5, FALSE)</f>
        <v>#REF!</v>
      </c>
      <c r="G8" s="6" t="e">
        <f ca="1">VLOOKUP(CONCATENATE(LEFT(G$7, 7), "hscp", $B8), [0]!data_range, 5, FALSE)</f>
        <v>#REF!</v>
      </c>
      <c r="H8" s="6" t="e">
        <f ca="1">VLOOKUP(CONCATENATE(LEFT(H$7, 7), "hscp", $B8), [0]!data_range, 5, FALSE)</f>
        <v>#REF!</v>
      </c>
      <c r="I8" s="6" t="e">
        <f ca="1">VLOOKUP(CONCATENATE(LEFT(I$7, 7), "hscp", $B8), [0]!data_range, 5, FALSE)</f>
        <v>#REF!</v>
      </c>
      <c r="J8" s="6" t="e">
        <f ca="1">VLOOKUP(CONCATENATE(LEFT(J$7, 7), "hscp", $B8), [0]!data_range, 5, FALSE)</f>
        <v>#REF!</v>
      </c>
      <c r="K8" s="6" t="e">
        <f ca="1">VLOOKUP(CONCATENATE(LEFT(K$7, 7), "hscp", $B8), [0]!data_range, 5, FALSE)</f>
        <v>#REF!</v>
      </c>
      <c r="L8" s="6" t="e">
        <f ca="1">VLOOKUP(CONCATENATE(LEFT(L$7, 7), "hscp", $B8), [0]!data_range, 5, FALSE)</f>
        <v>#REF!</v>
      </c>
      <c r="M8" s="68"/>
      <c r="N8" s="68"/>
      <c r="O8" s="68"/>
      <c r="P8" s="68"/>
      <c r="Q8" s="68"/>
      <c r="R8" s="68"/>
      <c r="S8" s="68"/>
      <c r="AA8" s="1" t="e">
        <f t="shared" ref="AA8:AA23" ca="1" si="0">R8=H8</f>
        <v>#REF!</v>
      </c>
      <c r="AB8" s="1" t="e">
        <f t="shared" ref="AB8:AC23" ca="1" si="1">S8=J8</f>
        <v>#REF!</v>
      </c>
      <c r="AC8" s="1" t="e">
        <f t="shared" ca="1" si="1"/>
        <v>#REF!</v>
      </c>
    </row>
    <row r="9" spans="2:29" ht="15" customHeight="1" x14ac:dyDescent="0.25">
      <c r="B9" s="64" t="s">
        <v>88</v>
      </c>
      <c r="C9" s="6" t="e">
        <f ca="1">VLOOKUP(CONCATENATE(LEFT(C$7, 7), "hscp", $B9), [0]!data_range, 5, FALSE)</f>
        <v>#REF!</v>
      </c>
      <c r="D9" s="6" t="e">
        <f ca="1">VLOOKUP(CONCATENATE(LEFT(D$7, 7), "hscp", $B9), [0]!data_range, 5, FALSE)</f>
        <v>#REF!</v>
      </c>
      <c r="E9" s="6" t="e">
        <f ca="1">VLOOKUP(CONCATENATE(LEFT(E$7, 7), "hscp", $B9), [0]!data_range, 5, FALSE)</f>
        <v>#REF!</v>
      </c>
      <c r="F9" s="6" t="e">
        <f ca="1">VLOOKUP(CONCATENATE(LEFT(F$7, 7), "hscp", $B9), [0]!data_range, 5, FALSE)</f>
        <v>#REF!</v>
      </c>
      <c r="G9" s="6" t="e">
        <f ca="1">VLOOKUP(CONCATENATE(LEFT(G$7, 7), "hscp", $B9), [0]!data_range, 5, FALSE)</f>
        <v>#REF!</v>
      </c>
      <c r="H9" s="6" t="e">
        <f ca="1">VLOOKUP(CONCATENATE(LEFT(H$7, 7), "hscp", $B9), [0]!data_range, 5, FALSE)</f>
        <v>#REF!</v>
      </c>
      <c r="I9" s="6" t="e">
        <f ca="1">VLOOKUP(CONCATENATE(LEFT(I$7, 7), "hscp", $B9), [0]!data_range, 5, FALSE)</f>
        <v>#REF!</v>
      </c>
      <c r="J9" s="6" t="e">
        <f ca="1">VLOOKUP(CONCATENATE(LEFT(J$7, 7), "hscp", $B9), [0]!data_range, 5, FALSE)</f>
        <v>#REF!</v>
      </c>
      <c r="K9" s="6" t="e">
        <f ca="1">VLOOKUP(CONCATENATE(LEFT(K$7, 7), "hscp", $B9), [0]!data_range, 5, FALSE)</f>
        <v>#REF!</v>
      </c>
      <c r="L9" s="6" t="e">
        <f ca="1">VLOOKUP(CONCATENATE(LEFT(L$7, 7), "hscp", $B9), [0]!data_range, 5, FALSE)</f>
        <v>#REF!</v>
      </c>
      <c r="M9" s="68"/>
      <c r="N9" s="68"/>
      <c r="O9" s="68"/>
      <c r="P9" s="68"/>
      <c r="Q9" s="68"/>
      <c r="R9" s="68"/>
      <c r="S9" s="68"/>
      <c r="AA9" s="1" t="e">
        <f t="shared" ca="1" si="0"/>
        <v>#REF!</v>
      </c>
      <c r="AB9" s="1" t="e">
        <f t="shared" ca="1" si="1"/>
        <v>#REF!</v>
      </c>
      <c r="AC9" s="1" t="e">
        <f t="shared" ca="1" si="1"/>
        <v>#REF!</v>
      </c>
    </row>
    <row r="10" spans="2:29" ht="15" customHeight="1" x14ac:dyDescent="0.25">
      <c r="B10" s="64" t="s">
        <v>89</v>
      </c>
      <c r="C10" s="6" t="e">
        <f ca="1">VLOOKUP(CONCATENATE(LEFT(C$7, 7), "hscp", $B10), [0]!data_range, 5, FALSE)</f>
        <v>#REF!</v>
      </c>
      <c r="D10" s="6" t="e">
        <f ca="1">VLOOKUP(CONCATENATE(LEFT(D$7, 7), "hscp", $B10), [0]!data_range, 5, FALSE)</f>
        <v>#REF!</v>
      </c>
      <c r="E10" s="6" t="e">
        <f ca="1">VLOOKUP(CONCATENATE(LEFT(E$7, 7), "hscp", $B10), [0]!data_range, 5, FALSE)</f>
        <v>#REF!</v>
      </c>
      <c r="F10" s="6" t="e">
        <f ca="1">VLOOKUP(CONCATENATE(LEFT(F$7, 7), "hscp", $B10), [0]!data_range, 5, FALSE)</f>
        <v>#REF!</v>
      </c>
      <c r="G10" s="6" t="e">
        <f ca="1">VLOOKUP(CONCATENATE(LEFT(G$7, 7), "hscp", $B10), [0]!data_range, 5, FALSE)</f>
        <v>#REF!</v>
      </c>
      <c r="H10" s="6" t="e">
        <f ca="1">VLOOKUP(CONCATENATE(LEFT(H$7, 7), "hscp", $B10), [0]!data_range, 5, FALSE)</f>
        <v>#REF!</v>
      </c>
      <c r="I10" s="6" t="e">
        <f ca="1">VLOOKUP(CONCATENATE(LEFT(I$7, 7), "hscp", $B10), [0]!data_range, 5, FALSE)</f>
        <v>#REF!</v>
      </c>
      <c r="J10" s="6" t="e">
        <f ca="1">VLOOKUP(CONCATENATE(LEFT(J$7, 7), "hscp", $B10), [0]!data_range, 5, FALSE)</f>
        <v>#REF!</v>
      </c>
      <c r="K10" s="6" t="e">
        <f ca="1">VLOOKUP(CONCATENATE(LEFT(K$7, 7), "hscp", $B10), [0]!data_range, 5, FALSE)</f>
        <v>#REF!</v>
      </c>
      <c r="L10" s="6" t="e">
        <f ca="1">VLOOKUP(CONCATENATE(LEFT(L$7, 7), "hscp", $B10), [0]!data_range, 5, FALSE)</f>
        <v>#REF!</v>
      </c>
      <c r="M10" s="68"/>
      <c r="N10" s="68"/>
      <c r="O10" s="68"/>
      <c r="P10" s="68"/>
      <c r="Q10" s="68"/>
      <c r="R10" s="68"/>
      <c r="S10" s="68"/>
      <c r="AA10" s="1" t="e">
        <f t="shared" ca="1" si="0"/>
        <v>#REF!</v>
      </c>
      <c r="AB10" s="1" t="e">
        <f t="shared" ca="1" si="1"/>
        <v>#REF!</v>
      </c>
      <c r="AC10" s="1" t="e">
        <f t="shared" ca="1" si="1"/>
        <v>#REF!</v>
      </c>
    </row>
    <row r="11" spans="2:29" ht="15" customHeight="1" x14ac:dyDescent="0.25">
      <c r="B11" s="64" t="s">
        <v>170</v>
      </c>
      <c r="C11" s="6" t="e">
        <f ca="1">VLOOKUP(CONCATENATE(LEFT(C$7, 7), "hscp", $B11), [0]!data_range, 5, FALSE)</f>
        <v>#REF!</v>
      </c>
      <c r="D11" s="6" t="e">
        <f ca="1">VLOOKUP(CONCATENATE(LEFT(D$7, 7), "hscp", $B11), [0]!data_range, 5, FALSE)</f>
        <v>#REF!</v>
      </c>
      <c r="E11" s="6" t="e">
        <f ca="1">VLOOKUP(CONCATENATE(LEFT(E$7, 7), "hscp", $B11), [0]!data_range, 5, FALSE)</f>
        <v>#REF!</v>
      </c>
      <c r="F11" s="6" t="e">
        <f ca="1">VLOOKUP(CONCATENATE(LEFT(F$7, 7), "hscp", $B11), [0]!data_range, 5, FALSE)</f>
        <v>#REF!</v>
      </c>
      <c r="G11" s="6" t="e">
        <f ca="1">VLOOKUP(CONCATENATE(LEFT(G$7, 7), "hscp", $B11), [0]!data_range, 5, FALSE)</f>
        <v>#REF!</v>
      </c>
      <c r="H11" s="6" t="e">
        <f ca="1">VLOOKUP(CONCATENATE(LEFT(H$7, 7), "hscp", $B11), [0]!data_range, 5, FALSE)</f>
        <v>#REF!</v>
      </c>
      <c r="I11" s="6" t="e">
        <f ca="1">VLOOKUP(CONCATENATE(LEFT(I$7, 7), "hscp", $B11), [0]!data_range, 5, FALSE)</f>
        <v>#REF!</v>
      </c>
      <c r="J11" s="6" t="e">
        <f ca="1">VLOOKUP(CONCATENATE(LEFT(J$7, 7), "hscp", $B11), [0]!data_range, 5, FALSE)</f>
        <v>#REF!</v>
      </c>
      <c r="K11" s="6" t="e">
        <f ca="1">VLOOKUP(CONCATENATE(LEFT(K$7, 7), "hscp", $B11), [0]!data_range, 5, FALSE)</f>
        <v>#REF!</v>
      </c>
      <c r="L11" s="6" t="e">
        <f ca="1">VLOOKUP(CONCATENATE(LEFT(L$7, 7), "hscp", $B11), [0]!data_range, 5, FALSE)</f>
        <v>#REF!</v>
      </c>
      <c r="M11" s="68"/>
      <c r="N11" s="68"/>
      <c r="O11" s="68"/>
      <c r="P11" s="68"/>
      <c r="Q11" s="68"/>
      <c r="R11" s="68"/>
      <c r="S11" s="68"/>
      <c r="AA11" s="1" t="e">
        <f t="shared" ca="1" si="0"/>
        <v>#REF!</v>
      </c>
      <c r="AB11" s="1" t="e">
        <f t="shared" ca="1" si="1"/>
        <v>#REF!</v>
      </c>
      <c r="AC11" s="1" t="e">
        <f t="shared" ca="1" si="1"/>
        <v>#REF!</v>
      </c>
    </row>
    <row r="12" spans="2:29" ht="15" customHeight="1" x14ac:dyDescent="0.25">
      <c r="B12" s="64" t="s">
        <v>132</v>
      </c>
      <c r="C12" s="6" t="e">
        <f ca="1">VLOOKUP(CONCATENATE(LEFT(C$7, 7), "hscp", $B12), [0]!data_range, 5, FALSE)</f>
        <v>#REF!</v>
      </c>
      <c r="D12" s="6" t="e">
        <f ca="1">VLOOKUP(CONCATENATE(LEFT(D$7, 7), "hscp", $B12), [0]!data_range, 5, FALSE)</f>
        <v>#REF!</v>
      </c>
      <c r="E12" s="6" t="e">
        <f ca="1">VLOOKUP(CONCATENATE(LEFT(E$7, 7), "hscp", $B12), [0]!data_range, 5, FALSE)</f>
        <v>#REF!</v>
      </c>
      <c r="F12" s="6" t="e">
        <f ca="1">VLOOKUP(CONCATENATE(LEFT(F$7, 7), "hscp", $B12), [0]!data_range, 5, FALSE)</f>
        <v>#REF!</v>
      </c>
      <c r="G12" s="6" t="e">
        <f ca="1">VLOOKUP(CONCATENATE(LEFT(G$7, 7), "hscp", $B12), [0]!data_range, 5, FALSE)</f>
        <v>#REF!</v>
      </c>
      <c r="H12" s="6" t="e">
        <f ca="1">VLOOKUP(CONCATENATE(LEFT(H$7, 7), "hscp", $B12), [0]!data_range, 5, FALSE)</f>
        <v>#REF!</v>
      </c>
      <c r="I12" s="6" t="e">
        <f ca="1">VLOOKUP(CONCATENATE(LEFT(I$7, 7), "hscp", $B12), [0]!data_range, 5, FALSE)</f>
        <v>#REF!</v>
      </c>
      <c r="J12" s="6" t="e">
        <f ca="1">VLOOKUP(CONCATENATE(LEFT(J$7, 7), "hscp", $B12), [0]!data_range, 5, FALSE)</f>
        <v>#REF!</v>
      </c>
      <c r="K12" s="6" t="e">
        <f ca="1">VLOOKUP(CONCATENATE(LEFT(K$7, 7), "hscp", $B12), [0]!data_range, 5, FALSE)</f>
        <v>#REF!</v>
      </c>
      <c r="L12" s="6" t="e">
        <f ca="1">VLOOKUP(CONCATENATE(LEFT(L$7, 7), "hscp", $B12), [0]!data_range, 5, FALSE)</f>
        <v>#REF!</v>
      </c>
      <c r="M12" s="68"/>
      <c r="N12" s="68"/>
      <c r="O12" s="68"/>
      <c r="P12" s="68"/>
      <c r="Q12" s="68"/>
      <c r="R12" s="68"/>
      <c r="S12" s="68"/>
      <c r="AA12" s="1" t="e">
        <f t="shared" ca="1" si="0"/>
        <v>#REF!</v>
      </c>
      <c r="AB12" s="1" t="e">
        <f t="shared" ca="1" si="1"/>
        <v>#REF!</v>
      </c>
      <c r="AC12" s="1" t="e">
        <f t="shared" ca="1" si="1"/>
        <v>#REF!</v>
      </c>
    </row>
    <row r="13" spans="2:29" ht="15" customHeight="1" x14ac:dyDescent="0.25">
      <c r="B13" s="64" t="s">
        <v>168</v>
      </c>
      <c r="C13" s="6" t="e">
        <f ca="1">VLOOKUP(CONCATENATE(LEFT(C$7, 7), "hscp", $B13), [0]!data_range, 5, FALSE)</f>
        <v>#REF!</v>
      </c>
      <c r="D13" s="6" t="e">
        <f ca="1">VLOOKUP(CONCATENATE(LEFT(D$7, 7), "hscp", $B13), [0]!data_range, 5, FALSE)</f>
        <v>#REF!</v>
      </c>
      <c r="E13" s="6" t="e">
        <f ca="1">VLOOKUP(CONCATENATE(LEFT(E$7, 7), "hscp", $B13), [0]!data_range, 5, FALSE)</f>
        <v>#REF!</v>
      </c>
      <c r="F13" s="6" t="e">
        <f ca="1">VLOOKUP(CONCATENATE(LEFT(F$7, 7), "hscp", $B13), [0]!data_range, 5, FALSE)</f>
        <v>#REF!</v>
      </c>
      <c r="G13" s="6" t="e">
        <f ca="1">VLOOKUP(CONCATENATE(LEFT(G$7, 7), "hscp", $B13), [0]!data_range, 5, FALSE)</f>
        <v>#REF!</v>
      </c>
      <c r="H13" s="6" t="e">
        <f ca="1">VLOOKUP(CONCATENATE(LEFT(H$7, 7), "hscp", $B13), [0]!data_range, 5, FALSE)</f>
        <v>#REF!</v>
      </c>
      <c r="I13" s="6" t="e">
        <f ca="1">VLOOKUP(CONCATENATE(LEFT(I$7, 7), "hscp", $B13), [0]!data_range, 5, FALSE)</f>
        <v>#REF!</v>
      </c>
      <c r="J13" s="6" t="e">
        <f ca="1">VLOOKUP(CONCATENATE(LEFT(J$7, 7), "hscp", $B13), [0]!data_range, 5, FALSE)</f>
        <v>#REF!</v>
      </c>
      <c r="K13" s="6" t="e">
        <f ca="1">VLOOKUP(CONCATENATE(LEFT(K$7, 7), "hscp", $B13), [0]!data_range, 5, FALSE)</f>
        <v>#REF!</v>
      </c>
      <c r="L13" s="6" t="e">
        <f ca="1">VLOOKUP(CONCATENATE(LEFT(L$7, 7), "hscp", $B13), [0]!data_range, 5, FALSE)</f>
        <v>#REF!</v>
      </c>
      <c r="M13" s="68"/>
      <c r="N13" s="68"/>
      <c r="O13" s="68"/>
      <c r="P13" s="68"/>
      <c r="Q13" s="68"/>
      <c r="R13" s="68"/>
      <c r="S13" s="68"/>
      <c r="AA13" s="1" t="e">
        <f t="shared" ca="1" si="0"/>
        <v>#REF!</v>
      </c>
      <c r="AB13" s="1" t="e">
        <f t="shared" ca="1" si="1"/>
        <v>#REF!</v>
      </c>
      <c r="AC13" s="1" t="e">
        <f t="shared" ca="1" si="1"/>
        <v>#REF!</v>
      </c>
    </row>
    <row r="14" spans="2:29" ht="15" customHeight="1" x14ac:dyDescent="0.25">
      <c r="B14" s="64" t="s">
        <v>90</v>
      </c>
      <c r="C14" s="6" t="e">
        <f ca="1">VLOOKUP(CONCATENATE(LEFT(C$7, 7), "hscp", $B14), [0]!data_range, 5, FALSE)</f>
        <v>#REF!</v>
      </c>
      <c r="D14" s="6" t="e">
        <f ca="1">VLOOKUP(CONCATENATE(LEFT(D$7, 7), "hscp", $B14), [0]!data_range, 5, FALSE)</f>
        <v>#REF!</v>
      </c>
      <c r="E14" s="6" t="e">
        <f ca="1">VLOOKUP(CONCATENATE(LEFT(E$7, 7), "hscp", $B14), [0]!data_range, 5, FALSE)</f>
        <v>#REF!</v>
      </c>
      <c r="F14" s="6" t="e">
        <f ca="1">VLOOKUP(CONCATENATE(LEFT(F$7, 7), "hscp", $B14), [0]!data_range, 5, FALSE)</f>
        <v>#REF!</v>
      </c>
      <c r="G14" s="6" t="e">
        <f ca="1">VLOOKUP(CONCATENATE(LEFT(G$7, 7), "hscp", $B14), [0]!data_range, 5, FALSE)</f>
        <v>#REF!</v>
      </c>
      <c r="H14" s="6" t="e">
        <f ca="1">VLOOKUP(CONCATENATE(LEFT(H$7, 7), "hscp", $B14), [0]!data_range, 5, FALSE)</f>
        <v>#REF!</v>
      </c>
      <c r="I14" s="6" t="e">
        <f ca="1">VLOOKUP(CONCATENATE(LEFT(I$7, 7), "hscp", $B14), [0]!data_range, 5, FALSE)</f>
        <v>#REF!</v>
      </c>
      <c r="J14" s="6" t="e">
        <f ca="1">VLOOKUP(CONCATENATE(LEFT(J$7, 7), "hscp", $B14), [0]!data_range, 5, FALSE)</f>
        <v>#REF!</v>
      </c>
      <c r="K14" s="6" t="e">
        <f ca="1">VLOOKUP(CONCATENATE(LEFT(K$7, 7), "hscp", $B14), [0]!data_range, 5, FALSE)</f>
        <v>#REF!</v>
      </c>
      <c r="L14" s="6" t="e">
        <f ca="1">VLOOKUP(CONCATENATE(LEFT(L$7, 7), "hscp", $B14), [0]!data_range, 5, FALSE)</f>
        <v>#REF!</v>
      </c>
      <c r="M14" s="68"/>
      <c r="N14" s="68"/>
      <c r="O14" s="68"/>
      <c r="P14" s="68"/>
      <c r="Q14" s="68"/>
      <c r="R14" s="68"/>
      <c r="S14" s="68"/>
      <c r="AA14" s="1" t="e">
        <f t="shared" ca="1" si="0"/>
        <v>#REF!</v>
      </c>
      <c r="AB14" s="1" t="e">
        <f t="shared" ca="1" si="1"/>
        <v>#REF!</v>
      </c>
      <c r="AC14" s="1" t="e">
        <f t="shared" ca="1" si="1"/>
        <v>#REF!</v>
      </c>
    </row>
    <row r="15" spans="2:29" ht="15" customHeight="1" x14ac:dyDescent="0.25">
      <c r="B15" s="64" t="s">
        <v>91</v>
      </c>
      <c r="C15" s="6" t="e">
        <f ca="1">VLOOKUP(CONCATENATE(LEFT(C$7, 7), "hscp", $B15), [0]!data_range, 5, FALSE)</f>
        <v>#REF!</v>
      </c>
      <c r="D15" s="6" t="e">
        <f ca="1">VLOOKUP(CONCATENATE(LEFT(D$7, 7), "hscp", $B15), [0]!data_range, 5, FALSE)</f>
        <v>#REF!</v>
      </c>
      <c r="E15" s="6" t="e">
        <f ca="1">VLOOKUP(CONCATENATE(LEFT(E$7, 7), "hscp", $B15), [0]!data_range, 5, FALSE)</f>
        <v>#REF!</v>
      </c>
      <c r="F15" s="6" t="e">
        <f ca="1">VLOOKUP(CONCATENATE(LEFT(F$7, 7), "hscp", $B15), [0]!data_range, 5, FALSE)</f>
        <v>#REF!</v>
      </c>
      <c r="G15" s="6" t="e">
        <f ca="1">VLOOKUP(CONCATENATE(LEFT(G$7, 7), "hscp", $B15), [0]!data_range, 5, FALSE)</f>
        <v>#REF!</v>
      </c>
      <c r="H15" s="6" t="e">
        <f ca="1">VLOOKUP(CONCATENATE(LEFT(H$7, 7), "hscp", $B15), [0]!data_range, 5, FALSE)</f>
        <v>#REF!</v>
      </c>
      <c r="I15" s="6" t="e">
        <f ca="1">VLOOKUP(CONCATENATE(LEFT(I$7, 7), "hscp", $B15), [0]!data_range, 5, FALSE)</f>
        <v>#REF!</v>
      </c>
      <c r="J15" s="6" t="e">
        <f ca="1">VLOOKUP(CONCATENATE(LEFT(J$7, 7), "hscp", $B15), [0]!data_range, 5, FALSE)</f>
        <v>#REF!</v>
      </c>
      <c r="K15" s="6" t="e">
        <f ca="1">VLOOKUP(CONCATENATE(LEFT(K$7, 7), "hscp", $B15), [0]!data_range, 5, FALSE)</f>
        <v>#REF!</v>
      </c>
      <c r="L15" s="6" t="e">
        <f ca="1">VLOOKUP(CONCATENATE(LEFT(L$7, 7), "hscp", $B15), [0]!data_range, 5, FALSE)</f>
        <v>#REF!</v>
      </c>
      <c r="M15" s="68"/>
      <c r="N15" s="68"/>
      <c r="O15" s="68"/>
      <c r="P15" s="68"/>
      <c r="Q15" s="68"/>
      <c r="R15" s="68"/>
      <c r="S15" s="68"/>
      <c r="AA15" s="1" t="e">
        <f t="shared" ca="1" si="0"/>
        <v>#REF!</v>
      </c>
      <c r="AB15" s="1" t="e">
        <f t="shared" ca="1" si="1"/>
        <v>#REF!</v>
      </c>
      <c r="AC15" s="1" t="e">
        <f t="shared" ca="1" si="1"/>
        <v>#REF!</v>
      </c>
    </row>
    <row r="16" spans="2:29" ht="15" customHeight="1" x14ac:dyDescent="0.25">
      <c r="B16" s="64" t="s">
        <v>92</v>
      </c>
      <c r="C16" s="6" t="e">
        <f ca="1">VLOOKUP(CONCATENATE(LEFT(C$7, 7), "hscp", $B16), [0]!data_range, 5, FALSE)</f>
        <v>#REF!</v>
      </c>
      <c r="D16" s="6" t="e">
        <f ca="1">VLOOKUP(CONCATENATE(LEFT(D$7, 7), "hscp", $B16), [0]!data_range, 5, FALSE)</f>
        <v>#REF!</v>
      </c>
      <c r="E16" s="6" t="e">
        <f ca="1">VLOOKUP(CONCATENATE(LEFT(E$7, 7), "hscp", $B16), [0]!data_range, 5, FALSE)</f>
        <v>#REF!</v>
      </c>
      <c r="F16" s="6" t="e">
        <f ca="1">VLOOKUP(CONCATENATE(LEFT(F$7, 7), "hscp", $B16), [0]!data_range, 5, FALSE)</f>
        <v>#REF!</v>
      </c>
      <c r="G16" s="6" t="e">
        <f ca="1">VLOOKUP(CONCATENATE(LEFT(G$7, 7), "hscp", $B16), [0]!data_range, 5, FALSE)</f>
        <v>#REF!</v>
      </c>
      <c r="H16" s="6" t="e">
        <f ca="1">VLOOKUP(CONCATENATE(LEFT(H$7, 7), "hscp", $B16), [0]!data_range, 5, FALSE)</f>
        <v>#REF!</v>
      </c>
      <c r="I16" s="6" t="e">
        <f ca="1">VLOOKUP(CONCATENATE(LEFT(I$7, 7), "hscp", $B16), [0]!data_range, 5, FALSE)</f>
        <v>#REF!</v>
      </c>
      <c r="J16" s="6" t="e">
        <f ca="1">VLOOKUP(CONCATENATE(LEFT(J$7, 7), "hscp", $B16), [0]!data_range, 5, FALSE)</f>
        <v>#REF!</v>
      </c>
      <c r="K16" s="6" t="e">
        <f ca="1">VLOOKUP(CONCATENATE(LEFT(K$7, 7), "hscp", $B16), [0]!data_range, 5, FALSE)</f>
        <v>#REF!</v>
      </c>
      <c r="L16" s="6" t="e">
        <f ca="1">VLOOKUP(CONCATENATE(LEFT(L$7, 7), "hscp", $B16), [0]!data_range, 5, FALSE)</f>
        <v>#REF!</v>
      </c>
      <c r="M16" s="68"/>
      <c r="N16" s="68"/>
      <c r="O16" s="68"/>
      <c r="P16" s="68"/>
      <c r="Q16" s="68"/>
      <c r="R16" s="68"/>
      <c r="S16" s="68"/>
      <c r="AA16" s="1" t="e">
        <f t="shared" ca="1" si="0"/>
        <v>#REF!</v>
      </c>
      <c r="AB16" s="1" t="e">
        <f t="shared" ca="1" si="1"/>
        <v>#REF!</v>
      </c>
      <c r="AC16" s="1" t="e">
        <f t="shared" ca="1" si="1"/>
        <v>#REF!</v>
      </c>
    </row>
    <row r="17" spans="2:29" ht="15" customHeight="1" x14ac:dyDescent="0.25">
      <c r="B17" s="64" t="s">
        <v>93</v>
      </c>
      <c r="C17" s="6" t="e">
        <f ca="1">VLOOKUP(CONCATENATE(LEFT(C$7, 7), "hscp", $B17), [0]!data_range, 5, FALSE)</f>
        <v>#REF!</v>
      </c>
      <c r="D17" s="6" t="e">
        <f ca="1">VLOOKUP(CONCATENATE(LEFT(D$7, 7), "hscp", $B17), [0]!data_range, 5, FALSE)</f>
        <v>#REF!</v>
      </c>
      <c r="E17" s="6" t="e">
        <f ca="1">VLOOKUP(CONCATENATE(LEFT(E$7, 7), "hscp", $B17), [0]!data_range, 5, FALSE)</f>
        <v>#REF!</v>
      </c>
      <c r="F17" s="6" t="e">
        <f ca="1">VLOOKUP(CONCATENATE(LEFT(F$7, 7), "hscp", $B17), [0]!data_range, 5, FALSE)</f>
        <v>#REF!</v>
      </c>
      <c r="G17" s="6" t="e">
        <f ca="1">VLOOKUP(CONCATENATE(LEFT(G$7, 7), "hscp", $B17), [0]!data_range, 5, FALSE)</f>
        <v>#REF!</v>
      </c>
      <c r="H17" s="6" t="e">
        <f ca="1">VLOOKUP(CONCATENATE(LEFT(H$7, 7), "hscp", $B17), [0]!data_range, 5, FALSE)</f>
        <v>#REF!</v>
      </c>
      <c r="I17" s="6" t="e">
        <f ca="1">VLOOKUP(CONCATENATE(LEFT(I$7, 7), "hscp", $B17), [0]!data_range, 5, FALSE)</f>
        <v>#REF!</v>
      </c>
      <c r="J17" s="6" t="e">
        <f ca="1">VLOOKUP(CONCATENATE(LEFT(J$7, 7), "hscp", $B17), [0]!data_range, 5, FALSE)</f>
        <v>#REF!</v>
      </c>
      <c r="K17" s="6" t="e">
        <f ca="1">VLOOKUP(CONCATENATE(LEFT(K$7, 7), "hscp", $B17), [0]!data_range, 5, FALSE)</f>
        <v>#REF!</v>
      </c>
      <c r="L17" s="6" t="e">
        <f ca="1">VLOOKUP(CONCATENATE(LEFT(L$7, 7), "hscp", $B17), [0]!data_range, 5, FALSE)</f>
        <v>#REF!</v>
      </c>
      <c r="M17" s="68"/>
      <c r="N17" s="68"/>
      <c r="O17" s="68"/>
      <c r="P17" s="68"/>
      <c r="Q17" s="68"/>
      <c r="R17" s="68"/>
      <c r="S17" s="68"/>
      <c r="AA17" s="1" t="e">
        <f t="shared" ca="1" si="0"/>
        <v>#REF!</v>
      </c>
      <c r="AB17" s="1" t="e">
        <f t="shared" ca="1" si="1"/>
        <v>#REF!</v>
      </c>
      <c r="AC17" s="1" t="e">
        <f t="shared" ca="1" si="1"/>
        <v>#REF!</v>
      </c>
    </row>
    <row r="18" spans="2:29" ht="15" customHeight="1" x14ac:dyDescent="0.25">
      <c r="B18" s="64" t="s">
        <v>94</v>
      </c>
      <c r="C18" s="6" t="e">
        <f ca="1">VLOOKUP(CONCATENATE(LEFT(C$7, 7), "hscp", $B18), [0]!data_range, 5, FALSE)</f>
        <v>#REF!</v>
      </c>
      <c r="D18" s="6" t="e">
        <f ca="1">VLOOKUP(CONCATENATE(LEFT(D$7, 7), "hscp", $B18), [0]!data_range, 5, FALSE)</f>
        <v>#REF!</v>
      </c>
      <c r="E18" s="6" t="e">
        <f ca="1">VLOOKUP(CONCATENATE(LEFT(E$7, 7), "hscp", $B18), [0]!data_range, 5, FALSE)</f>
        <v>#REF!</v>
      </c>
      <c r="F18" s="6" t="e">
        <f ca="1">VLOOKUP(CONCATENATE(LEFT(F$7, 7), "hscp", $B18), [0]!data_range, 5, FALSE)</f>
        <v>#REF!</v>
      </c>
      <c r="G18" s="6" t="e">
        <f ca="1">VLOOKUP(CONCATENATE(LEFT(G$7, 7), "hscp", $B18), [0]!data_range, 5, FALSE)</f>
        <v>#REF!</v>
      </c>
      <c r="H18" s="6" t="e">
        <f ca="1">VLOOKUP(CONCATENATE(LEFT(H$7, 7), "hscp", $B18), [0]!data_range, 5, FALSE)</f>
        <v>#REF!</v>
      </c>
      <c r="I18" s="6" t="e">
        <f ca="1">VLOOKUP(CONCATENATE(LEFT(I$7, 7), "hscp", $B18), [0]!data_range, 5, FALSE)</f>
        <v>#REF!</v>
      </c>
      <c r="J18" s="6" t="e">
        <f ca="1">VLOOKUP(CONCATENATE(LEFT(J$7, 7), "hscp", $B18), [0]!data_range, 5, FALSE)</f>
        <v>#REF!</v>
      </c>
      <c r="K18" s="6" t="e">
        <f ca="1">VLOOKUP(CONCATENATE(LEFT(K$7, 7), "hscp", $B18), [0]!data_range, 5, FALSE)</f>
        <v>#REF!</v>
      </c>
      <c r="L18" s="6" t="e">
        <f ca="1">VLOOKUP(CONCATENATE(LEFT(L$7, 7), "hscp", $B18), [0]!data_range, 5, FALSE)</f>
        <v>#REF!</v>
      </c>
      <c r="M18" s="68"/>
      <c r="N18" s="68"/>
      <c r="O18" s="68"/>
      <c r="P18" s="68"/>
      <c r="Q18" s="68"/>
      <c r="R18" s="68"/>
      <c r="S18" s="68"/>
      <c r="AA18" s="1" t="e">
        <f t="shared" ca="1" si="0"/>
        <v>#REF!</v>
      </c>
      <c r="AB18" s="1" t="e">
        <f t="shared" ca="1" si="1"/>
        <v>#REF!</v>
      </c>
      <c r="AC18" s="1" t="e">
        <f t="shared" ca="1" si="1"/>
        <v>#REF!</v>
      </c>
    </row>
    <row r="19" spans="2:29" ht="15" customHeight="1" x14ac:dyDescent="0.25">
      <c r="B19" s="64" t="s">
        <v>135</v>
      </c>
      <c r="C19" s="6" t="e">
        <f ca="1">VLOOKUP(CONCATENATE(LEFT(C$7, 7), "hscp", $B19), [0]!data_range, 5, FALSE)</f>
        <v>#REF!</v>
      </c>
      <c r="D19" s="6" t="e">
        <f ca="1">VLOOKUP(CONCATENATE(LEFT(D$7, 7), "hscp", $B19), [0]!data_range, 5, FALSE)</f>
        <v>#REF!</v>
      </c>
      <c r="E19" s="6" t="e">
        <f ca="1">VLOOKUP(CONCATENATE(LEFT(E$7, 7), "hscp", $B19), [0]!data_range, 5, FALSE)</f>
        <v>#REF!</v>
      </c>
      <c r="F19" s="6" t="e">
        <f ca="1">VLOOKUP(CONCATENATE(LEFT(F$7, 7), "hscp", $B19), [0]!data_range, 5, FALSE)</f>
        <v>#REF!</v>
      </c>
      <c r="G19" s="6" t="e">
        <f ca="1">VLOOKUP(CONCATENATE(LEFT(G$7, 7), "hscp", $B19), [0]!data_range, 5, FALSE)</f>
        <v>#REF!</v>
      </c>
      <c r="H19" s="6" t="e">
        <f ca="1">VLOOKUP(CONCATENATE(LEFT(H$7, 7), "hscp", $B19), [0]!data_range, 5, FALSE)</f>
        <v>#REF!</v>
      </c>
      <c r="I19" s="6" t="e">
        <f ca="1">VLOOKUP(CONCATENATE(LEFT(I$7, 7), "hscp", $B19), [0]!data_range, 5, FALSE)</f>
        <v>#REF!</v>
      </c>
      <c r="J19" s="6" t="e">
        <f ca="1">VLOOKUP(CONCATENATE(LEFT(J$7, 7), "hscp", $B19), [0]!data_range, 5, FALSE)</f>
        <v>#REF!</v>
      </c>
      <c r="K19" s="6" t="e">
        <f ca="1">VLOOKUP(CONCATENATE(LEFT(K$7, 7), "hscp", $B19), [0]!data_range, 5, FALSE)</f>
        <v>#REF!</v>
      </c>
      <c r="L19" s="6" t="e">
        <f ca="1">VLOOKUP(CONCATENATE(LEFT(L$7, 7), "hscp", $B19), [0]!data_range, 5, FALSE)</f>
        <v>#REF!</v>
      </c>
      <c r="M19" s="68"/>
      <c r="N19" s="68"/>
      <c r="O19" s="68"/>
      <c r="P19" s="68"/>
      <c r="Q19" s="68"/>
      <c r="R19" s="68"/>
      <c r="S19" s="68"/>
      <c r="AA19" s="1" t="e">
        <f t="shared" ca="1" si="0"/>
        <v>#REF!</v>
      </c>
      <c r="AB19" s="1" t="e">
        <f t="shared" ca="1" si="1"/>
        <v>#REF!</v>
      </c>
      <c r="AC19" s="1" t="e">
        <f t="shared" ca="1" si="1"/>
        <v>#REF!</v>
      </c>
    </row>
    <row r="20" spans="2:29" ht="15" customHeight="1" x14ac:dyDescent="0.25">
      <c r="B20" s="64" t="s">
        <v>95</v>
      </c>
      <c r="C20" s="6" t="e">
        <f ca="1">VLOOKUP(CONCATENATE(LEFT(C$7, 7), "hscp", $B20), [0]!data_range, 5, FALSE)</f>
        <v>#REF!</v>
      </c>
      <c r="D20" s="6" t="e">
        <f ca="1">VLOOKUP(CONCATENATE(LEFT(D$7, 7), "hscp", $B20), [0]!data_range, 5, FALSE)</f>
        <v>#REF!</v>
      </c>
      <c r="E20" s="6" t="e">
        <f ca="1">VLOOKUP(CONCATENATE(LEFT(E$7, 7), "hscp", $B20), [0]!data_range, 5, FALSE)</f>
        <v>#REF!</v>
      </c>
      <c r="F20" s="6" t="e">
        <f ca="1">VLOOKUP(CONCATENATE(LEFT(F$7, 7), "hscp", $B20), [0]!data_range, 5, FALSE)</f>
        <v>#REF!</v>
      </c>
      <c r="G20" s="6" t="e">
        <f ca="1">VLOOKUP(CONCATENATE(LEFT(G$7, 7), "hscp", $B20), [0]!data_range, 5, FALSE)</f>
        <v>#REF!</v>
      </c>
      <c r="H20" s="6" t="e">
        <f ca="1">VLOOKUP(CONCATENATE(LEFT(H$7, 7), "hscp", $B20), [0]!data_range, 5, FALSE)</f>
        <v>#REF!</v>
      </c>
      <c r="I20" s="6" t="e">
        <f ca="1">VLOOKUP(CONCATENATE(LEFT(I$7, 7), "hscp", $B20), [0]!data_range, 5, FALSE)</f>
        <v>#REF!</v>
      </c>
      <c r="J20" s="6" t="e">
        <f ca="1">VLOOKUP(CONCATENATE(LEFT(J$7, 7), "hscp", $B20), [0]!data_range, 5, FALSE)</f>
        <v>#REF!</v>
      </c>
      <c r="K20" s="6" t="e">
        <f ca="1">VLOOKUP(CONCATENATE(LEFT(K$7, 7), "hscp", $B20), [0]!data_range, 5, FALSE)</f>
        <v>#REF!</v>
      </c>
      <c r="L20" s="6" t="e">
        <f ca="1">VLOOKUP(CONCATENATE(LEFT(L$7, 7), "hscp", $B20), [0]!data_range, 5, FALSE)</f>
        <v>#REF!</v>
      </c>
      <c r="M20" s="68"/>
      <c r="N20" s="68"/>
      <c r="O20" s="68"/>
      <c r="P20" s="68"/>
      <c r="Q20" s="68"/>
      <c r="R20" s="68"/>
      <c r="S20" s="68"/>
      <c r="AA20" s="1" t="e">
        <f t="shared" ca="1" si="0"/>
        <v>#REF!</v>
      </c>
      <c r="AB20" s="1" t="e">
        <f t="shared" ca="1" si="1"/>
        <v>#REF!</v>
      </c>
      <c r="AC20" s="1" t="e">
        <f t="shared" ca="1" si="1"/>
        <v>#REF!</v>
      </c>
    </row>
    <row r="21" spans="2:29" ht="15" customHeight="1" x14ac:dyDescent="0.25">
      <c r="B21" s="64" t="s">
        <v>1</v>
      </c>
      <c r="C21" s="6" t="e">
        <f ca="1">VLOOKUP(CONCATENATE(LEFT(C$7, 7), "hscp", $B21), [0]!data_range, 5, FALSE)</f>
        <v>#REF!</v>
      </c>
      <c r="D21" s="6" t="e">
        <f ca="1">VLOOKUP(CONCATENATE(LEFT(D$7, 7), "hscp", $B21), [0]!data_range, 5, FALSE)</f>
        <v>#REF!</v>
      </c>
      <c r="E21" s="6" t="e">
        <f ca="1">VLOOKUP(CONCATENATE(LEFT(E$7, 7), "hscp", $B21), [0]!data_range, 5, FALSE)</f>
        <v>#REF!</v>
      </c>
      <c r="F21" s="6" t="e">
        <f ca="1">VLOOKUP(CONCATENATE(LEFT(F$7, 7), "hscp", $B21), [0]!data_range, 5, FALSE)</f>
        <v>#REF!</v>
      </c>
      <c r="G21" s="6" t="e">
        <f ca="1">VLOOKUP(CONCATENATE(LEFT(G$7, 7), "hscp", $B21), [0]!data_range, 5, FALSE)</f>
        <v>#REF!</v>
      </c>
      <c r="H21" s="6" t="e">
        <f ca="1">VLOOKUP(CONCATENATE(LEFT(H$7, 7), "hscp", $B21), [0]!data_range, 5, FALSE)</f>
        <v>#REF!</v>
      </c>
      <c r="I21" s="6" t="e">
        <f ca="1">VLOOKUP(CONCATENATE(LEFT(I$7, 7), "hscp", $B21), [0]!data_range, 5, FALSE)</f>
        <v>#REF!</v>
      </c>
      <c r="J21" s="6" t="e">
        <f ca="1">VLOOKUP(CONCATENATE(LEFT(J$7, 7), "hscp", $B21), [0]!data_range, 5, FALSE)</f>
        <v>#REF!</v>
      </c>
      <c r="K21" s="6" t="e">
        <f ca="1">VLOOKUP(CONCATENATE(LEFT(K$7, 7), "hscp", $B21), [0]!data_range, 5, FALSE)</f>
        <v>#REF!</v>
      </c>
      <c r="L21" s="6" t="e">
        <f ca="1">VLOOKUP(CONCATENATE(LEFT(L$7, 7), "hscp", $B21), [0]!data_range, 5, FALSE)</f>
        <v>#REF!</v>
      </c>
      <c r="M21" s="68"/>
      <c r="N21" s="68"/>
      <c r="O21" s="68"/>
      <c r="P21" s="68"/>
      <c r="Q21" s="68"/>
      <c r="R21" s="68"/>
      <c r="S21" s="68"/>
      <c r="AA21" s="1" t="e">
        <f t="shared" ca="1" si="0"/>
        <v>#REF!</v>
      </c>
      <c r="AB21" s="1" t="e">
        <f t="shared" ca="1" si="1"/>
        <v>#REF!</v>
      </c>
      <c r="AC21" s="1" t="e">
        <f t="shared" ca="1" si="1"/>
        <v>#REF!</v>
      </c>
    </row>
    <row r="22" spans="2:29" ht="15" customHeight="1" x14ac:dyDescent="0.25">
      <c r="B22" s="64" t="s">
        <v>131</v>
      </c>
      <c r="C22" s="6" t="e">
        <f ca="1">VLOOKUP(CONCATENATE(LEFT(C$7, 7), "hscp", $B22), [0]!data_range, 5, FALSE)</f>
        <v>#REF!</v>
      </c>
      <c r="D22" s="6" t="e">
        <f ca="1">VLOOKUP(CONCATENATE(LEFT(D$7, 7), "hscp", $B22), [0]!data_range, 5, FALSE)</f>
        <v>#REF!</v>
      </c>
      <c r="E22" s="6" t="e">
        <f ca="1">VLOOKUP(CONCATENATE(LEFT(E$7, 7), "hscp", $B22), [0]!data_range, 5, FALSE)</f>
        <v>#REF!</v>
      </c>
      <c r="F22" s="6" t="e">
        <f ca="1">VLOOKUP(CONCATENATE(LEFT(F$7, 7), "hscp", $B22), [0]!data_range, 5, FALSE)</f>
        <v>#REF!</v>
      </c>
      <c r="G22" s="6" t="e">
        <f ca="1">VLOOKUP(CONCATENATE(LEFT(G$7, 7), "hscp", $B22), [0]!data_range, 5, FALSE)</f>
        <v>#REF!</v>
      </c>
      <c r="H22" s="6" t="e">
        <f ca="1">VLOOKUP(CONCATENATE(LEFT(H$7, 7), "hscp", $B22), [0]!data_range, 5, FALSE)</f>
        <v>#REF!</v>
      </c>
      <c r="I22" s="6" t="e">
        <f ca="1">VLOOKUP(CONCATENATE(LEFT(I$7, 7), "hscp", $B22), [0]!data_range, 5, FALSE)</f>
        <v>#REF!</v>
      </c>
      <c r="J22" s="6" t="e">
        <f ca="1">VLOOKUP(CONCATENATE(LEFT(J$7, 7), "hscp", $B22), [0]!data_range, 5, FALSE)</f>
        <v>#REF!</v>
      </c>
      <c r="K22" s="6" t="e">
        <f ca="1">VLOOKUP(CONCATENATE(LEFT(K$7, 7), "hscp", $B22), [0]!data_range, 5, FALSE)</f>
        <v>#REF!</v>
      </c>
      <c r="L22" s="6" t="e">
        <f ca="1">VLOOKUP(CONCATENATE(LEFT(L$7, 7), "hscp", $B22), [0]!data_range, 5, FALSE)</f>
        <v>#REF!</v>
      </c>
      <c r="M22" s="68"/>
      <c r="N22" s="68"/>
      <c r="O22" s="68"/>
      <c r="P22" s="68"/>
      <c r="Q22" s="68"/>
      <c r="R22" s="68"/>
      <c r="S22" s="68"/>
      <c r="AA22" s="1" t="e">
        <f t="shared" ca="1" si="0"/>
        <v>#REF!</v>
      </c>
      <c r="AB22" s="1" t="e">
        <f t="shared" ca="1" si="1"/>
        <v>#REF!</v>
      </c>
      <c r="AC22" s="1" t="e">
        <f t="shared" ca="1" si="1"/>
        <v>#REF!</v>
      </c>
    </row>
    <row r="23" spans="2:29" ht="15" customHeight="1" x14ac:dyDescent="0.25">
      <c r="B23" s="64" t="s">
        <v>4</v>
      </c>
      <c r="C23" s="6" t="e">
        <f ca="1">VLOOKUP(CONCATENATE(LEFT(C$7, 7), "hscp", $B23), [0]!data_range, 5, FALSE)</f>
        <v>#REF!</v>
      </c>
      <c r="D23" s="6" t="e">
        <f ca="1">VLOOKUP(CONCATENATE(LEFT(D$7, 7), "hscp", $B23), [0]!data_range, 5, FALSE)</f>
        <v>#REF!</v>
      </c>
      <c r="E23" s="6" t="e">
        <f ca="1">VLOOKUP(CONCATENATE(LEFT(E$7, 7), "hscp", $B23), [0]!data_range, 5, FALSE)</f>
        <v>#REF!</v>
      </c>
      <c r="F23" s="6" t="e">
        <f ca="1">VLOOKUP(CONCATENATE(LEFT(F$7, 7), "hscp", $B23), [0]!data_range, 5, FALSE)</f>
        <v>#REF!</v>
      </c>
      <c r="G23" s="6" t="e">
        <f ca="1">VLOOKUP(CONCATENATE(LEFT(G$7, 7), "hscp", $B23), [0]!data_range, 5, FALSE)</f>
        <v>#REF!</v>
      </c>
      <c r="H23" s="6" t="e">
        <f ca="1">VLOOKUP(CONCATENATE(LEFT(H$7, 7), "hscp", $B23), [0]!data_range, 5, FALSE)</f>
        <v>#REF!</v>
      </c>
      <c r="I23" s="6" t="e">
        <f ca="1">VLOOKUP(CONCATENATE(LEFT(I$7, 7), "hscp", $B23), [0]!data_range, 5, FALSE)</f>
        <v>#REF!</v>
      </c>
      <c r="J23" s="6" t="e">
        <f ca="1">VLOOKUP(CONCATENATE(LEFT(J$7, 7), "hscp", $B23), [0]!data_range, 5, FALSE)</f>
        <v>#REF!</v>
      </c>
      <c r="K23" s="6" t="e">
        <f ca="1">VLOOKUP(CONCATENATE(LEFT(K$7, 7), "hscp", $B23), [0]!data_range, 5, FALSE)</f>
        <v>#REF!</v>
      </c>
      <c r="L23" s="6" t="e">
        <f ca="1">VLOOKUP(CONCATENATE(LEFT(L$7, 7), "hscp", $B23), [0]!data_range, 5, FALSE)</f>
        <v>#REF!</v>
      </c>
      <c r="M23" s="68"/>
      <c r="N23" s="68"/>
      <c r="O23" s="68"/>
      <c r="P23" s="68"/>
      <c r="Q23" s="68"/>
      <c r="R23" s="68"/>
      <c r="S23" s="68"/>
      <c r="AA23" s="1" t="e">
        <f t="shared" ca="1" si="0"/>
        <v>#REF!</v>
      </c>
      <c r="AB23" s="1" t="e">
        <f t="shared" ca="1" si="1"/>
        <v>#REF!</v>
      </c>
      <c r="AC23" s="1" t="e">
        <f t="shared" ca="1" si="1"/>
        <v>#REF!</v>
      </c>
    </row>
    <row r="24" spans="2:29" ht="15" customHeight="1" x14ac:dyDescent="0.25">
      <c r="B24" s="64" t="s">
        <v>96</v>
      </c>
      <c r="C24" s="6" t="e">
        <f ca="1">VLOOKUP(CONCATENATE(LEFT(C$7, 7), "hscp", $B24), [0]!data_range, 5, FALSE)</f>
        <v>#REF!</v>
      </c>
      <c r="D24" s="6" t="e">
        <f ca="1">VLOOKUP(CONCATENATE(LEFT(D$7, 7), "hscp", $B24), [0]!data_range, 5, FALSE)</f>
        <v>#REF!</v>
      </c>
      <c r="E24" s="6" t="e">
        <f ca="1">VLOOKUP(CONCATENATE(LEFT(E$7, 7), "hscp", $B24), [0]!data_range, 5, FALSE)</f>
        <v>#REF!</v>
      </c>
      <c r="F24" s="6" t="e">
        <f ca="1">VLOOKUP(CONCATENATE(LEFT(F$7, 7), "hscp", $B24), [0]!data_range, 5, FALSE)</f>
        <v>#REF!</v>
      </c>
      <c r="G24" s="6" t="e">
        <f ca="1">VLOOKUP(CONCATENATE(LEFT(G$7, 7), "hscp", $B24), [0]!data_range, 5, FALSE)</f>
        <v>#REF!</v>
      </c>
      <c r="H24" s="6" t="e">
        <f ca="1">VLOOKUP(CONCATENATE(LEFT(H$7, 7), "hscp", $B24), [0]!data_range, 5, FALSE)</f>
        <v>#REF!</v>
      </c>
      <c r="I24" s="6" t="e">
        <f ca="1">VLOOKUP(CONCATENATE(LEFT(I$7, 7), "hscp", $B24), [0]!data_range, 5, FALSE)</f>
        <v>#REF!</v>
      </c>
      <c r="J24" s="6" t="e">
        <f ca="1">VLOOKUP(CONCATENATE(LEFT(J$7, 7), "hscp", $B24), [0]!data_range, 5, FALSE)</f>
        <v>#REF!</v>
      </c>
      <c r="K24" s="6" t="e">
        <f ca="1">VLOOKUP(CONCATENATE(LEFT(K$7, 7), "hscp", $B24), [0]!data_range, 5, FALSE)</f>
        <v>#REF!</v>
      </c>
      <c r="L24" s="6" t="e">
        <f ca="1">VLOOKUP(CONCATENATE(LEFT(L$7, 7), "hscp", $B24), [0]!data_range, 5, FALSE)</f>
        <v>#REF!</v>
      </c>
      <c r="M24" s="68"/>
      <c r="N24" s="68"/>
      <c r="O24" s="68"/>
      <c r="P24" s="68"/>
      <c r="Q24" s="68"/>
      <c r="R24" s="68"/>
      <c r="S24" s="68"/>
      <c r="AA24" s="1" t="e">
        <f t="shared" ref="AA24:AA39" ca="1" si="2">R24=H24</f>
        <v>#REF!</v>
      </c>
      <c r="AB24" s="1" t="e">
        <f t="shared" ref="AB24:AB39" ca="1" si="3">S24=J24</f>
        <v>#REF!</v>
      </c>
      <c r="AC24" s="1" t="e">
        <f t="shared" ref="AC24:AC39" ca="1" si="4">T24=K24</f>
        <v>#REF!</v>
      </c>
    </row>
    <row r="25" spans="2:29" ht="15" customHeight="1" x14ac:dyDescent="0.25">
      <c r="B25" s="64" t="s">
        <v>97</v>
      </c>
      <c r="C25" s="6" t="e">
        <f ca="1">VLOOKUP(CONCATENATE(LEFT(C$7, 7), "hscp", $B25), [0]!data_range, 5, FALSE)</f>
        <v>#REF!</v>
      </c>
      <c r="D25" s="6" t="e">
        <f ca="1">VLOOKUP(CONCATENATE(LEFT(D$7, 7), "hscp", $B25), [0]!data_range, 5, FALSE)</f>
        <v>#REF!</v>
      </c>
      <c r="E25" s="6" t="e">
        <f ca="1">VLOOKUP(CONCATENATE(LEFT(E$7, 7), "hscp", $B25), [0]!data_range, 5, FALSE)</f>
        <v>#REF!</v>
      </c>
      <c r="F25" s="6" t="e">
        <f ca="1">VLOOKUP(CONCATENATE(LEFT(F$7, 7), "hscp", $B25), [0]!data_range, 5, FALSE)</f>
        <v>#REF!</v>
      </c>
      <c r="G25" s="6" t="e">
        <f ca="1">VLOOKUP(CONCATENATE(LEFT(G$7, 7), "hscp", $B25), [0]!data_range, 5, FALSE)</f>
        <v>#REF!</v>
      </c>
      <c r="H25" s="6" t="e">
        <f ca="1">VLOOKUP(CONCATENATE(LEFT(H$7, 7), "hscp", $B25), [0]!data_range, 5, FALSE)</f>
        <v>#REF!</v>
      </c>
      <c r="I25" s="6" t="e">
        <f ca="1">VLOOKUP(CONCATENATE(LEFT(I$7, 7), "hscp", $B25), [0]!data_range, 5, FALSE)</f>
        <v>#REF!</v>
      </c>
      <c r="J25" s="6" t="e">
        <f ca="1">VLOOKUP(CONCATENATE(LEFT(J$7, 7), "hscp", $B25), [0]!data_range, 5, FALSE)</f>
        <v>#REF!</v>
      </c>
      <c r="K25" s="6" t="e">
        <f ca="1">VLOOKUP(CONCATENATE(LEFT(K$7, 7), "hscp", $B25), [0]!data_range, 5, FALSE)</f>
        <v>#REF!</v>
      </c>
      <c r="L25" s="6" t="e">
        <f ca="1">VLOOKUP(CONCATENATE(LEFT(L$7, 7), "hscp", $B25), [0]!data_range, 5, FALSE)</f>
        <v>#REF!</v>
      </c>
      <c r="M25" s="68"/>
      <c r="N25" s="68"/>
      <c r="O25" s="68"/>
      <c r="P25" s="68"/>
      <c r="Q25" s="68"/>
      <c r="R25" s="68"/>
      <c r="S25" s="68"/>
      <c r="AA25" s="1" t="e">
        <f t="shared" ca="1" si="2"/>
        <v>#REF!</v>
      </c>
      <c r="AB25" s="1" t="e">
        <f t="shared" ca="1" si="3"/>
        <v>#REF!</v>
      </c>
      <c r="AC25" s="1" t="e">
        <f t="shared" ca="1" si="4"/>
        <v>#REF!</v>
      </c>
    </row>
    <row r="26" spans="2:29" ht="15" customHeight="1" x14ac:dyDescent="0.25">
      <c r="B26" s="64" t="s">
        <v>98</v>
      </c>
      <c r="C26" s="6" t="e">
        <f ca="1">VLOOKUP(CONCATENATE(LEFT(C$7, 7), "hscp", $B26), [0]!data_range, 5, FALSE)</f>
        <v>#REF!</v>
      </c>
      <c r="D26" s="6" t="e">
        <f ca="1">VLOOKUP(CONCATENATE(LEFT(D$7, 7), "hscp", $B26), [0]!data_range, 5, FALSE)</f>
        <v>#REF!</v>
      </c>
      <c r="E26" s="6" t="e">
        <f ca="1">VLOOKUP(CONCATENATE(LEFT(E$7, 7), "hscp", $B26), [0]!data_range, 5, FALSE)</f>
        <v>#REF!</v>
      </c>
      <c r="F26" s="6" t="e">
        <f ca="1">VLOOKUP(CONCATENATE(LEFT(F$7, 7), "hscp", $B26), [0]!data_range, 5, FALSE)</f>
        <v>#REF!</v>
      </c>
      <c r="G26" s="6" t="e">
        <f ca="1">VLOOKUP(CONCATENATE(LEFT(G$7, 7), "hscp", $B26), [0]!data_range, 5, FALSE)</f>
        <v>#REF!</v>
      </c>
      <c r="H26" s="6" t="e">
        <f ca="1">VLOOKUP(CONCATENATE(LEFT(H$7, 7), "hscp", $B26), [0]!data_range, 5, FALSE)</f>
        <v>#REF!</v>
      </c>
      <c r="I26" s="6" t="e">
        <f ca="1">VLOOKUP(CONCATENATE(LEFT(I$7, 7), "hscp", $B26), [0]!data_range, 5, FALSE)</f>
        <v>#REF!</v>
      </c>
      <c r="J26" s="6" t="e">
        <f ca="1">VLOOKUP(CONCATENATE(LEFT(J$7, 7), "hscp", $B26), [0]!data_range, 5, FALSE)</f>
        <v>#REF!</v>
      </c>
      <c r="K26" s="6" t="e">
        <f ca="1">VLOOKUP(CONCATENATE(LEFT(K$7, 7), "hscp", $B26), [0]!data_range, 5, FALSE)</f>
        <v>#REF!</v>
      </c>
      <c r="L26" s="6" t="e">
        <f ca="1">VLOOKUP(CONCATENATE(LEFT(L$7, 7), "hscp", $B26), [0]!data_range, 5, FALSE)</f>
        <v>#REF!</v>
      </c>
      <c r="M26" s="68"/>
      <c r="N26" s="68"/>
      <c r="O26" s="68"/>
      <c r="P26" s="68"/>
      <c r="Q26" s="68"/>
      <c r="R26" s="68"/>
      <c r="S26" s="68"/>
      <c r="AA26" s="1" t="e">
        <f t="shared" ca="1" si="2"/>
        <v>#REF!</v>
      </c>
      <c r="AB26" s="1" t="e">
        <f t="shared" ca="1" si="3"/>
        <v>#REF!</v>
      </c>
      <c r="AC26" s="1" t="e">
        <f t="shared" ca="1" si="4"/>
        <v>#REF!</v>
      </c>
    </row>
    <row r="27" spans="2:29" ht="15" customHeight="1" x14ac:dyDescent="0.25">
      <c r="B27" s="64" t="s">
        <v>99</v>
      </c>
      <c r="C27" s="6" t="e">
        <f ca="1">VLOOKUP(CONCATENATE(LEFT(C$7, 7), "hscp", $B27), [0]!data_range, 5, FALSE)</f>
        <v>#REF!</v>
      </c>
      <c r="D27" s="6" t="e">
        <f ca="1">VLOOKUP(CONCATENATE(LEFT(D$7, 7), "hscp", $B27), [0]!data_range, 5, FALSE)</f>
        <v>#REF!</v>
      </c>
      <c r="E27" s="6" t="e">
        <f ca="1">VLOOKUP(CONCATENATE(LEFT(E$7, 7), "hscp", $B27), [0]!data_range, 5, FALSE)</f>
        <v>#REF!</v>
      </c>
      <c r="F27" s="6" t="e">
        <f ca="1">VLOOKUP(CONCATENATE(LEFT(F$7, 7), "hscp", $B27), [0]!data_range, 5, FALSE)</f>
        <v>#REF!</v>
      </c>
      <c r="G27" s="6" t="e">
        <f ca="1">VLOOKUP(CONCATENATE(LEFT(G$7, 7), "hscp", $B27), [0]!data_range, 5, FALSE)</f>
        <v>#REF!</v>
      </c>
      <c r="H27" s="6" t="e">
        <f ca="1">VLOOKUP(CONCATENATE(LEFT(H$7, 7), "hscp", $B27), [0]!data_range, 5, FALSE)</f>
        <v>#REF!</v>
      </c>
      <c r="I27" s="6" t="e">
        <f ca="1">VLOOKUP(CONCATENATE(LEFT(I$7, 7), "hscp", $B27), [0]!data_range, 5, FALSE)</f>
        <v>#REF!</v>
      </c>
      <c r="J27" s="6" t="e">
        <f ca="1">VLOOKUP(CONCATENATE(LEFT(J$7, 7), "hscp", $B27), [0]!data_range, 5, FALSE)</f>
        <v>#REF!</v>
      </c>
      <c r="K27" s="6" t="e">
        <f ca="1">VLOOKUP(CONCATENATE(LEFT(K$7, 7), "hscp", $B27), [0]!data_range, 5, FALSE)</f>
        <v>#REF!</v>
      </c>
      <c r="L27" s="6" t="e">
        <f ca="1">VLOOKUP(CONCATENATE(LEFT(L$7, 7), "hscp", $B27), [0]!data_range, 5, FALSE)</f>
        <v>#REF!</v>
      </c>
      <c r="M27" s="68"/>
      <c r="N27" s="68"/>
      <c r="O27" s="68"/>
      <c r="P27" s="68"/>
      <c r="Q27" s="68"/>
      <c r="R27" s="68"/>
      <c r="S27" s="68"/>
      <c r="AA27" s="1" t="e">
        <f t="shared" ca="1" si="2"/>
        <v>#REF!</v>
      </c>
      <c r="AB27" s="1" t="e">
        <f t="shared" ca="1" si="3"/>
        <v>#REF!</v>
      </c>
      <c r="AC27" s="1" t="e">
        <f t="shared" ca="1" si="4"/>
        <v>#REF!</v>
      </c>
    </row>
    <row r="28" spans="2:29" ht="15" customHeight="1" x14ac:dyDescent="0.25">
      <c r="B28" s="64" t="s">
        <v>100</v>
      </c>
      <c r="C28" s="6" t="e">
        <f ca="1">VLOOKUP(CONCATENATE(LEFT(C$7, 7), "hscp", $B28), [0]!data_range, 5, FALSE)</f>
        <v>#REF!</v>
      </c>
      <c r="D28" s="6" t="e">
        <f ca="1">VLOOKUP(CONCATENATE(LEFT(D$7, 7), "hscp", $B28), [0]!data_range, 5, FALSE)</f>
        <v>#REF!</v>
      </c>
      <c r="E28" s="6" t="e">
        <f ca="1">VLOOKUP(CONCATENATE(LEFT(E$7, 7), "hscp", $B28), [0]!data_range, 5, FALSE)</f>
        <v>#REF!</v>
      </c>
      <c r="F28" s="6" t="e">
        <f ca="1">VLOOKUP(CONCATENATE(LEFT(F$7, 7), "hscp", $B28), [0]!data_range, 5, FALSE)</f>
        <v>#REF!</v>
      </c>
      <c r="G28" s="6" t="e">
        <f ca="1">VLOOKUP(CONCATENATE(LEFT(G$7, 7), "hscp", $B28), [0]!data_range, 5, FALSE)</f>
        <v>#REF!</v>
      </c>
      <c r="H28" s="6" t="e">
        <f ca="1">VLOOKUP(CONCATENATE(LEFT(H$7, 7), "hscp", $B28), [0]!data_range, 5, FALSE)</f>
        <v>#REF!</v>
      </c>
      <c r="I28" s="6" t="e">
        <f ca="1">VLOOKUP(CONCATENATE(LEFT(I$7, 7), "hscp", $B28), [0]!data_range, 5, FALSE)</f>
        <v>#REF!</v>
      </c>
      <c r="J28" s="6" t="e">
        <f ca="1">VLOOKUP(CONCATENATE(LEFT(J$7, 7), "hscp", $B28), [0]!data_range, 5, FALSE)</f>
        <v>#REF!</v>
      </c>
      <c r="K28" s="6" t="e">
        <f ca="1">VLOOKUP(CONCATENATE(LEFT(K$7, 7), "hscp", $B28), [0]!data_range, 5, FALSE)</f>
        <v>#REF!</v>
      </c>
      <c r="L28" s="6" t="e">
        <f ca="1">VLOOKUP(CONCATENATE(LEFT(L$7, 7), "hscp", $B28), [0]!data_range, 5, FALSE)</f>
        <v>#REF!</v>
      </c>
      <c r="M28" s="68"/>
      <c r="N28" s="68"/>
      <c r="O28" s="68"/>
      <c r="P28" s="68"/>
      <c r="Q28" s="68"/>
      <c r="R28" s="68"/>
      <c r="S28" s="68"/>
      <c r="AA28" s="1" t="e">
        <f t="shared" ca="1" si="2"/>
        <v>#REF!</v>
      </c>
      <c r="AB28" s="1" t="e">
        <f t="shared" ca="1" si="3"/>
        <v>#REF!</v>
      </c>
      <c r="AC28" s="1" t="e">
        <f t="shared" ca="1" si="4"/>
        <v>#REF!</v>
      </c>
    </row>
    <row r="29" spans="2:29" ht="15" customHeight="1" x14ac:dyDescent="0.25">
      <c r="B29" s="64" t="s">
        <v>101</v>
      </c>
      <c r="C29" s="6" t="e">
        <f ca="1">VLOOKUP(CONCATENATE(LEFT(C$7, 7), "hscp", $B29), [0]!data_range, 5, FALSE)</f>
        <v>#REF!</v>
      </c>
      <c r="D29" s="6" t="e">
        <f ca="1">VLOOKUP(CONCATENATE(LEFT(D$7, 7), "hscp", $B29), [0]!data_range, 5, FALSE)</f>
        <v>#REF!</v>
      </c>
      <c r="E29" s="6" t="e">
        <f ca="1">VLOOKUP(CONCATENATE(LEFT(E$7, 7), "hscp", $B29), [0]!data_range, 5, FALSE)</f>
        <v>#REF!</v>
      </c>
      <c r="F29" s="6" t="e">
        <f ca="1">VLOOKUP(CONCATENATE(LEFT(F$7, 7), "hscp", $B29), [0]!data_range, 5, FALSE)</f>
        <v>#REF!</v>
      </c>
      <c r="G29" s="6" t="e">
        <f ca="1">VLOOKUP(CONCATENATE(LEFT(G$7, 7), "hscp", $B29), [0]!data_range, 5, FALSE)</f>
        <v>#REF!</v>
      </c>
      <c r="H29" s="6" t="e">
        <f ca="1">VLOOKUP(CONCATENATE(LEFT(H$7, 7), "hscp", $B29), [0]!data_range, 5, FALSE)</f>
        <v>#REF!</v>
      </c>
      <c r="I29" s="6" t="e">
        <f ca="1">VLOOKUP(CONCATENATE(LEFT(I$7, 7), "hscp", $B29), [0]!data_range, 5, FALSE)</f>
        <v>#REF!</v>
      </c>
      <c r="J29" s="6" t="e">
        <f ca="1">VLOOKUP(CONCATENATE(LEFT(J$7, 7), "hscp", $B29), [0]!data_range, 5, FALSE)</f>
        <v>#REF!</v>
      </c>
      <c r="K29" s="6" t="e">
        <f ca="1">VLOOKUP(CONCATENATE(LEFT(K$7, 7), "hscp", $B29), [0]!data_range, 5, FALSE)</f>
        <v>#REF!</v>
      </c>
      <c r="L29" s="6" t="e">
        <f ca="1">VLOOKUP(CONCATENATE(LEFT(L$7, 7), "hscp", $B29), [0]!data_range, 5, FALSE)</f>
        <v>#REF!</v>
      </c>
      <c r="M29" s="68"/>
      <c r="N29" s="68"/>
      <c r="O29" s="68"/>
      <c r="P29" s="68"/>
      <c r="Q29" s="68"/>
      <c r="R29" s="68"/>
      <c r="S29" s="68"/>
      <c r="AA29" s="1" t="e">
        <f t="shared" ca="1" si="2"/>
        <v>#REF!</v>
      </c>
      <c r="AB29" s="1" t="e">
        <f t="shared" ca="1" si="3"/>
        <v>#REF!</v>
      </c>
      <c r="AC29" s="1" t="e">
        <f t="shared" ca="1" si="4"/>
        <v>#REF!</v>
      </c>
    </row>
    <row r="30" spans="2:29" ht="15" customHeight="1" x14ac:dyDescent="0.25">
      <c r="B30" s="64" t="s">
        <v>171</v>
      </c>
      <c r="C30" s="6" t="e">
        <f ca="1">VLOOKUP(CONCATENATE(LEFT(C$7, 7), "hscp", $B30), [0]!data_range, 5, FALSE)</f>
        <v>#REF!</v>
      </c>
      <c r="D30" s="6" t="e">
        <f ca="1">VLOOKUP(CONCATENATE(LEFT(D$7, 7), "hscp", $B30), [0]!data_range, 5, FALSE)</f>
        <v>#REF!</v>
      </c>
      <c r="E30" s="6" t="e">
        <f ca="1">VLOOKUP(CONCATENATE(LEFT(E$7, 7), "hscp", $B30), [0]!data_range, 5, FALSE)</f>
        <v>#REF!</v>
      </c>
      <c r="F30" s="6" t="e">
        <f ca="1">VLOOKUP(CONCATENATE(LEFT(F$7, 7), "hscp", $B30), [0]!data_range, 5, FALSE)</f>
        <v>#REF!</v>
      </c>
      <c r="G30" s="6" t="e">
        <f ca="1">VLOOKUP(CONCATENATE(LEFT(G$7, 7), "hscp", $B30), [0]!data_range, 5, FALSE)</f>
        <v>#REF!</v>
      </c>
      <c r="H30" s="6" t="e">
        <f ca="1">VLOOKUP(CONCATENATE(LEFT(H$7, 7), "hscp", $B30), [0]!data_range, 5, FALSE)</f>
        <v>#REF!</v>
      </c>
      <c r="I30" s="6" t="e">
        <f ca="1">VLOOKUP(CONCATENATE(LEFT(I$7, 7), "hscp", $B30), [0]!data_range, 5, FALSE)</f>
        <v>#REF!</v>
      </c>
      <c r="J30" s="6" t="e">
        <f ca="1">VLOOKUP(CONCATENATE(LEFT(J$7, 7), "hscp", $B30), [0]!data_range, 5, FALSE)</f>
        <v>#REF!</v>
      </c>
      <c r="K30" s="6" t="e">
        <f ca="1">VLOOKUP(CONCATENATE(LEFT(K$7, 7), "hscp", $B30), [0]!data_range, 5, FALSE)</f>
        <v>#REF!</v>
      </c>
      <c r="L30" s="6" t="e">
        <f ca="1">VLOOKUP(CONCATENATE(LEFT(L$7, 7), "hscp", $B30), [0]!data_range, 5, FALSE)</f>
        <v>#REF!</v>
      </c>
      <c r="M30" s="68"/>
      <c r="N30" s="68"/>
      <c r="O30" s="68"/>
      <c r="P30" s="68"/>
      <c r="Q30" s="68"/>
      <c r="R30" s="68"/>
      <c r="S30" s="68"/>
      <c r="AA30" s="1" t="e">
        <f t="shared" ca="1" si="2"/>
        <v>#REF!</v>
      </c>
      <c r="AB30" s="1" t="e">
        <f t="shared" ca="1" si="3"/>
        <v>#REF!</v>
      </c>
      <c r="AC30" s="1" t="e">
        <f t="shared" ca="1" si="4"/>
        <v>#REF!</v>
      </c>
    </row>
    <row r="31" spans="2:29" ht="15" customHeight="1" x14ac:dyDescent="0.25">
      <c r="B31" s="64" t="s">
        <v>102</v>
      </c>
      <c r="C31" s="6" t="e">
        <f ca="1">VLOOKUP(CONCATENATE(LEFT(C$7, 7), "hscp", $B31), [0]!data_range, 5, FALSE)</f>
        <v>#REF!</v>
      </c>
      <c r="D31" s="6" t="e">
        <f ca="1">VLOOKUP(CONCATENATE(LEFT(D$7, 7), "hscp", $B31), [0]!data_range, 5, FALSE)</f>
        <v>#REF!</v>
      </c>
      <c r="E31" s="6" t="e">
        <f ca="1">VLOOKUP(CONCATENATE(LEFT(E$7, 7), "hscp", $B31), [0]!data_range, 5, FALSE)</f>
        <v>#REF!</v>
      </c>
      <c r="F31" s="6" t="e">
        <f ca="1">VLOOKUP(CONCATENATE(LEFT(F$7, 7), "hscp", $B31), [0]!data_range, 5, FALSE)</f>
        <v>#REF!</v>
      </c>
      <c r="G31" s="6" t="e">
        <f ca="1">VLOOKUP(CONCATENATE(LEFT(G$7, 7), "hscp", $B31), [0]!data_range, 5, FALSE)</f>
        <v>#REF!</v>
      </c>
      <c r="H31" s="6" t="e">
        <f ca="1">VLOOKUP(CONCATENATE(LEFT(H$7, 7), "hscp", $B31), [0]!data_range, 5, FALSE)</f>
        <v>#REF!</v>
      </c>
      <c r="I31" s="6" t="e">
        <f ca="1">VLOOKUP(CONCATENATE(LEFT(I$7, 7), "hscp", $B31), [0]!data_range, 5, FALSE)</f>
        <v>#REF!</v>
      </c>
      <c r="J31" s="6" t="e">
        <f ca="1">VLOOKUP(CONCATENATE(LEFT(J$7, 7), "hscp", $B31), [0]!data_range, 5, FALSE)</f>
        <v>#REF!</v>
      </c>
      <c r="K31" s="6" t="e">
        <f ca="1">VLOOKUP(CONCATENATE(LEFT(K$7, 7), "hscp", $B31), [0]!data_range, 5, FALSE)</f>
        <v>#REF!</v>
      </c>
      <c r="L31" s="6" t="e">
        <f ca="1">VLOOKUP(CONCATENATE(LEFT(L$7, 7), "hscp", $B31), [0]!data_range, 5, FALSE)</f>
        <v>#REF!</v>
      </c>
      <c r="M31" s="68"/>
      <c r="N31" s="68"/>
      <c r="O31" s="68"/>
      <c r="P31" s="68"/>
      <c r="Q31" s="68"/>
      <c r="R31" s="68"/>
      <c r="S31" s="68"/>
      <c r="AA31" s="1" t="e">
        <f t="shared" ca="1" si="2"/>
        <v>#REF!</v>
      </c>
      <c r="AB31" s="1" t="e">
        <f t="shared" ca="1" si="3"/>
        <v>#REF!</v>
      </c>
      <c r="AC31" s="1" t="e">
        <f t="shared" ca="1" si="4"/>
        <v>#REF!</v>
      </c>
    </row>
    <row r="32" spans="2:29" ht="15" customHeight="1" x14ac:dyDescent="0.25">
      <c r="B32" s="64" t="s">
        <v>103</v>
      </c>
      <c r="C32" s="6" t="e">
        <f ca="1">VLOOKUP(CONCATENATE(LEFT(C$7, 7), "hscp", $B32), [0]!data_range, 5, FALSE)</f>
        <v>#REF!</v>
      </c>
      <c r="D32" s="6" t="e">
        <f ca="1">VLOOKUP(CONCATENATE(LEFT(D$7, 7), "hscp", $B32), [0]!data_range, 5, FALSE)</f>
        <v>#REF!</v>
      </c>
      <c r="E32" s="6" t="e">
        <f ca="1">VLOOKUP(CONCATENATE(LEFT(E$7, 7), "hscp", $B32), [0]!data_range, 5, FALSE)</f>
        <v>#REF!</v>
      </c>
      <c r="F32" s="6" t="e">
        <f ca="1">VLOOKUP(CONCATENATE(LEFT(F$7, 7), "hscp", $B32), [0]!data_range, 5, FALSE)</f>
        <v>#REF!</v>
      </c>
      <c r="G32" s="6" t="e">
        <f ca="1">VLOOKUP(CONCATENATE(LEFT(G$7, 7), "hscp", $B32), [0]!data_range, 5, FALSE)</f>
        <v>#REF!</v>
      </c>
      <c r="H32" s="6" t="e">
        <f ca="1">VLOOKUP(CONCATENATE(LEFT(H$7, 7), "hscp", $B32), [0]!data_range, 5, FALSE)</f>
        <v>#REF!</v>
      </c>
      <c r="I32" s="6" t="e">
        <f ca="1">VLOOKUP(CONCATENATE(LEFT(I$7, 7), "hscp", $B32), [0]!data_range, 5, FALSE)</f>
        <v>#REF!</v>
      </c>
      <c r="J32" s="6" t="e">
        <f ca="1">VLOOKUP(CONCATENATE(LEFT(J$7, 7), "hscp", $B32), [0]!data_range, 5, FALSE)</f>
        <v>#REF!</v>
      </c>
      <c r="K32" s="6" t="e">
        <f ca="1">VLOOKUP(CONCATENATE(LEFT(K$7, 7), "hscp", $B32), [0]!data_range, 5, FALSE)</f>
        <v>#REF!</v>
      </c>
      <c r="L32" s="6" t="e">
        <f ca="1">VLOOKUP(CONCATENATE(LEFT(L$7, 7), "hscp", $B32), [0]!data_range, 5, FALSE)</f>
        <v>#REF!</v>
      </c>
      <c r="M32" s="68"/>
      <c r="N32" s="68"/>
      <c r="O32" s="68"/>
      <c r="P32" s="68"/>
      <c r="Q32" s="68"/>
      <c r="R32" s="68"/>
      <c r="S32" s="68"/>
      <c r="AA32" s="1" t="e">
        <f t="shared" ca="1" si="2"/>
        <v>#REF!</v>
      </c>
      <c r="AB32" s="1" t="e">
        <f t="shared" ca="1" si="3"/>
        <v>#REF!</v>
      </c>
      <c r="AC32" s="1" t="e">
        <f t="shared" ca="1" si="4"/>
        <v>#REF!</v>
      </c>
    </row>
    <row r="33" spans="2:29" ht="15" customHeight="1" x14ac:dyDescent="0.25">
      <c r="B33" s="64" t="s">
        <v>104</v>
      </c>
      <c r="C33" s="6" t="e">
        <f ca="1">VLOOKUP(CONCATENATE(LEFT(C$7, 7), "hscp", $B33), [0]!data_range, 5, FALSE)</f>
        <v>#REF!</v>
      </c>
      <c r="D33" s="6" t="e">
        <f ca="1">VLOOKUP(CONCATENATE(LEFT(D$7, 7), "hscp", $B33), [0]!data_range, 5, FALSE)</f>
        <v>#REF!</v>
      </c>
      <c r="E33" s="6" t="e">
        <f ca="1">VLOOKUP(CONCATENATE(LEFT(E$7, 7), "hscp", $B33), [0]!data_range, 5, FALSE)</f>
        <v>#REF!</v>
      </c>
      <c r="F33" s="6" t="e">
        <f ca="1">VLOOKUP(CONCATENATE(LEFT(F$7, 7), "hscp", $B33), [0]!data_range, 5, FALSE)</f>
        <v>#REF!</v>
      </c>
      <c r="G33" s="6" t="e">
        <f ca="1">VLOOKUP(CONCATENATE(LEFT(G$7, 7), "hscp", $B33), [0]!data_range, 5, FALSE)</f>
        <v>#REF!</v>
      </c>
      <c r="H33" s="6" t="e">
        <f ca="1">VLOOKUP(CONCATENATE(LEFT(H$7, 7), "hscp", $B33), [0]!data_range, 5, FALSE)</f>
        <v>#REF!</v>
      </c>
      <c r="I33" s="6" t="e">
        <f ca="1">VLOOKUP(CONCATENATE(LEFT(I$7, 7), "hscp", $B33), [0]!data_range, 5, FALSE)</f>
        <v>#REF!</v>
      </c>
      <c r="J33" s="6" t="e">
        <f ca="1">VLOOKUP(CONCATENATE(LEFT(J$7, 7), "hscp", $B33), [0]!data_range, 5, FALSE)</f>
        <v>#REF!</v>
      </c>
      <c r="K33" s="6" t="e">
        <f ca="1">VLOOKUP(CONCATENATE(LEFT(K$7, 7), "hscp", $B33), [0]!data_range, 5, FALSE)</f>
        <v>#REF!</v>
      </c>
      <c r="L33" s="6" t="e">
        <f ca="1">VLOOKUP(CONCATENATE(LEFT(L$7, 7), "hscp", $B33), [0]!data_range, 5, FALSE)</f>
        <v>#REF!</v>
      </c>
      <c r="M33" s="68"/>
      <c r="N33" s="68"/>
      <c r="O33" s="68"/>
      <c r="P33" s="68"/>
      <c r="Q33" s="68"/>
      <c r="R33" s="68"/>
      <c r="S33" s="68"/>
      <c r="AA33" s="1" t="e">
        <f t="shared" ca="1" si="2"/>
        <v>#REF!</v>
      </c>
      <c r="AB33" s="1" t="e">
        <f t="shared" ca="1" si="3"/>
        <v>#REF!</v>
      </c>
      <c r="AC33" s="1" t="e">
        <f t="shared" ca="1" si="4"/>
        <v>#REF!</v>
      </c>
    </row>
    <row r="34" spans="2:29" ht="15" customHeight="1" x14ac:dyDescent="0.25">
      <c r="B34" s="64" t="s">
        <v>105</v>
      </c>
      <c r="C34" s="6" t="e">
        <f ca="1">VLOOKUP(CONCATENATE(LEFT(C$7, 7), "hscp", $B34), [0]!data_range, 5, FALSE)</f>
        <v>#REF!</v>
      </c>
      <c r="D34" s="6" t="e">
        <f ca="1">VLOOKUP(CONCATENATE(LEFT(D$7, 7), "hscp", $B34), [0]!data_range, 5, FALSE)</f>
        <v>#REF!</v>
      </c>
      <c r="E34" s="6" t="e">
        <f ca="1">VLOOKUP(CONCATENATE(LEFT(E$7, 7), "hscp", $B34), [0]!data_range, 5, FALSE)</f>
        <v>#REF!</v>
      </c>
      <c r="F34" s="6" t="e">
        <f ca="1">VLOOKUP(CONCATENATE(LEFT(F$7, 7), "hscp", $B34), [0]!data_range, 5, FALSE)</f>
        <v>#REF!</v>
      </c>
      <c r="G34" s="6" t="e">
        <f ca="1">VLOOKUP(CONCATENATE(LEFT(G$7, 7), "hscp", $B34), [0]!data_range, 5, FALSE)</f>
        <v>#REF!</v>
      </c>
      <c r="H34" s="6" t="e">
        <f ca="1">VLOOKUP(CONCATENATE(LEFT(H$7, 7), "hscp", $B34), [0]!data_range, 5, FALSE)</f>
        <v>#REF!</v>
      </c>
      <c r="I34" s="6" t="e">
        <f ca="1">VLOOKUP(CONCATENATE(LEFT(I$7, 7), "hscp", $B34), [0]!data_range, 5, FALSE)</f>
        <v>#REF!</v>
      </c>
      <c r="J34" s="6" t="e">
        <f ca="1">VLOOKUP(CONCATENATE(LEFT(J$7, 7), "hscp", $B34), [0]!data_range, 5, FALSE)</f>
        <v>#REF!</v>
      </c>
      <c r="K34" s="6" t="e">
        <f ca="1">VLOOKUP(CONCATENATE(LEFT(K$7, 7), "hscp", $B34), [0]!data_range, 5, FALSE)</f>
        <v>#REF!</v>
      </c>
      <c r="L34" s="6" t="e">
        <f ca="1">VLOOKUP(CONCATENATE(LEFT(L$7, 7), "hscp", $B34), [0]!data_range, 5, FALSE)</f>
        <v>#REF!</v>
      </c>
      <c r="M34" s="68"/>
      <c r="N34" s="68"/>
      <c r="O34" s="68"/>
      <c r="P34" s="68"/>
      <c r="Q34" s="68"/>
      <c r="R34" s="68"/>
      <c r="S34" s="68"/>
      <c r="AA34" s="1" t="e">
        <f t="shared" ca="1" si="2"/>
        <v>#REF!</v>
      </c>
      <c r="AB34" s="1" t="e">
        <f t="shared" ca="1" si="3"/>
        <v>#REF!</v>
      </c>
      <c r="AC34" s="1" t="e">
        <f t="shared" ca="1" si="4"/>
        <v>#REF!</v>
      </c>
    </row>
    <row r="35" spans="2:29" ht="15" customHeight="1" x14ac:dyDescent="0.25">
      <c r="B35" s="64" t="s">
        <v>106</v>
      </c>
      <c r="C35" s="6" t="e">
        <f ca="1">VLOOKUP(CONCATENATE(LEFT(C$7, 7), "hscp", $B35), [0]!data_range, 5, FALSE)</f>
        <v>#REF!</v>
      </c>
      <c r="D35" s="6" t="e">
        <f ca="1">VLOOKUP(CONCATENATE(LEFT(D$7, 7), "hscp", $B35), [0]!data_range, 5, FALSE)</f>
        <v>#REF!</v>
      </c>
      <c r="E35" s="6" t="e">
        <f ca="1">VLOOKUP(CONCATENATE(LEFT(E$7, 7), "hscp", $B35), [0]!data_range, 5, FALSE)</f>
        <v>#REF!</v>
      </c>
      <c r="F35" s="6" t="e">
        <f ca="1">VLOOKUP(CONCATENATE(LEFT(F$7, 7), "hscp", $B35), [0]!data_range, 5, FALSE)</f>
        <v>#REF!</v>
      </c>
      <c r="G35" s="6" t="e">
        <f ca="1">VLOOKUP(CONCATENATE(LEFT(G$7, 7), "hscp", $B35), [0]!data_range, 5, FALSE)</f>
        <v>#REF!</v>
      </c>
      <c r="H35" s="6" t="e">
        <f ca="1">VLOOKUP(CONCATENATE(LEFT(H$7, 7), "hscp", $B35), [0]!data_range, 5, FALSE)</f>
        <v>#REF!</v>
      </c>
      <c r="I35" s="6" t="e">
        <f ca="1">VLOOKUP(CONCATENATE(LEFT(I$7, 7), "hscp", $B35), [0]!data_range, 5, FALSE)</f>
        <v>#REF!</v>
      </c>
      <c r="J35" s="6" t="e">
        <f ca="1">VLOOKUP(CONCATENATE(LEFT(J$7, 7), "hscp", $B35), [0]!data_range, 5, FALSE)</f>
        <v>#REF!</v>
      </c>
      <c r="K35" s="6" t="e">
        <f ca="1">VLOOKUP(CONCATENATE(LEFT(K$7, 7), "hscp", $B35), [0]!data_range, 5, FALSE)</f>
        <v>#REF!</v>
      </c>
      <c r="L35" s="6" t="e">
        <f ca="1">VLOOKUP(CONCATENATE(LEFT(L$7, 7), "hscp", $B35), [0]!data_range, 5, FALSE)</f>
        <v>#REF!</v>
      </c>
      <c r="M35" s="68"/>
      <c r="N35" s="68"/>
      <c r="O35" s="68"/>
      <c r="P35" s="68"/>
      <c r="Q35" s="68"/>
      <c r="R35" s="68"/>
      <c r="S35" s="68"/>
      <c r="AA35" s="1" t="e">
        <f t="shared" ca="1" si="2"/>
        <v>#REF!</v>
      </c>
      <c r="AB35" s="1" t="e">
        <f t="shared" ca="1" si="3"/>
        <v>#REF!</v>
      </c>
      <c r="AC35" s="1" t="e">
        <f t="shared" ca="1" si="4"/>
        <v>#REF!</v>
      </c>
    </row>
    <row r="36" spans="2:29" ht="15" customHeight="1" x14ac:dyDescent="0.25">
      <c r="B36" s="64" t="s">
        <v>107</v>
      </c>
      <c r="C36" s="6" t="e">
        <f ca="1">VLOOKUP(CONCATENATE(LEFT(C$7, 7), "hscp", $B36), [0]!data_range, 5, FALSE)</f>
        <v>#REF!</v>
      </c>
      <c r="D36" s="6" t="e">
        <f ca="1">VLOOKUP(CONCATENATE(LEFT(D$7, 7), "hscp", $B36), [0]!data_range, 5, FALSE)</f>
        <v>#REF!</v>
      </c>
      <c r="E36" s="6" t="e">
        <f ca="1">VLOOKUP(CONCATENATE(LEFT(E$7, 7), "hscp", $B36), [0]!data_range, 5, FALSE)</f>
        <v>#REF!</v>
      </c>
      <c r="F36" s="6" t="e">
        <f ca="1">VLOOKUP(CONCATENATE(LEFT(F$7, 7), "hscp", $B36), [0]!data_range, 5, FALSE)</f>
        <v>#REF!</v>
      </c>
      <c r="G36" s="6" t="e">
        <f ca="1">VLOOKUP(CONCATENATE(LEFT(G$7, 7), "hscp", $B36), [0]!data_range, 5, FALSE)</f>
        <v>#REF!</v>
      </c>
      <c r="H36" s="6" t="e">
        <f ca="1">VLOOKUP(CONCATENATE(LEFT(H$7, 7), "hscp", $B36), [0]!data_range, 5, FALSE)</f>
        <v>#REF!</v>
      </c>
      <c r="I36" s="6" t="e">
        <f ca="1">VLOOKUP(CONCATENATE(LEFT(I$7, 7), "hscp", $B36), [0]!data_range, 5, FALSE)</f>
        <v>#REF!</v>
      </c>
      <c r="J36" s="6" t="e">
        <f ca="1">VLOOKUP(CONCATENATE(LEFT(J$7, 7), "hscp", $B36), [0]!data_range, 5, FALSE)</f>
        <v>#REF!</v>
      </c>
      <c r="K36" s="6" t="e">
        <f ca="1">VLOOKUP(CONCATENATE(LEFT(K$7, 7), "hscp", $B36), [0]!data_range, 5, FALSE)</f>
        <v>#REF!</v>
      </c>
      <c r="L36" s="6" t="e">
        <f ca="1">VLOOKUP(CONCATENATE(LEFT(L$7, 7), "hscp", $B36), [0]!data_range, 5, FALSE)</f>
        <v>#REF!</v>
      </c>
      <c r="M36" s="68"/>
      <c r="N36" s="68"/>
      <c r="O36" s="68"/>
      <c r="P36" s="68"/>
      <c r="Q36" s="68"/>
      <c r="R36" s="68"/>
      <c r="S36" s="68"/>
      <c r="AA36" s="1" t="e">
        <f t="shared" ca="1" si="2"/>
        <v>#REF!</v>
      </c>
      <c r="AB36" s="1" t="e">
        <f t="shared" ca="1" si="3"/>
        <v>#REF!</v>
      </c>
      <c r="AC36" s="1" t="e">
        <f t="shared" ca="1" si="4"/>
        <v>#REF!</v>
      </c>
    </row>
    <row r="37" spans="2:29" ht="15" customHeight="1" x14ac:dyDescent="0.25">
      <c r="B37" s="64" t="s">
        <v>108</v>
      </c>
      <c r="C37" s="6" t="e">
        <f ca="1">VLOOKUP(CONCATENATE(LEFT(C$7, 7), "hscp", $B37), [0]!data_range, 5, FALSE)</f>
        <v>#REF!</v>
      </c>
      <c r="D37" s="6" t="e">
        <f ca="1">VLOOKUP(CONCATENATE(LEFT(D$7, 7), "hscp", $B37), [0]!data_range, 5, FALSE)</f>
        <v>#REF!</v>
      </c>
      <c r="E37" s="6" t="e">
        <f ca="1">VLOOKUP(CONCATENATE(LEFT(E$7, 7), "hscp", $B37), [0]!data_range, 5, FALSE)</f>
        <v>#REF!</v>
      </c>
      <c r="F37" s="6" t="e">
        <f ca="1">VLOOKUP(CONCATENATE(LEFT(F$7, 7), "hscp", $B37), [0]!data_range, 5, FALSE)</f>
        <v>#REF!</v>
      </c>
      <c r="G37" s="6" t="e">
        <f ca="1">VLOOKUP(CONCATENATE(LEFT(G$7, 7), "hscp", $B37), [0]!data_range, 5, FALSE)</f>
        <v>#REF!</v>
      </c>
      <c r="H37" s="6" t="e">
        <f ca="1">VLOOKUP(CONCATENATE(LEFT(H$7, 7), "hscp", $B37), [0]!data_range, 5, FALSE)</f>
        <v>#REF!</v>
      </c>
      <c r="I37" s="6" t="e">
        <f ca="1">VLOOKUP(CONCATENATE(LEFT(I$7, 7), "hscp", $B37), [0]!data_range, 5, FALSE)</f>
        <v>#REF!</v>
      </c>
      <c r="J37" s="6" t="e">
        <f ca="1">VLOOKUP(CONCATENATE(LEFT(J$7, 7), "hscp", $B37), [0]!data_range, 5, FALSE)</f>
        <v>#REF!</v>
      </c>
      <c r="K37" s="6" t="e">
        <f ca="1">VLOOKUP(CONCATENATE(LEFT(K$7, 7), "hscp", $B37), [0]!data_range, 5, FALSE)</f>
        <v>#REF!</v>
      </c>
      <c r="L37" s="6" t="e">
        <f ca="1">VLOOKUP(CONCATENATE(LEFT(L$7, 7), "hscp", $B37), [0]!data_range, 5, FALSE)</f>
        <v>#REF!</v>
      </c>
      <c r="M37" s="68"/>
      <c r="N37" s="68"/>
      <c r="O37" s="68"/>
      <c r="P37" s="68"/>
      <c r="Q37" s="68"/>
      <c r="R37" s="68"/>
      <c r="S37" s="68"/>
      <c r="AA37" s="1" t="e">
        <f t="shared" ca="1" si="2"/>
        <v>#REF!</v>
      </c>
      <c r="AB37" s="1" t="e">
        <f t="shared" ca="1" si="3"/>
        <v>#REF!</v>
      </c>
      <c r="AC37" s="1" t="e">
        <f t="shared" ca="1" si="4"/>
        <v>#REF!</v>
      </c>
    </row>
    <row r="38" spans="2:29" ht="15" customHeight="1" x14ac:dyDescent="0.25">
      <c r="B38" s="64" t="s">
        <v>10</v>
      </c>
      <c r="C38" s="6" t="e">
        <f ca="1">VLOOKUP(CONCATENATE(LEFT(C$7, 7), "hscp", $B38), [0]!data_range, 5, FALSE)</f>
        <v>#REF!</v>
      </c>
      <c r="D38" s="6" t="e">
        <f ca="1">VLOOKUP(CONCATENATE(LEFT(D$7, 7), "hscp", $B38), [0]!data_range, 5, FALSE)</f>
        <v>#REF!</v>
      </c>
      <c r="E38" s="6" t="e">
        <f ca="1">VLOOKUP(CONCATENATE(LEFT(E$7, 7), "hscp", $B38), [0]!data_range, 5, FALSE)</f>
        <v>#REF!</v>
      </c>
      <c r="F38" s="6" t="e">
        <f ca="1">VLOOKUP(CONCATENATE(LEFT(F$7, 7), "hscp", $B38), [0]!data_range, 5, FALSE)</f>
        <v>#REF!</v>
      </c>
      <c r="G38" s="6" t="e">
        <f ca="1">VLOOKUP(CONCATENATE(LEFT(G$7, 7), "hscp", $B38), [0]!data_range, 5, FALSE)</f>
        <v>#REF!</v>
      </c>
      <c r="H38" s="6" t="e">
        <f ca="1">VLOOKUP(CONCATENATE(LEFT(H$7, 7), "hscp", $B38), [0]!data_range, 5, FALSE)</f>
        <v>#REF!</v>
      </c>
      <c r="I38" s="6" t="e">
        <f ca="1">VLOOKUP(CONCATENATE(LEFT(I$7, 7), "hscp", $B38), [0]!data_range, 5, FALSE)</f>
        <v>#REF!</v>
      </c>
      <c r="J38" s="6" t="e">
        <f ca="1">VLOOKUP(CONCATENATE(LEFT(J$7, 7), "hscp", $B38), [0]!data_range, 5, FALSE)</f>
        <v>#REF!</v>
      </c>
      <c r="K38" s="6" t="e">
        <f ca="1">VLOOKUP(CONCATENATE(LEFT(K$7, 7), "hscp", $B38), [0]!data_range, 5, FALSE)</f>
        <v>#REF!</v>
      </c>
      <c r="L38" s="6" t="e">
        <f ca="1">VLOOKUP(CONCATENATE(LEFT(L$7, 7), "hscp", $B38), [0]!data_range, 5, FALSE)</f>
        <v>#REF!</v>
      </c>
      <c r="M38" s="68"/>
      <c r="N38" s="68"/>
      <c r="O38" s="68"/>
      <c r="P38" s="68"/>
      <c r="Q38" s="68"/>
      <c r="R38" s="68"/>
      <c r="S38" s="68"/>
      <c r="AA38" s="1" t="e">
        <f t="shared" ca="1" si="2"/>
        <v>#REF!</v>
      </c>
      <c r="AB38" s="1" t="e">
        <f t="shared" ca="1" si="3"/>
        <v>#REF!</v>
      </c>
      <c r="AC38" s="1" t="e">
        <f t="shared" ca="1" si="4"/>
        <v>#REF!</v>
      </c>
    </row>
    <row r="39" spans="2:29" ht="15" customHeight="1" x14ac:dyDescent="0.25">
      <c r="B39" s="10" t="s">
        <v>11</v>
      </c>
      <c r="C39" s="23" t="e">
        <f ca="1">VLOOKUP(CONCATENATE(LEFT(C$7, 7), "Scotland", $B39), [0]!data_range, 5, FALSE)</f>
        <v>#REF!</v>
      </c>
      <c r="D39" s="23" t="e">
        <f ca="1">VLOOKUP(CONCATENATE(LEFT(D$7, 7), "Scotland", $B39), [0]!data_range, 5, FALSE)</f>
        <v>#REF!</v>
      </c>
      <c r="E39" s="23" t="e">
        <f ca="1">VLOOKUP(CONCATENATE(LEFT(E$7, 7), "Scotland", $B39), [0]!data_range, 5, FALSE)</f>
        <v>#REF!</v>
      </c>
      <c r="F39" s="23" t="e">
        <f ca="1">VLOOKUP(CONCATENATE(LEFT(F$7, 7), "Scotland", $B39), [0]!data_range, 5, FALSE)</f>
        <v>#REF!</v>
      </c>
      <c r="G39" s="23" t="e">
        <f ca="1">VLOOKUP(CONCATENATE(LEFT(G$7, 7), "Scotland", $B39), [0]!data_range, 5, FALSE)</f>
        <v>#REF!</v>
      </c>
      <c r="H39" s="23" t="e">
        <f ca="1">VLOOKUP(CONCATENATE(LEFT(H$7, 7), "Scotland", $B39), [0]!data_range, 5, FALSE)</f>
        <v>#REF!</v>
      </c>
      <c r="I39" s="23" t="e">
        <f ca="1">VLOOKUP(CONCATENATE(LEFT(I$7, 7), "Scotland", $B39), [0]!data_range, 5, FALSE)</f>
        <v>#REF!</v>
      </c>
      <c r="J39" s="23" t="e">
        <f ca="1">VLOOKUP(CONCATENATE(LEFT(J$7, 7), "Scotland", $B39), [0]!data_range, 5, FALSE)</f>
        <v>#REF!</v>
      </c>
      <c r="K39" s="23" t="e">
        <f ca="1">VLOOKUP(CONCATENATE(LEFT(K$7, 7), "Scotland", $B39), [0]!data_range, 5, FALSE)</f>
        <v>#REF!</v>
      </c>
      <c r="L39" s="23" t="e">
        <f ca="1">VLOOKUP(CONCATENATE(LEFT(L$7, 7), "Scotland", $B39), [0]!data_range, 5, FALSE)</f>
        <v>#REF!</v>
      </c>
      <c r="M39" s="25"/>
      <c r="N39" s="25"/>
      <c r="O39" s="25"/>
      <c r="P39" s="25"/>
      <c r="Q39" s="25"/>
      <c r="R39" s="25"/>
      <c r="S39" s="25"/>
      <c r="AA39" s="1" t="e">
        <f t="shared" ca="1" si="2"/>
        <v>#REF!</v>
      </c>
      <c r="AB39" s="1" t="e">
        <f t="shared" ca="1" si="3"/>
        <v>#REF!</v>
      </c>
      <c r="AC39" s="1" t="e">
        <f t="shared" ca="1" si="4"/>
        <v>#REF!</v>
      </c>
    </row>
    <row r="40" spans="2:29" ht="15" customHeight="1" x14ac:dyDescent="0.25">
      <c r="J40" s="64"/>
      <c r="K40" s="64"/>
      <c r="L40" s="67"/>
    </row>
    <row r="41" spans="2:29" ht="15" customHeight="1" x14ac:dyDescent="0.25">
      <c r="C41" s="6"/>
      <c r="J41" s="64"/>
      <c r="K41" s="64"/>
      <c r="L41" s="67"/>
    </row>
    <row r="42" spans="2:29" ht="15" customHeight="1" x14ac:dyDescent="0.25">
      <c r="B42" s="66" t="s">
        <v>14</v>
      </c>
      <c r="J42" s="64"/>
      <c r="K42" s="64"/>
      <c r="L42" s="67"/>
    </row>
    <row r="43" spans="2:29" ht="15" customHeight="1" x14ac:dyDescent="0.25">
      <c r="J43" s="64"/>
      <c r="K43" s="64"/>
      <c r="L43" s="67"/>
    </row>
    <row r="44" spans="2:29" ht="15" customHeight="1" x14ac:dyDescent="0.25">
      <c r="B44" s="5" t="s">
        <v>208</v>
      </c>
      <c r="J44" s="64"/>
      <c r="K44" s="64"/>
      <c r="L44" s="67"/>
    </row>
    <row r="45" spans="2:29" ht="15" customHeight="1" x14ac:dyDescent="0.25">
      <c r="B45" s="5" t="s">
        <v>200</v>
      </c>
      <c r="J45" s="64"/>
      <c r="K45" s="64"/>
      <c r="L45" s="67"/>
    </row>
    <row r="46" spans="2:29" ht="15" customHeight="1" x14ac:dyDescent="0.25">
      <c r="B46" s="30" t="e">
        <f ca="1" xml:space="preserve"> "p. " &amp; calculation!$E$14</f>
        <v>#REF!</v>
      </c>
      <c r="J46" s="64"/>
      <c r="K46" s="64"/>
      <c r="L46" s="67"/>
    </row>
    <row r="47" spans="2:29" ht="15" customHeight="1" x14ac:dyDescent="0.25">
      <c r="B47" s="5" t="str">
        <f>"1. " &amp; calculation!E17</f>
        <v>1. Figures in 2020/21 and 2021/22 are likely to have been affected by the impact of COVID-19 on hospital stays.</v>
      </c>
      <c r="J47" s="64"/>
      <c r="K47" s="64"/>
      <c r="L47" s="67"/>
    </row>
    <row r="48" spans="2:29" ht="15" customHeight="1" x14ac:dyDescent="0.25">
      <c r="J48" s="64"/>
      <c r="K48" s="64"/>
      <c r="L48" s="67"/>
    </row>
    <row r="49" spans="10:12" ht="15" customHeight="1" x14ac:dyDescent="0.25">
      <c r="J49" s="64"/>
      <c r="K49" s="64"/>
      <c r="L49" s="67"/>
    </row>
    <row r="50" spans="10:12" ht="15" customHeight="1" x14ac:dyDescent="0.25">
      <c r="J50" s="64"/>
      <c r="K50" s="64"/>
      <c r="L50" s="67"/>
    </row>
    <row r="51" spans="10:12" ht="15" customHeight="1" x14ac:dyDescent="0.25">
      <c r="J51" s="64"/>
      <c r="K51" s="64"/>
      <c r="L51" s="67"/>
    </row>
    <row r="52" spans="10:12" ht="15" customHeight="1" x14ac:dyDescent="0.25">
      <c r="J52" s="64"/>
      <c r="K52" s="64"/>
      <c r="L52" s="67"/>
    </row>
    <row r="53" spans="10:12" ht="15" customHeight="1" x14ac:dyDescent="0.25">
      <c r="J53" s="64"/>
      <c r="K53" s="64"/>
      <c r="L53" s="67"/>
    </row>
    <row r="54" spans="10:12" ht="15" customHeight="1" x14ac:dyDescent="0.25">
      <c r="J54" s="64"/>
      <c r="K54" s="64"/>
      <c r="L54" s="67"/>
    </row>
    <row r="55" spans="10:12" ht="15" customHeight="1" x14ac:dyDescent="0.25">
      <c r="J55" s="64"/>
      <c r="K55" s="64"/>
      <c r="L55" s="67"/>
    </row>
    <row r="56" spans="10:12" ht="15" customHeight="1" x14ac:dyDescent="0.25">
      <c r="J56" s="64"/>
      <c r="K56" s="64"/>
      <c r="L56" s="67"/>
    </row>
    <row r="57" spans="10:12" ht="15" customHeight="1" x14ac:dyDescent="0.25">
      <c r="J57" s="64"/>
      <c r="K57" s="64"/>
      <c r="L57" s="67"/>
    </row>
    <row r="58" spans="10:12" ht="15" customHeight="1" x14ac:dyDescent="0.25">
      <c r="J58" s="64"/>
      <c r="K58" s="64"/>
      <c r="L58" s="67"/>
    </row>
    <row r="59" spans="10:12" ht="15" customHeight="1" x14ac:dyDescent="0.25">
      <c r="J59" s="64"/>
      <c r="K59" s="64"/>
      <c r="L59" s="67"/>
    </row>
    <row r="60" spans="10:12" ht="15" customHeight="1" x14ac:dyDescent="0.25">
      <c r="J60" s="64"/>
      <c r="K60" s="64"/>
      <c r="L60" s="67"/>
    </row>
    <row r="61" spans="10:12" ht="15" customHeight="1" x14ac:dyDescent="0.25">
      <c r="J61" s="64"/>
      <c r="K61" s="64"/>
      <c r="L61" s="67"/>
    </row>
    <row r="62" spans="10:12" ht="15" customHeight="1" x14ac:dyDescent="0.25">
      <c r="J62" s="64"/>
      <c r="K62" s="64"/>
      <c r="L62" s="67"/>
    </row>
    <row r="63" spans="10:12" ht="15" customHeight="1" x14ac:dyDescent="0.25">
      <c r="J63" s="64"/>
      <c r="K63" s="64"/>
      <c r="L63" s="67"/>
    </row>
    <row r="64" spans="10:12" ht="15" customHeight="1" x14ac:dyDescent="0.25">
      <c r="J64" s="64"/>
      <c r="K64" s="64"/>
      <c r="L64" s="67"/>
    </row>
    <row r="65" spans="10:12" ht="15" customHeight="1" x14ac:dyDescent="0.25">
      <c r="J65" s="64"/>
      <c r="K65" s="64"/>
      <c r="L65" s="67"/>
    </row>
    <row r="66" spans="10:12" ht="15" customHeight="1" x14ac:dyDescent="0.25">
      <c r="J66" s="64"/>
      <c r="K66" s="64"/>
      <c r="L66" s="67"/>
    </row>
    <row r="67" spans="10:12" ht="15" customHeight="1" x14ac:dyDescent="0.25">
      <c r="J67" s="64"/>
      <c r="K67" s="64"/>
      <c r="L67" s="67"/>
    </row>
    <row r="68" spans="10:12" ht="15" customHeight="1" x14ac:dyDescent="0.25">
      <c r="J68" s="64"/>
      <c r="K68" s="64"/>
      <c r="L68" s="67"/>
    </row>
    <row r="69" spans="10:12" ht="15" customHeight="1" x14ac:dyDescent="0.25">
      <c r="J69" s="64"/>
      <c r="K69" s="64"/>
      <c r="L69" s="67"/>
    </row>
    <row r="70" spans="10:12" ht="15" customHeight="1" x14ac:dyDescent="0.25">
      <c r="J70" s="64"/>
      <c r="K70" s="64"/>
      <c r="L70" s="67"/>
    </row>
    <row r="71" spans="10:12" ht="15" customHeight="1" x14ac:dyDescent="0.25">
      <c r="J71" s="64"/>
      <c r="K71" s="64"/>
      <c r="L71" s="67"/>
    </row>
    <row r="72" spans="10:12" ht="15" customHeight="1" x14ac:dyDescent="0.25">
      <c r="J72" s="64"/>
      <c r="K72" s="64"/>
      <c r="L72" s="67"/>
    </row>
    <row r="73" spans="10:12" ht="15" customHeight="1" x14ac:dyDescent="0.25">
      <c r="J73" s="64"/>
      <c r="K73" s="64"/>
      <c r="L73" s="67"/>
    </row>
    <row r="74" spans="10:12" ht="15" customHeight="1" x14ac:dyDescent="0.25">
      <c r="J74" s="64"/>
      <c r="K74" s="64"/>
      <c r="L74" s="67"/>
    </row>
    <row r="75" spans="10:12" ht="15" customHeight="1" x14ac:dyDescent="0.25">
      <c r="J75" s="64"/>
      <c r="K75" s="64"/>
      <c r="L75" s="67"/>
    </row>
    <row r="76" spans="10:12" ht="15" customHeight="1" x14ac:dyDescent="0.25">
      <c r="J76" s="64"/>
      <c r="K76" s="64"/>
      <c r="L76" s="67"/>
    </row>
    <row r="77" spans="10:12" ht="15" customHeight="1" x14ac:dyDescent="0.25">
      <c r="J77" s="64"/>
      <c r="K77" s="64"/>
      <c r="L77" s="67"/>
    </row>
    <row r="78" spans="10:12" ht="15" customHeight="1" x14ac:dyDescent="0.25">
      <c r="J78" s="64"/>
      <c r="K78" s="64"/>
      <c r="L78" s="67"/>
    </row>
    <row r="79" spans="10:12" ht="15" customHeight="1" x14ac:dyDescent="0.25">
      <c r="J79" s="64"/>
      <c r="K79" s="64"/>
      <c r="L79" s="67"/>
    </row>
    <row r="80" spans="10:12" ht="15" customHeight="1" x14ac:dyDescent="0.25">
      <c r="J80" s="64"/>
      <c r="K80" s="64"/>
      <c r="L80" s="67"/>
    </row>
    <row r="81" spans="10:12" ht="15" customHeight="1" x14ac:dyDescent="0.25">
      <c r="J81" s="64"/>
      <c r="K81" s="64"/>
      <c r="L81" s="67"/>
    </row>
    <row r="82" spans="10:12" ht="15" customHeight="1" x14ac:dyDescent="0.25">
      <c r="J82" s="64"/>
      <c r="K82" s="64"/>
      <c r="L82" s="67"/>
    </row>
    <row r="83" spans="10:12" ht="15" customHeight="1" x14ac:dyDescent="0.25">
      <c r="J83" s="64"/>
      <c r="K83" s="64"/>
      <c r="L83" s="67"/>
    </row>
    <row r="84" spans="10:12" ht="15" customHeight="1" x14ac:dyDescent="0.25">
      <c r="J84" s="64"/>
      <c r="K84" s="64"/>
      <c r="L84" s="67"/>
    </row>
    <row r="85" spans="10:12" ht="15" customHeight="1" x14ac:dyDescent="0.25">
      <c r="J85" s="64"/>
      <c r="K85" s="64"/>
      <c r="L85" s="67"/>
    </row>
    <row r="86" spans="10:12" ht="15" customHeight="1" x14ac:dyDescent="0.25">
      <c r="J86" s="64"/>
      <c r="K86" s="64"/>
      <c r="L86" s="67"/>
    </row>
    <row r="87" spans="10:12" ht="15" customHeight="1" x14ac:dyDescent="0.25">
      <c r="J87" s="64"/>
      <c r="K87" s="64"/>
      <c r="L87" s="67"/>
    </row>
    <row r="88" spans="10:12" ht="15" customHeight="1" x14ac:dyDescent="0.25">
      <c r="J88" s="64"/>
      <c r="K88" s="64"/>
      <c r="L88" s="67"/>
    </row>
    <row r="89" spans="10:12" ht="15" customHeight="1" x14ac:dyDescent="0.25">
      <c r="J89" s="64"/>
      <c r="K89" s="64"/>
      <c r="L89" s="67"/>
    </row>
    <row r="90" spans="10:12" ht="15" customHeight="1" x14ac:dyDescent="0.25">
      <c r="J90" s="64"/>
      <c r="K90" s="64"/>
      <c r="L90" s="67"/>
    </row>
    <row r="91" spans="10:12" ht="15" customHeight="1" x14ac:dyDescent="0.25">
      <c r="J91" s="64"/>
      <c r="K91" s="64"/>
      <c r="L91" s="67"/>
    </row>
    <row r="92" spans="10:12" ht="15" customHeight="1" x14ac:dyDescent="0.25">
      <c r="J92" s="64"/>
      <c r="K92" s="64"/>
      <c r="L92" s="67"/>
    </row>
    <row r="93" spans="10:12" ht="15" customHeight="1" x14ac:dyDescent="0.25">
      <c r="J93" s="64"/>
      <c r="K93" s="64"/>
      <c r="L93" s="67"/>
    </row>
    <row r="94" spans="10:12" ht="15" customHeight="1" x14ac:dyDescent="0.25">
      <c r="J94" s="64"/>
      <c r="K94" s="64"/>
      <c r="L94" s="67"/>
    </row>
    <row r="95" spans="10:12" ht="15" customHeight="1" x14ac:dyDescent="0.25">
      <c r="J95" s="64"/>
      <c r="K95" s="64"/>
      <c r="L95" s="67"/>
    </row>
    <row r="96" spans="10:12" ht="15" customHeight="1" x14ac:dyDescent="0.25">
      <c r="J96" s="64"/>
      <c r="K96" s="64"/>
      <c r="L96" s="67"/>
    </row>
    <row r="97" spans="10:12" ht="15" customHeight="1" x14ac:dyDescent="0.25">
      <c r="J97" s="64"/>
      <c r="K97" s="64"/>
      <c r="L97" s="67"/>
    </row>
    <row r="98" spans="10:12" ht="15" customHeight="1" x14ac:dyDescent="0.25">
      <c r="J98" s="64"/>
      <c r="K98" s="64"/>
      <c r="L98" s="67"/>
    </row>
    <row r="99" spans="10:12" ht="15" customHeight="1" x14ac:dyDescent="0.25">
      <c r="J99" s="64"/>
      <c r="K99" s="64"/>
      <c r="L99" s="67"/>
    </row>
    <row r="100" spans="10:12" ht="15" customHeight="1" x14ac:dyDescent="0.25">
      <c r="J100" s="64"/>
      <c r="K100" s="64"/>
      <c r="L100" s="67"/>
    </row>
    <row r="101" spans="10:12" ht="15" customHeight="1" x14ac:dyDescent="0.25">
      <c r="J101" s="64"/>
      <c r="K101" s="64"/>
      <c r="L101" s="67"/>
    </row>
    <row r="102" spans="10:12" ht="15" customHeight="1" x14ac:dyDescent="0.25">
      <c r="J102" s="64"/>
      <c r="K102" s="64"/>
      <c r="L102" s="67"/>
    </row>
    <row r="103" spans="10:12" ht="15" customHeight="1" x14ac:dyDescent="0.25">
      <c r="J103" s="64"/>
      <c r="K103" s="64"/>
      <c r="L103" s="67"/>
    </row>
    <row r="104" spans="10:12" ht="15" customHeight="1" x14ac:dyDescent="0.25">
      <c r="J104" s="64"/>
      <c r="K104" s="64"/>
      <c r="L104" s="67"/>
    </row>
    <row r="105" spans="10:12" ht="15" customHeight="1" x14ac:dyDescent="0.25">
      <c r="J105" s="64"/>
      <c r="K105" s="64"/>
      <c r="L105" s="67"/>
    </row>
    <row r="106" spans="10:12" ht="15" customHeight="1" x14ac:dyDescent="0.25">
      <c r="J106" s="64"/>
      <c r="K106" s="64"/>
      <c r="L106" s="67"/>
    </row>
    <row r="107" spans="10:12" ht="15" customHeight="1" x14ac:dyDescent="0.25">
      <c r="J107" s="64"/>
      <c r="K107" s="64"/>
      <c r="L107" s="67"/>
    </row>
    <row r="108" spans="10:12" ht="15" customHeight="1" x14ac:dyDescent="0.25">
      <c r="J108" s="64"/>
      <c r="K108" s="64"/>
      <c r="L108" s="67"/>
    </row>
    <row r="109" spans="10:12" ht="15" customHeight="1" x14ac:dyDescent="0.25">
      <c r="J109" s="64"/>
      <c r="K109" s="64"/>
      <c r="L109" s="67"/>
    </row>
    <row r="110" spans="10:12" ht="15" customHeight="1" x14ac:dyDescent="0.25">
      <c r="J110" s="64"/>
      <c r="K110" s="64"/>
      <c r="L110" s="67"/>
    </row>
    <row r="111" spans="10:12" ht="15" customHeight="1" x14ac:dyDescent="0.25">
      <c r="J111" s="64"/>
      <c r="K111" s="64"/>
      <c r="L111" s="67"/>
    </row>
    <row r="112" spans="10:12" ht="15" customHeight="1" x14ac:dyDescent="0.25">
      <c r="J112" s="64"/>
      <c r="K112" s="64"/>
      <c r="L112" s="67"/>
    </row>
    <row r="113" spans="10:12" ht="15" customHeight="1" x14ac:dyDescent="0.25">
      <c r="J113" s="64"/>
      <c r="K113" s="64"/>
      <c r="L113" s="67"/>
    </row>
    <row r="114" spans="10:12" ht="15" customHeight="1" x14ac:dyDescent="0.25">
      <c r="J114" s="64"/>
      <c r="K114" s="64"/>
      <c r="L114" s="67"/>
    </row>
    <row r="115" spans="10:12" ht="15" customHeight="1" x14ac:dyDescent="0.25">
      <c r="J115" s="64"/>
      <c r="K115" s="64"/>
      <c r="L115" s="67"/>
    </row>
    <row r="116" spans="10:12" ht="15" customHeight="1" x14ac:dyDescent="0.25">
      <c r="J116" s="64"/>
      <c r="K116" s="64"/>
      <c r="L116" s="67"/>
    </row>
    <row r="117" spans="10:12" ht="15" customHeight="1" x14ac:dyDescent="0.25">
      <c r="J117" s="64"/>
      <c r="K117" s="64"/>
      <c r="L117" s="67"/>
    </row>
    <row r="118" spans="10:12" ht="15" customHeight="1" x14ac:dyDescent="0.25">
      <c r="J118" s="64"/>
      <c r="K118" s="64"/>
      <c r="L118" s="67"/>
    </row>
    <row r="119" spans="10:12" ht="15" customHeight="1" x14ac:dyDescent="0.25">
      <c r="J119" s="64"/>
      <c r="K119" s="64"/>
      <c r="L119" s="67"/>
    </row>
    <row r="120" spans="10:12" ht="15" customHeight="1" x14ac:dyDescent="0.25">
      <c r="J120" s="64"/>
      <c r="K120" s="64"/>
      <c r="L120" s="67"/>
    </row>
    <row r="121" spans="10:12" ht="15" customHeight="1" x14ac:dyDescent="0.25">
      <c r="J121" s="64"/>
      <c r="K121" s="64"/>
      <c r="L121" s="67"/>
    </row>
    <row r="122" spans="10:12" ht="15" customHeight="1" x14ac:dyDescent="0.25">
      <c r="J122" s="64"/>
      <c r="K122" s="64"/>
      <c r="L122" s="67"/>
    </row>
    <row r="123" spans="10:12" ht="15" customHeight="1" x14ac:dyDescent="0.25">
      <c r="J123" s="64"/>
      <c r="K123" s="64"/>
      <c r="L123" s="67"/>
    </row>
    <row r="124" spans="10:12" ht="15" customHeight="1" x14ac:dyDescent="0.25">
      <c r="J124" s="64"/>
      <c r="K124" s="64"/>
      <c r="L124" s="67"/>
    </row>
    <row r="125" spans="10:12" ht="15" customHeight="1" x14ac:dyDescent="0.25">
      <c r="J125" s="64"/>
      <c r="K125" s="64"/>
      <c r="L125" s="67"/>
    </row>
    <row r="126" spans="10:12" ht="15" customHeight="1" x14ac:dyDescent="0.25">
      <c r="J126" s="64"/>
      <c r="K126" s="64"/>
      <c r="L126" s="67"/>
    </row>
    <row r="127" spans="10:12" ht="15" customHeight="1" x14ac:dyDescent="0.25">
      <c r="J127" s="64"/>
      <c r="K127" s="64"/>
      <c r="L127" s="67"/>
    </row>
    <row r="128" spans="10:12" ht="15" customHeight="1" x14ac:dyDescent="0.25">
      <c r="J128" s="64"/>
      <c r="K128" s="64"/>
      <c r="L128" s="67"/>
    </row>
    <row r="129" spans="10:12" ht="15" customHeight="1" x14ac:dyDescent="0.25">
      <c r="J129" s="64"/>
      <c r="K129" s="64"/>
      <c r="L129" s="67"/>
    </row>
    <row r="130" spans="10:12" ht="15" customHeight="1" x14ac:dyDescent="0.25">
      <c r="J130" s="64"/>
      <c r="K130" s="64"/>
      <c r="L130" s="67"/>
    </row>
    <row r="131" spans="10:12" ht="15" customHeight="1" x14ac:dyDescent="0.25">
      <c r="J131" s="64"/>
      <c r="K131" s="64"/>
      <c r="L131" s="67"/>
    </row>
    <row r="132" spans="10:12" ht="15" customHeight="1" x14ac:dyDescent="0.25">
      <c r="J132" s="64"/>
      <c r="K132" s="64"/>
      <c r="L132" s="67"/>
    </row>
    <row r="133" spans="10:12" ht="15" customHeight="1" x14ac:dyDescent="0.25">
      <c r="J133" s="64"/>
      <c r="K133" s="64"/>
      <c r="L133" s="67"/>
    </row>
    <row r="134" spans="10:12" ht="15" customHeight="1" x14ac:dyDescent="0.25">
      <c r="J134" s="64"/>
      <c r="K134" s="64"/>
      <c r="L134" s="67"/>
    </row>
    <row r="135" spans="10:12" ht="15" customHeight="1" x14ac:dyDescent="0.25">
      <c r="J135" s="64"/>
      <c r="K135" s="64"/>
      <c r="L135" s="67"/>
    </row>
    <row r="136" spans="10:12" ht="15" customHeight="1" x14ac:dyDescent="0.25">
      <c r="J136" s="64"/>
      <c r="K136" s="64"/>
      <c r="L136" s="67"/>
    </row>
    <row r="137" spans="10:12" ht="15" customHeight="1" x14ac:dyDescent="0.25">
      <c r="J137" s="64"/>
      <c r="K137" s="64"/>
      <c r="L137" s="67"/>
    </row>
    <row r="138" spans="10:12" ht="15" customHeight="1" x14ac:dyDescent="0.25">
      <c r="J138" s="64"/>
      <c r="K138" s="64"/>
      <c r="L138" s="67"/>
    </row>
    <row r="139" spans="10:12" ht="15" customHeight="1" x14ac:dyDescent="0.25">
      <c r="J139" s="64"/>
      <c r="K139" s="64"/>
      <c r="L139" s="67"/>
    </row>
    <row r="140" spans="10:12" ht="15" customHeight="1" x14ac:dyDescent="0.25">
      <c r="J140" s="64"/>
      <c r="K140" s="64"/>
      <c r="L140" s="67"/>
    </row>
    <row r="141" spans="10:12" ht="15" customHeight="1" x14ac:dyDescent="0.25">
      <c r="J141" s="64"/>
      <c r="K141" s="64"/>
      <c r="L141" s="67"/>
    </row>
    <row r="142" spans="10:12" ht="15" customHeight="1" x14ac:dyDescent="0.25">
      <c r="J142" s="64"/>
      <c r="K142" s="64"/>
      <c r="L142" s="67"/>
    </row>
    <row r="143" spans="10:12" ht="15" customHeight="1" x14ac:dyDescent="0.25">
      <c r="J143" s="64"/>
      <c r="K143" s="64"/>
      <c r="L143" s="67"/>
    </row>
    <row r="144" spans="10:12" ht="15" customHeight="1" x14ac:dyDescent="0.25">
      <c r="J144" s="64"/>
      <c r="K144" s="64"/>
      <c r="L144" s="67"/>
    </row>
    <row r="145" spans="10:12" ht="15" customHeight="1" x14ac:dyDescent="0.25">
      <c r="J145" s="64"/>
      <c r="K145" s="64"/>
      <c r="L145" s="67"/>
    </row>
    <row r="146" spans="10:12" ht="15" customHeight="1" x14ac:dyDescent="0.25">
      <c r="J146" s="64"/>
      <c r="K146" s="64"/>
      <c r="L146" s="67"/>
    </row>
    <row r="147" spans="10:12" ht="15" customHeight="1" x14ac:dyDescent="0.25">
      <c r="J147" s="64"/>
      <c r="K147" s="64"/>
      <c r="L147" s="67"/>
    </row>
    <row r="148" spans="10:12" ht="15" customHeight="1" x14ac:dyDescent="0.25">
      <c r="J148" s="64"/>
      <c r="K148" s="64"/>
      <c r="L148" s="67"/>
    </row>
    <row r="149" spans="10:12" ht="15" customHeight="1" x14ac:dyDescent="0.25">
      <c r="J149" s="64"/>
      <c r="K149" s="64"/>
      <c r="L149" s="67"/>
    </row>
    <row r="150" spans="10:12" ht="15" customHeight="1" x14ac:dyDescent="0.25">
      <c r="J150" s="64"/>
      <c r="K150" s="64"/>
      <c r="L150" s="67"/>
    </row>
    <row r="151" spans="10:12" ht="15" customHeight="1" x14ac:dyDescent="0.25">
      <c r="J151" s="64"/>
      <c r="K151" s="64"/>
      <c r="L151" s="67"/>
    </row>
    <row r="152" spans="10:12" ht="15" customHeight="1" x14ac:dyDescent="0.25">
      <c r="J152" s="64"/>
      <c r="K152" s="64"/>
      <c r="L152" s="67"/>
    </row>
    <row r="153" spans="10:12" ht="15" customHeight="1" x14ac:dyDescent="0.25">
      <c r="J153" s="64"/>
      <c r="K153" s="64"/>
      <c r="L153" s="67"/>
    </row>
    <row r="154" spans="10:12" ht="15" customHeight="1" x14ac:dyDescent="0.25">
      <c r="J154" s="64"/>
      <c r="K154" s="64"/>
      <c r="L154" s="67"/>
    </row>
    <row r="155" spans="10:12" ht="15" customHeight="1" x14ac:dyDescent="0.25">
      <c r="J155" s="64"/>
      <c r="K155" s="64"/>
      <c r="L155" s="67"/>
    </row>
    <row r="156" spans="10:12" ht="15" customHeight="1" x14ac:dyDescent="0.25">
      <c r="L156" s="69"/>
    </row>
    <row r="157" spans="10:12" ht="15" customHeight="1" x14ac:dyDescent="0.25">
      <c r="J157" s="64"/>
      <c r="K157" s="64"/>
      <c r="L157" s="69"/>
    </row>
    <row r="158" spans="10:12" ht="15" customHeight="1" x14ac:dyDescent="0.25">
      <c r="J158" s="64"/>
      <c r="K158" s="64"/>
      <c r="L158" s="69"/>
    </row>
    <row r="159" spans="10:12" ht="15" customHeight="1" x14ac:dyDescent="0.25">
      <c r="J159" s="64"/>
      <c r="K159" s="64"/>
      <c r="L159" s="69"/>
    </row>
    <row r="160" spans="10:12" ht="15" customHeight="1" x14ac:dyDescent="0.25">
      <c r="J160" s="64"/>
      <c r="K160" s="64"/>
      <c r="L160" s="69"/>
    </row>
    <row r="161" spans="10:12" ht="15" customHeight="1" x14ac:dyDescent="0.25">
      <c r="J161" s="64"/>
      <c r="K161" s="64"/>
      <c r="L161" s="69"/>
    </row>
    <row r="162" spans="10:12" ht="15" customHeight="1" x14ac:dyDescent="0.25">
      <c r="J162" s="64"/>
      <c r="K162" s="64"/>
      <c r="L162" s="69"/>
    </row>
    <row r="163" spans="10:12" ht="15" customHeight="1" x14ac:dyDescent="0.25">
      <c r="J163" s="64"/>
      <c r="K163" s="64"/>
      <c r="L163" s="69"/>
    </row>
    <row r="164" spans="10:12" ht="15" customHeight="1" x14ac:dyDescent="0.25">
      <c r="J164" s="64"/>
      <c r="K164" s="64"/>
      <c r="L164" s="69"/>
    </row>
    <row r="165" spans="10:12" ht="15" customHeight="1" x14ac:dyDescent="0.25">
      <c r="J165" s="64"/>
      <c r="K165" s="64"/>
      <c r="L165" s="69"/>
    </row>
    <row r="166" spans="10:12" ht="15" customHeight="1" x14ac:dyDescent="0.25">
      <c r="J166" s="64"/>
      <c r="K166" s="64"/>
      <c r="L166" s="69"/>
    </row>
    <row r="167" spans="10:12" ht="15" customHeight="1" x14ac:dyDescent="0.25">
      <c r="J167" s="64"/>
      <c r="K167" s="64"/>
      <c r="L167" s="69"/>
    </row>
    <row r="168" spans="10:12" ht="15" customHeight="1" x14ac:dyDescent="0.25">
      <c r="J168" s="64"/>
      <c r="K168" s="64"/>
      <c r="L168" s="69"/>
    </row>
    <row r="169" spans="10:12" ht="15" customHeight="1" x14ac:dyDescent="0.25">
      <c r="J169" s="64"/>
      <c r="K169" s="64"/>
      <c r="L169" s="69"/>
    </row>
    <row r="170" spans="10:12" ht="15" customHeight="1" x14ac:dyDescent="0.25">
      <c r="J170" s="64"/>
      <c r="K170" s="64"/>
      <c r="L170" s="69"/>
    </row>
    <row r="171" spans="10:12" ht="15" customHeight="1" x14ac:dyDescent="0.25">
      <c r="J171" s="64"/>
      <c r="K171" s="64"/>
      <c r="L171" s="69"/>
    </row>
    <row r="172" spans="10:12" ht="15" customHeight="1" x14ac:dyDescent="0.25">
      <c r="J172" s="64"/>
      <c r="K172" s="64"/>
      <c r="L172" s="69"/>
    </row>
    <row r="173" spans="10:12" ht="15" customHeight="1" x14ac:dyDescent="0.25">
      <c r="J173" s="64"/>
      <c r="K173" s="64"/>
      <c r="L173" s="69"/>
    </row>
    <row r="174" spans="10:12" ht="15" customHeight="1" x14ac:dyDescent="0.25">
      <c r="J174" s="64"/>
      <c r="K174" s="64"/>
      <c r="L174" s="69"/>
    </row>
    <row r="175" spans="10:12" ht="15" customHeight="1" x14ac:dyDescent="0.25">
      <c r="J175" s="64"/>
      <c r="K175" s="64"/>
      <c r="L175" s="69"/>
    </row>
    <row r="176" spans="10:12" ht="15" customHeight="1" x14ac:dyDescent="0.25">
      <c r="J176" s="64"/>
      <c r="K176" s="64"/>
      <c r="L176" s="69"/>
    </row>
    <row r="177" spans="10:12" ht="15" customHeight="1" x14ac:dyDescent="0.25">
      <c r="J177" s="64"/>
      <c r="K177" s="64"/>
      <c r="L177" s="69"/>
    </row>
    <row r="178" spans="10:12" ht="15" customHeight="1" x14ac:dyDescent="0.25">
      <c r="J178" s="64"/>
      <c r="K178" s="64"/>
      <c r="L178" s="69"/>
    </row>
    <row r="179" spans="10:12" ht="15" customHeight="1" x14ac:dyDescent="0.25">
      <c r="J179" s="64"/>
      <c r="K179" s="64"/>
      <c r="L179" s="69"/>
    </row>
    <row r="180" spans="10:12" ht="15" customHeight="1" x14ac:dyDescent="0.25">
      <c r="J180" s="64"/>
      <c r="K180" s="64"/>
      <c r="L180" s="69"/>
    </row>
    <row r="181" spans="10:12" ht="15" customHeight="1" x14ac:dyDescent="0.25">
      <c r="J181" s="64"/>
      <c r="K181" s="64"/>
      <c r="L181" s="69"/>
    </row>
    <row r="182" spans="10:12" ht="15" customHeight="1" x14ac:dyDescent="0.25">
      <c r="J182" s="64"/>
      <c r="K182" s="64"/>
      <c r="L182" s="69"/>
    </row>
    <row r="183" spans="10:12" ht="15" customHeight="1" x14ac:dyDescent="0.25">
      <c r="J183" s="64"/>
      <c r="K183" s="64"/>
      <c r="L183" s="69"/>
    </row>
    <row r="184" spans="10:12" ht="15" customHeight="1" x14ac:dyDescent="0.25">
      <c r="J184" s="64"/>
      <c r="K184" s="64"/>
      <c r="L184" s="69"/>
    </row>
    <row r="185" spans="10:12" ht="15" customHeight="1" x14ac:dyDescent="0.25">
      <c r="J185" s="64"/>
      <c r="K185" s="64"/>
      <c r="L185" s="69"/>
    </row>
    <row r="186" spans="10:12" ht="15" customHeight="1" x14ac:dyDescent="0.25">
      <c r="J186" s="64"/>
      <c r="K186" s="64"/>
      <c r="L186" s="69"/>
    </row>
    <row r="187" spans="10:12" ht="15" customHeight="1" x14ac:dyDescent="0.25">
      <c r="J187" s="64"/>
      <c r="K187" s="64"/>
      <c r="L187" s="69"/>
    </row>
    <row r="188" spans="10:12" ht="15" customHeight="1" x14ac:dyDescent="0.25">
      <c r="J188" s="64"/>
      <c r="K188" s="64"/>
      <c r="L188" s="69"/>
    </row>
  </sheetData>
  <mergeCells count="1">
    <mergeCell ref="B1:J1"/>
  </mergeCells>
  <phoneticPr fontId="5" type="noConversion"/>
  <hyperlinks>
    <hyperlink ref="B42" location="'External Causes of Deaths'!A1" display="External causes of death excluded from analysis" xr:uid="{00000000-0004-0000-0300-000000000000}"/>
  </hyperlinks>
  <pageMargins left="0.74803149606299213" right="0.74803149606299213" top="0.98425196850393704" bottom="0.98425196850393704" header="0.51181102362204722" footer="0.51181102362204722"/>
  <pageSetup paperSize="9" scale="63" orientation="portrait" r:id="rId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dimension ref="A2:W38"/>
  <sheetViews>
    <sheetView showGridLines="0" topLeftCell="A15" workbookViewId="0">
      <selection activeCell="B37" sqref="B37"/>
    </sheetView>
  </sheetViews>
  <sheetFormatPr defaultColWidth="9.109375" defaultRowHeight="13.2" x14ac:dyDescent="0.25"/>
  <cols>
    <col min="1" max="1" width="1.6640625" style="1" customWidth="1"/>
    <col min="2" max="16384" width="9.109375" style="1"/>
  </cols>
  <sheetData>
    <row r="2" spans="1:23" ht="15.6" x14ac:dyDescent="0.3">
      <c r="B2" s="86" t="s">
        <v>173</v>
      </c>
    </row>
    <row r="3" spans="1:23" ht="15.6" x14ac:dyDescent="0.3">
      <c r="B3" s="86" t="str">
        <f xml:space="preserve"> "by Health and Social Care Partnership; " &amp; M8</f>
        <v>by Health and Social Care Partnership; Scotland</v>
      </c>
    </row>
    <row r="5" spans="1:23" x14ac:dyDescent="0.25">
      <c r="A5" s="12">
        <v>1</v>
      </c>
    </row>
    <row r="7" spans="1:23" s="12" customFormat="1" x14ac:dyDescent="0.25">
      <c r="N7" s="12" t="e">
        <f ca="1">calculation!B$10</f>
        <v>#REF!</v>
      </c>
      <c r="O7" s="12" t="e">
        <f ca="1">calculation!C$10</f>
        <v>#REF!</v>
      </c>
      <c r="P7" s="12" t="e">
        <f ca="1">calculation!D$10</f>
        <v>#REF!</v>
      </c>
      <c r="Q7" s="12" t="e">
        <f ca="1">calculation!E$10</f>
        <v>#REF!</v>
      </c>
      <c r="R7" s="12" t="e">
        <f ca="1">calculation!F$10</f>
        <v>#REF!</v>
      </c>
      <c r="S7" s="12" t="e">
        <f ca="1">calculation!G$10</f>
        <v>#REF!</v>
      </c>
      <c r="T7" s="12" t="e">
        <f ca="1">calculation!H$10</f>
        <v>#REF!</v>
      </c>
      <c r="U7" s="12" t="e">
        <f ca="1">calculation!I$10</f>
        <v>#REF!</v>
      </c>
      <c r="V7" s="12" t="e">
        <f ca="1">calculation!J$10</f>
        <v>#REF!</v>
      </c>
      <c r="W7" s="12" t="e">
        <f ca="1">calculation!K$10</f>
        <v>#REF!</v>
      </c>
    </row>
    <row r="8" spans="1:23" s="12" customFormat="1" x14ac:dyDescent="0.25">
      <c r="M8" s="12" t="str">
        <f>VLOOKUP($A$5, calculation!$A$28:$B$59, 2, 0)</f>
        <v>Scotland</v>
      </c>
      <c r="N8" s="27" t="e">
        <f ca="1">IF($M$8 = "Scotland", VLOOKUP(CONCATENATE(LEFT(N$7, 7), "Scotland", $M$8), [0]!data_range, 5, FALSE), VLOOKUP(CONCATENATE(LEFT(N$7, 7), "hscp", $M$8), [0]!data_range, 5, FALSE))</f>
        <v>#REF!</v>
      </c>
      <c r="O8" s="27" t="e">
        <f ca="1">IF($M$8 = "Scotland", VLOOKUP(CONCATENATE(LEFT(O$7, 7), "Scotland", $M$8), [0]!data_range, 5, FALSE), VLOOKUP(CONCATENATE(LEFT(O$7, 7), "hscp", $M$8), [0]!data_range, 5, FALSE))</f>
        <v>#REF!</v>
      </c>
      <c r="P8" s="27" t="e">
        <f ca="1">IF($M$8 = "Scotland", VLOOKUP(CONCATENATE(LEFT(P$7, 7), "Scotland", $M$8), [0]!data_range, 5, FALSE), VLOOKUP(CONCATENATE(LEFT(P$7, 7), "hscp", $M$8), [0]!data_range, 5, FALSE))</f>
        <v>#REF!</v>
      </c>
      <c r="Q8" s="27" t="e">
        <f ca="1">IF($M$8 = "Scotland", VLOOKUP(CONCATENATE(LEFT(Q$7, 7), "Scotland", $M$8), [0]!data_range, 5, FALSE), VLOOKUP(CONCATENATE(LEFT(Q$7, 7), "hscp", $M$8), [0]!data_range, 5, FALSE))</f>
        <v>#REF!</v>
      </c>
      <c r="R8" s="27" t="e">
        <f ca="1">IF($M$8 = "Scotland", VLOOKUP(CONCATENATE(LEFT(R$7, 7), "Scotland", $M$8), [0]!data_range, 5, FALSE), VLOOKUP(CONCATENATE(LEFT(R$7, 7), "hscp", $M$8), [0]!data_range, 5, FALSE))</f>
        <v>#REF!</v>
      </c>
      <c r="S8" s="27" t="e">
        <f ca="1">IF($M$8 = "Scotland", VLOOKUP(CONCATENATE(LEFT(S$7, 7), "Scotland", $M$8), [0]!data_range, 5, FALSE), VLOOKUP(CONCATENATE(LEFT(S$7, 7), "hscp", $M$8), [0]!data_range, 5, FALSE))</f>
        <v>#REF!</v>
      </c>
      <c r="T8" s="27" t="e">
        <f ca="1">IF($M$8 = "Scotland", VLOOKUP(CONCATENATE(LEFT(T$7, 7), "Scotland", $M$8), [0]!data_range, 5, FALSE), VLOOKUP(CONCATENATE(LEFT(T$7, 7), "hscp", $M$8), [0]!data_range, 5, FALSE))</f>
        <v>#REF!</v>
      </c>
      <c r="U8" s="27" t="e">
        <f ca="1">IF($M$8 = "Scotland", VLOOKUP(CONCATENATE(LEFT(U$7, 7), "Scotland", $M$8), [0]!data_range, 5, FALSE), VLOOKUP(CONCATENATE(LEFT(U$7, 7), "hscp", $M$8), [0]!data_range, 5, FALSE))</f>
        <v>#REF!</v>
      </c>
      <c r="V8" s="27" t="e">
        <f ca="1">IF($M$8 = "Scotland", VLOOKUP(CONCATENATE(LEFT(V$7, 7), "Scotland", $M$8), [0]!data_range, 5, FALSE), VLOOKUP(CONCATENATE(LEFT(V$7, 7), "hscp", $M$8), [0]!data_range, 5, FALSE))</f>
        <v>#REF!</v>
      </c>
      <c r="W8" s="27" t="e">
        <f ca="1">IF($M$8 = "Scotland", VLOOKUP(CONCATENATE(LEFT(W$7, 7), "Scotland", $M$8), [0]!data_range, 5, FALSE), VLOOKUP(CONCATENATE(LEFT(W$7, 7), "hscp", $M$8), [0]!data_range, 5, FALSE))</f>
        <v>#REF!</v>
      </c>
    </row>
    <row r="31" spans="2:2" x14ac:dyDescent="0.25">
      <c r="B31" s="53" t="s">
        <v>176</v>
      </c>
    </row>
    <row r="33" spans="2:2" x14ac:dyDescent="0.25">
      <c r="B33" s="66" t="s">
        <v>14</v>
      </c>
    </row>
    <row r="34" spans="2:2" x14ac:dyDescent="0.25">
      <c r="B34" s="31"/>
    </row>
    <row r="35" spans="2:2" x14ac:dyDescent="0.25">
      <c r="B35" s="30" t="s">
        <v>208</v>
      </c>
    </row>
    <row r="36" spans="2:2" x14ac:dyDescent="0.25">
      <c r="B36" s="5" t="s">
        <v>200</v>
      </c>
    </row>
    <row r="37" spans="2:2" x14ac:dyDescent="0.25">
      <c r="B37" s="30" t="e">
        <f ca="1" xml:space="preserve"> "p. " &amp; calculation!$E$14</f>
        <v>#REF!</v>
      </c>
    </row>
    <row r="38" spans="2:2" x14ac:dyDescent="0.25">
      <c r="B38" s="5" t="str">
        <f>"1. " &amp; calculation!E17</f>
        <v>1. Figures in 2020/21 and 2021/22 are likely to have been affected by the impact of COVID-19 on hospital stays.</v>
      </c>
    </row>
  </sheetData>
  <hyperlinks>
    <hyperlink ref="B33" location="'External Causes of Deaths'!A1" display="External causes of death excluded from analysis" xr:uid="{00000000-0004-0000-0400-000000000000}"/>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7169" r:id="rId3" name="Drop Down 1">
              <controlPr defaultSize="0" autoLine="0" autoPict="0">
                <anchor moveWithCells="1">
                  <from>
                    <xdr:col>1</xdr:col>
                    <xdr:colOff>99060</xdr:colOff>
                    <xdr:row>4</xdr:row>
                    <xdr:rowOff>38100</xdr:rowOff>
                  </from>
                  <to>
                    <xdr:col>5</xdr:col>
                    <xdr:colOff>518160</xdr:colOff>
                    <xdr:row>5</xdr:row>
                    <xdr:rowOff>76200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pageSetUpPr fitToPage="1"/>
  </sheetPr>
  <dimension ref="B1:M48"/>
  <sheetViews>
    <sheetView showGridLines="0" zoomScaleNormal="100" zoomScaleSheetLayoutView="100" workbookViewId="0"/>
  </sheetViews>
  <sheetFormatPr defaultColWidth="9.109375" defaultRowHeight="15" customHeight="1" x14ac:dyDescent="0.25"/>
  <cols>
    <col min="1" max="1" width="1.6640625" style="1" customWidth="1"/>
    <col min="2" max="2" width="15.6640625" style="1" customWidth="1"/>
    <col min="3" max="3" width="12.109375" style="1" customWidth="1"/>
    <col min="4" max="13" width="11.33203125" style="1" customWidth="1"/>
    <col min="14" max="16384" width="9.109375" style="1"/>
  </cols>
  <sheetData>
    <row r="1" spans="2:13" ht="15" customHeight="1" x14ac:dyDescent="0.3">
      <c r="B1" s="98" t="str">
        <f>Notes!B1:O1</f>
        <v/>
      </c>
      <c r="C1" s="98"/>
      <c r="D1" s="98"/>
      <c r="E1" s="98"/>
      <c r="F1" s="98"/>
      <c r="G1" s="98"/>
      <c r="H1" s="98"/>
      <c r="I1" s="98"/>
      <c r="J1" s="98"/>
    </row>
    <row r="2" spans="2:13" ht="15" customHeight="1" x14ac:dyDescent="0.3">
      <c r="B2" s="85" t="s">
        <v>129</v>
      </c>
      <c r="J2" s="64"/>
      <c r="K2" s="64"/>
      <c r="L2" s="64"/>
    </row>
    <row r="3" spans="2:13" ht="15" customHeight="1" x14ac:dyDescent="0.3">
      <c r="B3" s="85" t="s">
        <v>203</v>
      </c>
      <c r="J3" s="64"/>
      <c r="K3" s="64"/>
      <c r="L3" s="64"/>
    </row>
    <row r="4" spans="2:13" ht="15" customHeight="1" x14ac:dyDescent="0.3">
      <c r="B4" s="2"/>
      <c r="J4" s="64"/>
      <c r="K4" s="64"/>
      <c r="L4" s="64"/>
    </row>
    <row r="5" spans="2:13" ht="15" customHeight="1" x14ac:dyDescent="0.3">
      <c r="B5" s="2"/>
      <c r="I5" s="28"/>
      <c r="J5" s="64"/>
      <c r="K5" s="64"/>
      <c r="L5" s="64"/>
      <c r="M5" s="52" t="s">
        <v>179</v>
      </c>
    </row>
    <row r="6" spans="2:13" ht="15" customHeight="1" x14ac:dyDescent="0.3">
      <c r="B6" s="2"/>
      <c r="D6" s="12"/>
      <c r="E6" s="12"/>
      <c r="F6" s="12"/>
      <c r="G6" s="12"/>
      <c r="H6" s="12"/>
      <c r="I6" s="12"/>
      <c r="J6" s="12"/>
      <c r="K6" s="12"/>
      <c r="L6" s="12"/>
    </row>
    <row r="7" spans="2:13" ht="15" customHeight="1" x14ac:dyDescent="0.25">
      <c r="B7" s="10" t="s">
        <v>117</v>
      </c>
      <c r="C7" s="24" t="s">
        <v>204</v>
      </c>
      <c r="D7" s="4" t="e">
        <f ca="1">calculation!B$10</f>
        <v>#REF!</v>
      </c>
      <c r="E7" s="4" t="e">
        <f ca="1">calculation!C$10</f>
        <v>#REF!</v>
      </c>
      <c r="F7" s="4" t="e">
        <f ca="1">calculation!D$10</f>
        <v>#REF!</v>
      </c>
      <c r="G7" s="4" t="e">
        <f ca="1">calculation!E$10</f>
        <v>#REF!</v>
      </c>
      <c r="H7" s="4" t="e">
        <f ca="1">calculation!F$10</f>
        <v>#REF!</v>
      </c>
      <c r="I7" s="4" t="e">
        <f ca="1">calculation!G$10</f>
        <v>#REF!</v>
      </c>
      <c r="J7" s="4" t="e">
        <f ca="1">calculation!H$10</f>
        <v>#REF!</v>
      </c>
      <c r="K7" s="4" t="e">
        <f ca="1">calculation!I$10</f>
        <v>#REF!</v>
      </c>
      <c r="L7" s="4" t="e">
        <f ca="1">calculation!J$10</f>
        <v>#REF!</v>
      </c>
      <c r="M7" s="4" t="e">
        <f ca="1">calculation!K$10</f>
        <v>#REF!</v>
      </c>
    </row>
    <row r="8" spans="2:13" ht="15" customHeight="1" x14ac:dyDescent="0.25">
      <c r="B8" s="1" t="s">
        <v>214</v>
      </c>
      <c r="C8" s="1" t="s">
        <v>112</v>
      </c>
      <c r="D8" s="90" t="e">
        <f ca="1">VLOOKUP(CONCATENATE(LEFT(D$7, 7), "age/sex", $B$8, " ", $C8), [0]!data_range, 5, FALSE)</f>
        <v>#REF!</v>
      </c>
      <c r="E8" s="90" t="e">
        <f ca="1">VLOOKUP(CONCATENATE(LEFT(E$7, 7), "age/sex", $B$8, " ", $C8), [0]!data_range, 5, FALSE)</f>
        <v>#REF!</v>
      </c>
      <c r="F8" s="90" t="e">
        <f ca="1">VLOOKUP(CONCATENATE(LEFT(F$7, 7), "age/sex", $B$8, " ", $C8), [0]!data_range, 5, FALSE)</f>
        <v>#REF!</v>
      </c>
      <c r="G8" s="90" t="e">
        <f ca="1">VLOOKUP(CONCATENATE(LEFT(G$7, 7), "age/sex", $B$8, " ", $C8), [0]!data_range, 5, FALSE)</f>
        <v>#REF!</v>
      </c>
      <c r="H8" s="90" t="e">
        <f ca="1">VLOOKUP(CONCATENATE(LEFT(H$7, 7), "age/sex", $B$8, " ", $C8), [0]!data_range, 5, FALSE)</f>
        <v>#REF!</v>
      </c>
      <c r="I8" s="90" t="e">
        <f ca="1">VLOOKUP(CONCATENATE(LEFT(I$7, 7), "age/sex", $B$8, " ", $C8), [0]!data_range, 5, FALSE)</f>
        <v>#REF!</v>
      </c>
      <c r="J8" s="90" t="e">
        <f ca="1">VLOOKUP(CONCATENATE(LEFT(J$7, 7), "age/sex", $B$8, " ", $C8), [0]!data_range, 5, FALSE)</f>
        <v>#REF!</v>
      </c>
      <c r="K8" s="90" t="e">
        <f ca="1">VLOOKUP(CONCATENATE(LEFT(K$7, 7), "age/sex", $B$8, " ", $C8), [0]!data_range, 5, FALSE)</f>
        <v>#REF!</v>
      </c>
      <c r="L8" s="90" t="e">
        <f ca="1">VLOOKUP(CONCATENATE(LEFT(L$7, 7), "age/sex", $B$8, " ", $C8), [0]!data_range, 5, FALSE)</f>
        <v>#REF!</v>
      </c>
      <c r="M8" s="90" t="e">
        <f ca="1">VLOOKUP(CONCATENATE(LEFT(M$7, 7), "age/sex", $B$8, " ", $C8), [0]!data_range, 5, FALSE)</f>
        <v>#REF!</v>
      </c>
    </row>
    <row r="9" spans="2:13" ht="15" customHeight="1" x14ac:dyDescent="0.25">
      <c r="C9" s="1" t="s">
        <v>164</v>
      </c>
      <c r="D9" s="90" t="e">
        <f ca="1">VLOOKUP(CONCATENATE(LEFT(D$7, 7), "age/sex", $B$8, " ", $C9), [0]!data_range, 5, FALSE)</f>
        <v>#REF!</v>
      </c>
      <c r="E9" s="90" t="e">
        <f ca="1">VLOOKUP(CONCATENATE(LEFT(E$7, 7), "age/sex", $B$8, " ", $C9), [0]!data_range, 5, FALSE)</f>
        <v>#REF!</v>
      </c>
      <c r="F9" s="90" t="e">
        <f ca="1">VLOOKUP(CONCATENATE(LEFT(F$7, 7), "age/sex", $B$8, " ", $C9), [0]!data_range, 5, FALSE)</f>
        <v>#REF!</v>
      </c>
      <c r="G9" s="90" t="e">
        <f ca="1">VLOOKUP(CONCATENATE(LEFT(G$7, 7), "age/sex", $B$8, " ", $C9), [0]!data_range, 5, FALSE)</f>
        <v>#REF!</v>
      </c>
      <c r="H9" s="90" t="e">
        <f ca="1">VLOOKUP(CONCATENATE(LEFT(H$7, 7), "age/sex", $B$8, " ", $C9), [0]!data_range, 5, FALSE)</f>
        <v>#REF!</v>
      </c>
      <c r="I9" s="90" t="e">
        <f ca="1">VLOOKUP(CONCATENATE(LEFT(I$7, 7), "age/sex", $B$8, " ", $C9), [0]!data_range, 5, FALSE)</f>
        <v>#REF!</v>
      </c>
      <c r="J9" s="90" t="e">
        <f ca="1">VLOOKUP(CONCATENATE(LEFT(J$7, 7), "age/sex", $B$8, " ", $C9), [0]!data_range, 5, FALSE)</f>
        <v>#REF!</v>
      </c>
      <c r="K9" s="90" t="e">
        <f ca="1">VLOOKUP(CONCATENATE(LEFT(K$7, 7), "age/sex", $B$8, " ", $C9), [0]!data_range, 5, FALSE)</f>
        <v>#REF!</v>
      </c>
      <c r="L9" s="90" t="e">
        <f ca="1">VLOOKUP(CONCATENATE(LEFT(L$7, 7), "age/sex", $B$8, " ", $C9), [0]!data_range, 5, FALSE)</f>
        <v>#REF!</v>
      </c>
      <c r="M9" s="90" t="e">
        <f ca="1">VLOOKUP(CONCATENATE(LEFT(M$7, 7), "age/sex", $B$8, " ", $C9), [0]!data_range, 5, FALSE)</f>
        <v>#REF!</v>
      </c>
    </row>
    <row r="10" spans="2:13" ht="15" customHeight="1" x14ac:dyDescent="0.25">
      <c r="C10" s="1" t="s">
        <v>119</v>
      </c>
      <c r="D10" s="90" t="e">
        <f ca="1">VLOOKUP(CONCATENATE(LEFT(D$7, 7), "age/sex", $B$8, " ", $C10), [0]!data_range, 5, FALSE)</f>
        <v>#REF!</v>
      </c>
      <c r="E10" s="90" t="e">
        <f ca="1">VLOOKUP(CONCATENATE(LEFT(E$7, 7), "age/sex", $B$8, " ", $C10), [0]!data_range, 5, FALSE)</f>
        <v>#REF!</v>
      </c>
      <c r="F10" s="90" t="e">
        <f ca="1">VLOOKUP(CONCATENATE(LEFT(F$7, 7), "age/sex", $B$8, " ", $C10), [0]!data_range, 5, FALSE)</f>
        <v>#REF!</v>
      </c>
      <c r="G10" s="90" t="e">
        <f ca="1">VLOOKUP(CONCATENATE(LEFT(G$7, 7), "age/sex", $B$8, " ", $C10), [0]!data_range, 5, FALSE)</f>
        <v>#REF!</v>
      </c>
      <c r="H10" s="90" t="e">
        <f ca="1">VLOOKUP(CONCATENATE(LEFT(H$7, 7), "age/sex", $B$8, " ", $C10), [0]!data_range, 5, FALSE)</f>
        <v>#REF!</v>
      </c>
      <c r="I10" s="90" t="e">
        <f ca="1">VLOOKUP(CONCATENATE(LEFT(I$7, 7), "age/sex", $B$8, " ", $C10), [0]!data_range, 5, FALSE)</f>
        <v>#REF!</v>
      </c>
      <c r="J10" s="90" t="e">
        <f ca="1">VLOOKUP(CONCATENATE(LEFT(J$7, 7), "age/sex", $B$8, " ", $C10), [0]!data_range, 5, FALSE)</f>
        <v>#REF!</v>
      </c>
      <c r="K10" s="90" t="e">
        <f ca="1">VLOOKUP(CONCATENATE(LEFT(K$7, 7), "age/sex", $B$8, " ", $C10), [0]!data_range, 5, FALSE)</f>
        <v>#REF!</v>
      </c>
      <c r="L10" s="90" t="e">
        <f ca="1">VLOOKUP(CONCATENATE(LEFT(L$7, 7), "age/sex", $B$8, " ", $C10), [0]!data_range, 5, FALSE)</f>
        <v>#REF!</v>
      </c>
      <c r="M10" s="90" t="e">
        <f ca="1">VLOOKUP(CONCATENATE(LEFT(M$7, 7), "age/sex", $B$8, " ", $C10), [0]!data_range, 5, FALSE)</f>
        <v>#REF!</v>
      </c>
    </row>
    <row r="11" spans="2:13" ht="15" customHeight="1" x14ac:dyDescent="0.25">
      <c r="B11" s="1" t="s">
        <v>213</v>
      </c>
      <c r="C11" s="1" t="s">
        <v>112</v>
      </c>
      <c r="D11" s="90" t="e">
        <f ca="1">VLOOKUP(CONCATENATE(LEFT(D$7, 7), "age/sex", $B$11, " ", $C11), [0]!data_range, 5, FALSE)</f>
        <v>#REF!</v>
      </c>
      <c r="E11" s="90" t="e">
        <f ca="1">VLOOKUP(CONCATENATE(LEFT(E$7, 7), "age/sex", $B$11, " ", $C11), [0]!data_range, 5, FALSE)</f>
        <v>#REF!</v>
      </c>
      <c r="F11" s="90" t="e">
        <f ca="1">VLOOKUP(CONCATENATE(LEFT(F$7, 7), "age/sex", $B$11, " ", $C11), [0]!data_range, 5, FALSE)</f>
        <v>#REF!</v>
      </c>
      <c r="G11" s="90" t="e">
        <f ca="1">VLOOKUP(CONCATENATE(LEFT(G$7, 7), "age/sex", $B$11, " ", $C11), [0]!data_range, 5, FALSE)</f>
        <v>#REF!</v>
      </c>
      <c r="H11" s="90" t="e">
        <f ca="1">VLOOKUP(CONCATENATE(LEFT(H$7, 7), "age/sex", $B$11, " ", $C11), [0]!data_range, 5, FALSE)</f>
        <v>#REF!</v>
      </c>
      <c r="I11" s="90" t="e">
        <f ca="1">VLOOKUP(CONCATENATE(LEFT(I$7, 7), "age/sex", $B$11, " ", $C11), [0]!data_range, 5, FALSE)</f>
        <v>#REF!</v>
      </c>
      <c r="J11" s="90" t="e">
        <f ca="1">VLOOKUP(CONCATENATE(LEFT(J$7, 7), "age/sex", $B$11, " ", $C11), [0]!data_range, 5, FALSE)</f>
        <v>#REF!</v>
      </c>
      <c r="K11" s="90" t="e">
        <f ca="1">VLOOKUP(CONCATENATE(LEFT(K$7, 7), "age/sex", $B$11, " ", $C11), [0]!data_range, 5, FALSE)</f>
        <v>#REF!</v>
      </c>
      <c r="L11" s="90" t="e">
        <f ca="1">VLOOKUP(CONCATENATE(LEFT(L$7, 7), "age/sex", $B$11, " ", $C11), [0]!data_range, 5, FALSE)</f>
        <v>#REF!</v>
      </c>
      <c r="M11" s="90" t="e">
        <f ca="1">VLOOKUP(CONCATENATE(LEFT(M$7, 7), "age/sex", $B$11, " ", $C11), [0]!data_range, 5, FALSE)</f>
        <v>#REF!</v>
      </c>
    </row>
    <row r="12" spans="2:13" ht="15" customHeight="1" x14ac:dyDescent="0.25">
      <c r="C12" s="1" t="s">
        <v>164</v>
      </c>
      <c r="D12" s="90" t="e">
        <f ca="1">VLOOKUP(CONCATENATE(LEFT(D$7, 7), "age/sex", $B$11, " ", $C12), [0]!data_range, 5, FALSE)</f>
        <v>#REF!</v>
      </c>
      <c r="E12" s="90" t="e">
        <f ca="1">VLOOKUP(CONCATENATE(LEFT(E$7, 7), "age/sex", $B$11, " ", $C12), [0]!data_range, 5, FALSE)</f>
        <v>#REF!</v>
      </c>
      <c r="F12" s="90" t="e">
        <f ca="1">VLOOKUP(CONCATENATE(LEFT(F$7, 7), "age/sex", $B$11, " ", $C12), [0]!data_range, 5, FALSE)</f>
        <v>#REF!</v>
      </c>
      <c r="G12" s="90" t="e">
        <f ca="1">VLOOKUP(CONCATENATE(LEFT(G$7, 7), "age/sex", $B$11, " ", $C12), [0]!data_range, 5, FALSE)</f>
        <v>#REF!</v>
      </c>
      <c r="H12" s="90" t="e">
        <f ca="1">VLOOKUP(CONCATENATE(LEFT(H$7, 7), "age/sex", $B$11, " ", $C12), [0]!data_range, 5, FALSE)</f>
        <v>#REF!</v>
      </c>
      <c r="I12" s="90" t="e">
        <f ca="1">VLOOKUP(CONCATENATE(LEFT(I$7, 7), "age/sex", $B$11, " ", $C12), [0]!data_range, 5, FALSE)</f>
        <v>#REF!</v>
      </c>
      <c r="J12" s="90" t="e">
        <f ca="1">VLOOKUP(CONCATENATE(LEFT(J$7, 7), "age/sex", $B$11, " ", $C12), [0]!data_range, 5, FALSE)</f>
        <v>#REF!</v>
      </c>
      <c r="K12" s="90" t="e">
        <f ca="1">VLOOKUP(CONCATENATE(LEFT(K$7, 7), "age/sex", $B$11, " ", $C12), [0]!data_range, 5, FALSE)</f>
        <v>#REF!</v>
      </c>
      <c r="L12" s="90" t="e">
        <f ca="1">VLOOKUP(CONCATENATE(LEFT(L$7, 7), "age/sex", $B$11, " ", $C12), [0]!data_range, 5, FALSE)</f>
        <v>#REF!</v>
      </c>
      <c r="M12" s="90" t="e">
        <f ca="1">VLOOKUP(CONCATENATE(LEFT(M$7, 7), "age/sex", $B$11, " ", $C12), [0]!data_range, 5, FALSE)</f>
        <v>#REF!</v>
      </c>
    </row>
    <row r="13" spans="2:13" ht="15" customHeight="1" x14ac:dyDescent="0.25">
      <c r="C13" s="1" t="s">
        <v>119</v>
      </c>
      <c r="D13" s="90" t="e">
        <f ca="1">VLOOKUP(CONCATENATE(LEFT(D$7, 7), "age/sex", $B$11, " ", $C13), [0]!data_range, 5, FALSE)</f>
        <v>#REF!</v>
      </c>
      <c r="E13" s="90" t="e">
        <f ca="1">VLOOKUP(CONCATENATE(LEFT(E$7, 7), "age/sex", $B$11, " ", $C13), [0]!data_range, 5, FALSE)</f>
        <v>#REF!</v>
      </c>
      <c r="F13" s="90" t="e">
        <f ca="1">VLOOKUP(CONCATENATE(LEFT(F$7, 7), "age/sex", $B$11, " ", $C13), [0]!data_range, 5, FALSE)</f>
        <v>#REF!</v>
      </c>
      <c r="G13" s="90" t="e">
        <f ca="1">VLOOKUP(CONCATENATE(LEFT(G$7, 7), "age/sex", $B$11, " ", $C13), [0]!data_range, 5, FALSE)</f>
        <v>#REF!</v>
      </c>
      <c r="H13" s="90" t="e">
        <f ca="1">VLOOKUP(CONCATENATE(LEFT(H$7, 7), "age/sex", $B$11, " ", $C13), [0]!data_range, 5, FALSE)</f>
        <v>#REF!</v>
      </c>
      <c r="I13" s="90" t="e">
        <f ca="1">VLOOKUP(CONCATENATE(LEFT(I$7, 7), "age/sex", $B$11, " ", $C13), [0]!data_range, 5, FALSE)</f>
        <v>#REF!</v>
      </c>
      <c r="J13" s="90" t="e">
        <f ca="1">VLOOKUP(CONCATENATE(LEFT(J$7, 7), "age/sex", $B$11, " ", $C13), [0]!data_range, 5, FALSE)</f>
        <v>#REF!</v>
      </c>
      <c r="K13" s="90" t="e">
        <f ca="1">VLOOKUP(CONCATENATE(LEFT(K$7, 7), "age/sex", $B$11, " ", $C13), [0]!data_range, 5, FALSE)</f>
        <v>#REF!</v>
      </c>
      <c r="L13" s="90" t="e">
        <f ca="1">VLOOKUP(CONCATENATE(LEFT(L$7, 7), "age/sex", $B$11, " ", $C13), [0]!data_range, 5, FALSE)</f>
        <v>#REF!</v>
      </c>
      <c r="M13" s="90" t="e">
        <f ca="1">VLOOKUP(CONCATENATE(LEFT(M$7, 7), "age/sex", $B$11, " ", $C13), [0]!data_range, 5, FALSE)</f>
        <v>#REF!</v>
      </c>
    </row>
    <row r="14" spans="2:13" ht="15" customHeight="1" x14ac:dyDescent="0.25">
      <c r="B14" s="1" t="s">
        <v>212</v>
      </c>
      <c r="C14" s="1" t="s">
        <v>112</v>
      </c>
      <c r="D14" s="90" t="e">
        <f ca="1">VLOOKUP(CONCATENATE(LEFT(D$7, 7), "age/sex", $B$14, " ", $C14), [0]!data_range, 5, FALSE)</f>
        <v>#REF!</v>
      </c>
      <c r="E14" s="6" t="e">
        <f ca="1">VLOOKUP(CONCATENATE(LEFT(E$7, 7), "age/sex", $B$14, " ", $C14), [0]!data_range, 5, FALSE)</f>
        <v>#REF!</v>
      </c>
      <c r="F14" s="6" t="e">
        <f ca="1">VLOOKUP(CONCATENATE(LEFT(F$7, 7), "age/sex", $B$14, " ", $C14), [0]!data_range, 5, FALSE)</f>
        <v>#REF!</v>
      </c>
      <c r="G14" s="6" t="e">
        <f ca="1">VLOOKUP(CONCATENATE(LEFT(G$7, 7), "age/sex", $B$14, " ", $C14), [0]!data_range, 5, FALSE)</f>
        <v>#REF!</v>
      </c>
      <c r="H14" s="6" t="e">
        <f ca="1">VLOOKUP(CONCATENATE(LEFT(H$7, 7), "age/sex", $B$14, " ", $C14), [0]!data_range, 5, FALSE)</f>
        <v>#REF!</v>
      </c>
      <c r="I14" s="6" t="e">
        <f ca="1">VLOOKUP(CONCATENATE(LEFT(I$7, 7), "age/sex", $B$14, " ", $C14), [0]!data_range, 5, FALSE)</f>
        <v>#REF!</v>
      </c>
      <c r="J14" s="6" t="e">
        <f ca="1">VLOOKUP(CONCATENATE(LEFT(J$7, 7), "age/sex", $B$14, " ", $C14), [0]!data_range, 5, FALSE)</f>
        <v>#REF!</v>
      </c>
      <c r="K14" s="6" t="e">
        <f ca="1">VLOOKUP(CONCATENATE(LEFT(K$7, 7), "age/sex", $B$14, " ", $C14), [0]!data_range, 5, FALSE)</f>
        <v>#REF!</v>
      </c>
      <c r="L14" s="6" t="e">
        <f ca="1">VLOOKUP(CONCATENATE(LEFT(L$7, 7), "age/sex", $B$14, " ", $C14), [0]!data_range, 5, FALSE)</f>
        <v>#REF!</v>
      </c>
      <c r="M14" s="6" t="e">
        <f ca="1">VLOOKUP(CONCATENATE(LEFT(M$7, 7), "age/sex", $B$14, " ", $C14), [0]!data_range, 5, FALSE)</f>
        <v>#REF!</v>
      </c>
    </row>
    <row r="15" spans="2:13" ht="15" customHeight="1" x14ac:dyDescent="0.25">
      <c r="C15" s="1" t="s">
        <v>164</v>
      </c>
      <c r="D15" s="6" t="e">
        <f ca="1">VLOOKUP(CONCATENATE(LEFT(D$7, 7), "age/sex", $B$14, " ", $C15), [0]!data_range, 5, FALSE)</f>
        <v>#REF!</v>
      </c>
      <c r="E15" s="6" t="e">
        <f ca="1">VLOOKUP(CONCATENATE(LEFT(E$7, 7), "age/sex", $B$14, " ", $C15), [0]!data_range, 5, FALSE)</f>
        <v>#REF!</v>
      </c>
      <c r="F15" s="6" t="e">
        <f ca="1">VLOOKUP(CONCATENATE(LEFT(F$7, 7), "age/sex", $B$14, " ", $C15), [0]!data_range, 5, FALSE)</f>
        <v>#REF!</v>
      </c>
      <c r="G15" s="6" t="e">
        <f ca="1">VLOOKUP(CONCATENATE(LEFT(G$7, 7), "age/sex", $B$14, " ", $C15), [0]!data_range, 5, FALSE)</f>
        <v>#REF!</v>
      </c>
      <c r="H15" s="6" t="e">
        <f ca="1">VLOOKUP(CONCATENATE(LEFT(H$7, 7), "age/sex", $B$14, " ", $C15), [0]!data_range, 5, FALSE)</f>
        <v>#REF!</v>
      </c>
      <c r="I15" s="6" t="e">
        <f ca="1">VLOOKUP(CONCATENATE(LEFT(I$7, 7), "age/sex", $B$14, " ", $C15), [0]!data_range, 5, FALSE)</f>
        <v>#REF!</v>
      </c>
      <c r="J15" s="6" t="e">
        <f ca="1">VLOOKUP(CONCATENATE(LEFT(J$7, 7), "age/sex", $B$14, " ", $C15), [0]!data_range, 5, FALSE)</f>
        <v>#REF!</v>
      </c>
      <c r="K15" s="6" t="e">
        <f ca="1">VLOOKUP(CONCATENATE(LEFT(K$7, 7), "age/sex", $B$14, " ", $C15), [0]!data_range, 5, FALSE)</f>
        <v>#REF!</v>
      </c>
      <c r="L15" s="6" t="e">
        <f ca="1">VLOOKUP(CONCATENATE(LEFT(L$7, 7), "age/sex", $B$14, " ", $C15), [0]!data_range, 5, FALSE)</f>
        <v>#REF!</v>
      </c>
      <c r="M15" s="6" t="e">
        <f ca="1">VLOOKUP(CONCATENATE(LEFT(M$7, 7), "age/sex", $B$14, " ", $C15), [0]!data_range, 5, FALSE)</f>
        <v>#REF!</v>
      </c>
    </row>
    <row r="16" spans="2:13" ht="15" customHeight="1" x14ac:dyDescent="0.25">
      <c r="C16" s="1" t="s">
        <v>119</v>
      </c>
      <c r="D16" s="6" t="e">
        <f ca="1">VLOOKUP(CONCATENATE(LEFT(D$7, 7), "age/sex", $B$14, " ", $C16), [0]!data_range, 5, FALSE)</f>
        <v>#REF!</v>
      </c>
      <c r="E16" s="6" t="e">
        <f ca="1">VLOOKUP(CONCATENATE(LEFT(E$7, 7), "age/sex", $B$14, " ", $C16), [0]!data_range, 5, FALSE)</f>
        <v>#REF!</v>
      </c>
      <c r="F16" s="6" t="e">
        <f ca="1">VLOOKUP(CONCATENATE(LEFT(F$7, 7), "age/sex", $B$14, " ", $C16), [0]!data_range, 5, FALSE)</f>
        <v>#REF!</v>
      </c>
      <c r="G16" s="6" t="e">
        <f ca="1">VLOOKUP(CONCATENATE(LEFT(G$7, 7), "age/sex", $B$14, " ", $C16), [0]!data_range, 5, FALSE)</f>
        <v>#REF!</v>
      </c>
      <c r="H16" s="6" t="e">
        <f ca="1">VLOOKUP(CONCATENATE(LEFT(H$7, 7), "age/sex", $B$14, " ", $C16), [0]!data_range, 5, FALSE)</f>
        <v>#REF!</v>
      </c>
      <c r="I16" s="6" t="e">
        <f ca="1">VLOOKUP(CONCATENATE(LEFT(I$7, 7), "age/sex", $B$14, " ", $C16), [0]!data_range, 5, FALSE)</f>
        <v>#REF!</v>
      </c>
      <c r="J16" s="6" t="e">
        <f ca="1">VLOOKUP(CONCATENATE(LEFT(J$7, 7), "age/sex", $B$14, " ", $C16), [0]!data_range, 5, FALSE)</f>
        <v>#REF!</v>
      </c>
      <c r="K16" s="6" t="e">
        <f ca="1">VLOOKUP(CONCATENATE(LEFT(K$7, 7), "age/sex", $B$14, " ", $C16), [0]!data_range, 5, FALSE)</f>
        <v>#REF!</v>
      </c>
      <c r="L16" s="6" t="e">
        <f ca="1">VLOOKUP(CONCATENATE(LEFT(L$7, 7), "age/sex", $B$14, " ", $C16), [0]!data_range, 5, FALSE)</f>
        <v>#REF!</v>
      </c>
      <c r="M16" s="6" t="e">
        <f ca="1">VLOOKUP(CONCATENATE(LEFT(M$7, 7), "age/sex", $B$14, " ", $C16), [0]!data_range, 5, FALSE)</f>
        <v>#REF!</v>
      </c>
    </row>
    <row r="17" spans="2:13" ht="15" customHeight="1" x14ac:dyDescent="0.25">
      <c r="B17" s="1" t="s">
        <v>120</v>
      </c>
      <c r="C17" s="1" t="s">
        <v>112</v>
      </c>
      <c r="D17" s="6" t="e">
        <f ca="1">VLOOKUP(CONCATENATE(LEFT(D$7, 7), "age/sex", $B$17, " ", $C17), [0]!data_range, 5, FALSE)</f>
        <v>#REF!</v>
      </c>
      <c r="E17" s="6" t="e">
        <f ca="1">VLOOKUP(CONCATENATE(LEFT(E$7, 7), "age/sex", $B$17, " ", $C17), [0]!data_range, 5, FALSE)</f>
        <v>#REF!</v>
      </c>
      <c r="F17" s="6" t="e">
        <f ca="1">VLOOKUP(CONCATENATE(LEFT(F$7, 7), "age/sex", $B$17, " ", $C17), [0]!data_range, 5, FALSE)</f>
        <v>#REF!</v>
      </c>
      <c r="G17" s="6" t="e">
        <f ca="1">VLOOKUP(CONCATENATE(LEFT(G$7, 7), "age/sex", $B$17, " ", $C17), [0]!data_range, 5, FALSE)</f>
        <v>#REF!</v>
      </c>
      <c r="H17" s="6" t="e">
        <f ca="1">VLOOKUP(CONCATENATE(LEFT(H$7, 7), "age/sex", $B$17, " ", $C17), [0]!data_range, 5, FALSE)</f>
        <v>#REF!</v>
      </c>
      <c r="I17" s="6" t="e">
        <f ca="1">VLOOKUP(CONCATENATE(LEFT(I$7, 7), "age/sex", $B$17, " ", $C17), [0]!data_range, 5, FALSE)</f>
        <v>#REF!</v>
      </c>
      <c r="J17" s="6" t="e">
        <f ca="1">VLOOKUP(CONCATENATE(LEFT(J$7, 7), "age/sex", $B$17, " ", $C17), [0]!data_range, 5, FALSE)</f>
        <v>#REF!</v>
      </c>
      <c r="K17" s="6" t="e">
        <f ca="1">VLOOKUP(CONCATENATE(LEFT(K$7, 7), "age/sex", $B$17, " ", $C17), [0]!data_range, 5, FALSE)</f>
        <v>#REF!</v>
      </c>
      <c r="L17" s="6" t="e">
        <f ca="1">VLOOKUP(CONCATENATE(LEFT(L$7, 7), "age/sex", $B$17, " ", $C17), [0]!data_range, 5, FALSE)</f>
        <v>#REF!</v>
      </c>
      <c r="M17" s="6" t="e">
        <f ca="1">VLOOKUP(CONCATENATE(LEFT(M$7, 7), "age/sex", $B$17, " ", $C17), [0]!data_range, 5, FALSE)</f>
        <v>#REF!</v>
      </c>
    </row>
    <row r="18" spans="2:13" ht="15" customHeight="1" x14ac:dyDescent="0.25">
      <c r="C18" s="1" t="s">
        <v>164</v>
      </c>
      <c r="D18" s="6" t="e">
        <f ca="1">VLOOKUP(CONCATENATE(LEFT(D$7, 7), "age/sex", $B$17, " ", $C18), [0]!data_range, 5, FALSE)</f>
        <v>#REF!</v>
      </c>
      <c r="E18" s="6" t="e">
        <f ca="1">VLOOKUP(CONCATENATE(LEFT(E$7, 7), "age/sex", $B$17, " ", $C18), [0]!data_range, 5, FALSE)</f>
        <v>#REF!</v>
      </c>
      <c r="F18" s="6" t="e">
        <f ca="1">VLOOKUP(CONCATENATE(LEFT(F$7, 7), "age/sex", $B$17, " ", $C18), [0]!data_range, 5, FALSE)</f>
        <v>#REF!</v>
      </c>
      <c r="G18" s="6" t="e">
        <f ca="1">VLOOKUP(CONCATENATE(LEFT(G$7, 7), "age/sex", $B$17, " ", $C18), [0]!data_range, 5, FALSE)</f>
        <v>#REF!</v>
      </c>
      <c r="H18" s="6" t="e">
        <f ca="1">VLOOKUP(CONCATENATE(LEFT(H$7, 7), "age/sex", $B$17, " ", $C18), [0]!data_range, 5, FALSE)</f>
        <v>#REF!</v>
      </c>
      <c r="I18" s="6" t="e">
        <f ca="1">VLOOKUP(CONCATENATE(LEFT(I$7, 7), "age/sex", $B$17, " ", $C18), [0]!data_range, 5, FALSE)</f>
        <v>#REF!</v>
      </c>
      <c r="J18" s="6" t="e">
        <f ca="1">VLOOKUP(CONCATENATE(LEFT(J$7, 7), "age/sex", $B$17, " ", $C18), [0]!data_range, 5, FALSE)</f>
        <v>#REF!</v>
      </c>
      <c r="K18" s="6" t="e">
        <f ca="1">VLOOKUP(CONCATENATE(LEFT(K$7, 7), "age/sex", $B$17, " ", $C18), [0]!data_range, 5, FALSE)</f>
        <v>#REF!</v>
      </c>
      <c r="L18" s="6" t="e">
        <f ca="1">VLOOKUP(CONCATENATE(LEFT(L$7, 7), "age/sex", $B$17, " ", $C18), [0]!data_range, 5, FALSE)</f>
        <v>#REF!</v>
      </c>
      <c r="M18" s="6" t="e">
        <f ca="1">VLOOKUP(CONCATENATE(LEFT(M$7, 7), "age/sex", $B$17, " ", $C18), [0]!data_range, 5, FALSE)</f>
        <v>#REF!</v>
      </c>
    </row>
    <row r="19" spans="2:13" ht="15" customHeight="1" x14ac:dyDescent="0.25">
      <c r="C19" s="1" t="s">
        <v>119</v>
      </c>
      <c r="D19" s="6" t="e">
        <f ca="1">VLOOKUP(CONCATENATE(LEFT(D$7, 7), "age/sex", $B$17, " ", $C19), [0]!data_range, 5, FALSE)</f>
        <v>#REF!</v>
      </c>
      <c r="E19" s="6" t="e">
        <f ca="1">VLOOKUP(CONCATENATE(LEFT(E$7, 7), "age/sex", $B$17, " ", $C19), [0]!data_range, 5, FALSE)</f>
        <v>#REF!</v>
      </c>
      <c r="F19" s="6" t="e">
        <f ca="1">VLOOKUP(CONCATENATE(LEFT(F$7, 7), "age/sex", $B$17, " ", $C19), [0]!data_range, 5, FALSE)</f>
        <v>#REF!</v>
      </c>
      <c r="G19" s="6" t="e">
        <f ca="1">VLOOKUP(CONCATENATE(LEFT(G$7, 7), "age/sex", $B$17, " ", $C19), [0]!data_range, 5, FALSE)</f>
        <v>#REF!</v>
      </c>
      <c r="H19" s="6" t="e">
        <f ca="1">VLOOKUP(CONCATENATE(LEFT(H$7, 7), "age/sex", $B$17, " ", $C19), [0]!data_range, 5, FALSE)</f>
        <v>#REF!</v>
      </c>
      <c r="I19" s="6" t="e">
        <f ca="1">VLOOKUP(CONCATENATE(LEFT(I$7, 7), "age/sex", $B$17, " ", $C19), [0]!data_range, 5, FALSE)</f>
        <v>#REF!</v>
      </c>
      <c r="J19" s="6" t="e">
        <f ca="1">VLOOKUP(CONCATENATE(LEFT(J$7, 7), "age/sex", $B$17, " ", $C19), [0]!data_range, 5, FALSE)</f>
        <v>#REF!</v>
      </c>
      <c r="K19" s="6" t="e">
        <f ca="1">VLOOKUP(CONCATENATE(LEFT(K$7, 7), "age/sex", $B$17, " ", $C19), [0]!data_range, 5, FALSE)</f>
        <v>#REF!</v>
      </c>
      <c r="L19" s="6" t="e">
        <f ca="1">VLOOKUP(CONCATENATE(LEFT(L$7, 7), "age/sex", $B$17, " ", $C19), [0]!data_range, 5, FALSE)</f>
        <v>#REF!</v>
      </c>
      <c r="M19" s="6" t="e">
        <f ca="1">VLOOKUP(CONCATENATE(LEFT(M$7, 7), "age/sex", $B$17, " ", $C19), [0]!data_range, 5, FALSE)</f>
        <v>#REF!</v>
      </c>
    </row>
    <row r="20" spans="2:13" ht="15" customHeight="1" x14ac:dyDescent="0.25">
      <c r="B20" s="1" t="s">
        <v>118</v>
      </c>
      <c r="C20" s="1" t="s">
        <v>112</v>
      </c>
      <c r="D20" s="6" t="e">
        <f ca="1">VLOOKUP(CONCATENATE(LEFT(D$7, 7), "age/sex", $B$20, " ", $C20), [0]!data_range, 5, FALSE)</f>
        <v>#REF!</v>
      </c>
      <c r="E20" s="6" t="e">
        <f ca="1">VLOOKUP(CONCATENATE(LEFT(E$7, 7), "age/sex", $B$20, " ", $C20), [0]!data_range, 5, FALSE)</f>
        <v>#REF!</v>
      </c>
      <c r="F20" s="6" t="e">
        <f ca="1">VLOOKUP(CONCATENATE(LEFT(F$7, 7), "age/sex", $B$20, " ", $C20), [0]!data_range, 5, FALSE)</f>
        <v>#REF!</v>
      </c>
      <c r="G20" s="6" t="e">
        <f ca="1">VLOOKUP(CONCATENATE(LEFT(G$7, 7), "age/sex", $B$20, " ", $C20), [0]!data_range, 5, FALSE)</f>
        <v>#REF!</v>
      </c>
      <c r="H20" s="6" t="e">
        <f ca="1">VLOOKUP(CONCATENATE(LEFT(H$7, 7), "age/sex", $B$20, " ", $C20), [0]!data_range, 5, FALSE)</f>
        <v>#REF!</v>
      </c>
      <c r="I20" s="6" t="e">
        <f ca="1">VLOOKUP(CONCATENATE(LEFT(I$7, 7), "age/sex", $B$20, " ", $C20), [0]!data_range, 5, FALSE)</f>
        <v>#REF!</v>
      </c>
      <c r="J20" s="6" t="e">
        <f ca="1">VLOOKUP(CONCATENATE(LEFT(J$7, 7), "age/sex", $B$20, " ", $C20), [0]!data_range, 5, FALSE)</f>
        <v>#REF!</v>
      </c>
      <c r="K20" s="6" t="e">
        <f ca="1">VLOOKUP(CONCATENATE(LEFT(K$7, 7), "age/sex", $B$20, " ", $C20), [0]!data_range, 5, FALSE)</f>
        <v>#REF!</v>
      </c>
      <c r="L20" s="6" t="e">
        <f ca="1">VLOOKUP(CONCATENATE(LEFT(L$7, 7), "age/sex", $B$20, " ", $C20), [0]!data_range, 5, FALSE)</f>
        <v>#REF!</v>
      </c>
      <c r="M20" s="6" t="e">
        <f ca="1">VLOOKUP(CONCATENATE(LEFT(M$7, 7), "age/sex", $B$20, " ", $C20), [0]!data_range, 5, FALSE)</f>
        <v>#REF!</v>
      </c>
    </row>
    <row r="21" spans="2:13" ht="15" customHeight="1" x14ac:dyDescent="0.25">
      <c r="C21" s="1" t="s">
        <v>164</v>
      </c>
      <c r="D21" s="6" t="e">
        <f ca="1">VLOOKUP(CONCATENATE(LEFT(D$7, 7), "age/sex", $B$20, " ", $C21), [0]!data_range, 5, FALSE)</f>
        <v>#REF!</v>
      </c>
      <c r="E21" s="6" t="e">
        <f ca="1">VLOOKUP(CONCATENATE(LEFT(E$7, 7), "age/sex", $B$20, " ", $C21), [0]!data_range, 5, FALSE)</f>
        <v>#REF!</v>
      </c>
      <c r="F21" s="6" t="e">
        <f ca="1">VLOOKUP(CONCATENATE(LEFT(F$7, 7), "age/sex", $B$20, " ", $C21), [0]!data_range, 5, FALSE)</f>
        <v>#REF!</v>
      </c>
      <c r="G21" s="6" t="e">
        <f ca="1">VLOOKUP(CONCATENATE(LEFT(G$7, 7), "age/sex", $B$20, " ", $C21), [0]!data_range, 5, FALSE)</f>
        <v>#REF!</v>
      </c>
      <c r="H21" s="6" t="e">
        <f ca="1">VLOOKUP(CONCATENATE(LEFT(H$7, 7), "age/sex", $B$20, " ", $C21), [0]!data_range, 5, FALSE)</f>
        <v>#REF!</v>
      </c>
      <c r="I21" s="6" t="e">
        <f ca="1">VLOOKUP(CONCATENATE(LEFT(I$7, 7), "age/sex", $B$20, " ", $C21), [0]!data_range, 5, FALSE)</f>
        <v>#REF!</v>
      </c>
      <c r="J21" s="6" t="e">
        <f ca="1">VLOOKUP(CONCATENATE(LEFT(J$7, 7), "age/sex", $B$20, " ", $C21), [0]!data_range, 5, FALSE)</f>
        <v>#REF!</v>
      </c>
      <c r="K21" s="6" t="e">
        <f ca="1">VLOOKUP(CONCATENATE(LEFT(K$7, 7), "age/sex", $B$20, " ", $C21), [0]!data_range, 5, FALSE)</f>
        <v>#REF!</v>
      </c>
      <c r="L21" s="6" t="e">
        <f ca="1">VLOOKUP(CONCATENATE(LEFT(L$7, 7), "age/sex", $B$20, " ", $C21), [0]!data_range, 5, FALSE)</f>
        <v>#REF!</v>
      </c>
      <c r="M21" s="6" t="e">
        <f ca="1">VLOOKUP(CONCATENATE(LEFT(M$7, 7), "age/sex", $B$20, " ", $C21), [0]!data_range, 5, FALSE)</f>
        <v>#REF!</v>
      </c>
    </row>
    <row r="22" spans="2:13" ht="15" customHeight="1" x14ac:dyDescent="0.25">
      <c r="C22" s="1" t="s">
        <v>119</v>
      </c>
      <c r="D22" s="6" t="e">
        <f ca="1">VLOOKUP(CONCATENATE(LEFT(D$7, 7), "age/sex", $B$20, " ", $C22), [0]!data_range, 5, FALSE)</f>
        <v>#REF!</v>
      </c>
      <c r="E22" s="6" t="e">
        <f ca="1">VLOOKUP(CONCATENATE(LEFT(E$7, 7), "age/sex", $B$20, " ", $C22), [0]!data_range, 5, FALSE)</f>
        <v>#REF!</v>
      </c>
      <c r="F22" s="6" t="e">
        <f ca="1">VLOOKUP(CONCATENATE(LEFT(F$7, 7), "age/sex", $B$20, " ", $C22), [0]!data_range, 5, FALSE)</f>
        <v>#REF!</v>
      </c>
      <c r="G22" s="6" t="e">
        <f ca="1">VLOOKUP(CONCATENATE(LEFT(G$7, 7), "age/sex", $B$20, " ", $C22), [0]!data_range, 5, FALSE)</f>
        <v>#REF!</v>
      </c>
      <c r="H22" s="6" t="e">
        <f ca="1">VLOOKUP(CONCATENATE(LEFT(H$7, 7), "age/sex", $B$20, " ", $C22), [0]!data_range, 5, FALSE)</f>
        <v>#REF!</v>
      </c>
      <c r="I22" s="6" t="e">
        <f ca="1">VLOOKUP(CONCATENATE(LEFT(I$7, 7), "age/sex", $B$20, " ", $C22), [0]!data_range, 5, FALSE)</f>
        <v>#REF!</v>
      </c>
      <c r="J22" s="6" t="e">
        <f ca="1">VLOOKUP(CONCATENATE(LEFT(J$7, 7), "age/sex", $B$20, " ", $C22), [0]!data_range, 5, FALSE)</f>
        <v>#REF!</v>
      </c>
      <c r="K22" s="6" t="e">
        <f ca="1">VLOOKUP(CONCATENATE(LEFT(K$7, 7), "age/sex", $B$20, " ", $C22), [0]!data_range, 5, FALSE)</f>
        <v>#REF!</v>
      </c>
      <c r="L22" s="6" t="e">
        <f ca="1">VLOOKUP(CONCATENATE(LEFT(L$7, 7), "age/sex", $B$20, " ", $C22), [0]!data_range, 5, FALSE)</f>
        <v>#REF!</v>
      </c>
      <c r="M22" s="6" t="e">
        <f ca="1">VLOOKUP(CONCATENATE(LEFT(M$7, 7), "age/sex", $B$20, " ", $C22), [0]!data_range, 5, FALSE)</f>
        <v>#REF!</v>
      </c>
    </row>
    <row r="23" spans="2:13" ht="15" customHeight="1" x14ac:dyDescent="0.25">
      <c r="B23" s="1" t="s">
        <v>121</v>
      </c>
      <c r="C23" s="1" t="s">
        <v>112</v>
      </c>
      <c r="D23" s="6" t="e">
        <f ca="1">VLOOKUP(CONCATENATE(LEFT(D$7, 7), "age/sex", $B$23, " ", $C23), [0]!data_range, 5, FALSE)</f>
        <v>#REF!</v>
      </c>
      <c r="E23" s="6" t="e">
        <f ca="1">VLOOKUP(CONCATENATE(LEFT(E$7, 7), "age/sex", $B$23, " ", $C23), [0]!data_range, 5, FALSE)</f>
        <v>#REF!</v>
      </c>
      <c r="F23" s="6" t="e">
        <f ca="1">VLOOKUP(CONCATENATE(LEFT(F$7, 7), "age/sex", $B$23, " ", $C23), [0]!data_range, 5, FALSE)</f>
        <v>#REF!</v>
      </c>
      <c r="G23" s="6" t="e">
        <f ca="1">VLOOKUP(CONCATENATE(LEFT(G$7, 7), "age/sex", $B$23, " ", $C23), [0]!data_range, 5, FALSE)</f>
        <v>#REF!</v>
      </c>
      <c r="H23" s="6" t="e">
        <f ca="1">VLOOKUP(CONCATENATE(LEFT(H$7, 7), "age/sex", $B$23, " ", $C23), [0]!data_range, 5, FALSE)</f>
        <v>#REF!</v>
      </c>
      <c r="I23" s="6" t="e">
        <f ca="1">VLOOKUP(CONCATENATE(LEFT(I$7, 7), "age/sex", $B$23, " ", $C23), [0]!data_range, 5, FALSE)</f>
        <v>#REF!</v>
      </c>
      <c r="J23" s="6" t="e">
        <f ca="1">VLOOKUP(CONCATENATE(LEFT(J$7, 7), "age/sex", $B$23, " ", $C23), [0]!data_range, 5, FALSE)</f>
        <v>#REF!</v>
      </c>
      <c r="K23" s="6" t="e">
        <f ca="1">VLOOKUP(CONCATENATE(LEFT(K$7, 7), "age/sex", $B$23, " ", $C23), [0]!data_range, 5, FALSE)</f>
        <v>#REF!</v>
      </c>
      <c r="L23" s="6" t="e">
        <f ca="1">VLOOKUP(CONCATENATE(LEFT(L$7, 7), "age/sex", $B$23, " ", $C23), [0]!data_range, 5, FALSE)</f>
        <v>#REF!</v>
      </c>
      <c r="M23" s="6" t="e">
        <f ca="1">VLOOKUP(CONCATENATE(LEFT(M$7, 7), "age/sex", $B$23, " ", $C23), [0]!data_range, 5, FALSE)</f>
        <v>#REF!</v>
      </c>
    </row>
    <row r="24" spans="2:13" ht="15" customHeight="1" x14ac:dyDescent="0.25">
      <c r="C24" s="1" t="s">
        <v>164</v>
      </c>
      <c r="D24" s="6" t="e">
        <f ca="1">VLOOKUP(CONCATENATE(LEFT(D$7, 7), "age/sex", $B$23, " ", $C24), [0]!data_range, 5, FALSE)</f>
        <v>#REF!</v>
      </c>
      <c r="E24" s="6" t="e">
        <f ca="1">VLOOKUP(CONCATENATE(LEFT(E$7, 7), "age/sex", $B$23, " ", $C24), [0]!data_range, 5, FALSE)</f>
        <v>#REF!</v>
      </c>
      <c r="F24" s="6" t="e">
        <f ca="1">VLOOKUP(CONCATENATE(LEFT(F$7, 7), "age/sex", $B$23, " ", $C24), [0]!data_range, 5, FALSE)</f>
        <v>#REF!</v>
      </c>
      <c r="G24" s="6" t="e">
        <f ca="1">VLOOKUP(CONCATENATE(LEFT(G$7, 7), "age/sex", $B$23, " ", $C24), [0]!data_range, 5, FALSE)</f>
        <v>#REF!</v>
      </c>
      <c r="H24" s="6" t="e">
        <f ca="1">VLOOKUP(CONCATENATE(LEFT(H$7, 7), "age/sex", $B$23, " ", $C24), [0]!data_range, 5, FALSE)</f>
        <v>#REF!</v>
      </c>
      <c r="I24" s="6" t="e">
        <f ca="1">VLOOKUP(CONCATENATE(LEFT(I$7, 7), "age/sex", $B$23, " ", $C24), [0]!data_range, 5, FALSE)</f>
        <v>#REF!</v>
      </c>
      <c r="J24" s="6" t="e">
        <f ca="1">VLOOKUP(CONCATENATE(LEFT(J$7, 7), "age/sex", $B$23, " ", $C24), [0]!data_range, 5, FALSE)</f>
        <v>#REF!</v>
      </c>
      <c r="K24" s="6" t="e">
        <f ca="1">VLOOKUP(CONCATENATE(LEFT(K$7, 7), "age/sex", $B$23, " ", $C24), [0]!data_range, 5, FALSE)</f>
        <v>#REF!</v>
      </c>
      <c r="L24" s="6" t="e">
        <f ca="1">VLOOKUP(CONCATENATE(LEFT(L$7, 7), "age/sex", $B$23, " ", $C24), [0]!data_range, 5, FALSE)</f>
        <v>#REF!</v>
      </c>
      <c r="M24" s="6" t="e">
        <f ca="1">VLOOKUP(CONCATENATE(LEFT(M$7, 7), "age/sex", $B$23, " ", $C24), [0]!data_range, 5, FALSE)</f>
        <v>#REF!</v>
      </c>
    </row>
    <row r="25" spans="2:13" ht="15" customHeight="1" x14ac:dyDescent="0.25">
      <c r="C25" s="1" t="s">
        <v>119</v>
      </c>
      <c r="D25" s="6" t="e">
        <f ca="1">VLOOKUP(CONCATENATE(LEFT(D$7, 7), "age/sex", $B$23, " ", $C25), [0]!data_range, 5, FALSE)</f>
        <v>#REF!</v>
      </c>
      <c r="E25" s="6" t="e">
        <f ca="1">VLOOKUP(CONCATENATE(LEFT(E$7, 7), "age/sex", $B$23, " ", $C25), [0]!data_range, 5, FALSE)</f>
        <v>#REF!</v>
      </c>
      <c r="F25" s="6" t="e">
        <f ca="1">VLOOKUP(CONCATENATE(LEFT(F$7, 7), "age/sex", $B$23, " ", $C25), [0]!data_range, 5, FALSE)</f>
        <v>#REF!</v>
      </c>
      <c r="G25" s="6" t="e">
        <f ca="1">VLOOKUP(CONCATENATE(LEFT(G$7, 7), "age/sex", $B$23, " ", $C25), [0]!data_range, 5, FALSE)</f>
        <v>#REF!</v>
      </c>
      <c r="H25" s="6" t="e">
        <f ca="1">VLOOKUP(CONCATENATE(LEFT(H$7, 7), "age/sex", $B$23, " ", $C25), [0]!data_range, 5, FALSE)</f>
        <v>#REF!</v>
      </c>
      <c r="I25" s="6" t="e">
        <f ca="1">VLOOKUP(CONCATENATE(LEFT(I$7, 7), "age/sex", $B$23, " ", $C25), [0]!data_range, 5, FALSE)</f>
        <v>#REF!</v>
      </c>
      <c r="J25" s="6" t="e">
        <f ca="1">VLOOKUP(CONCATENATE(LEFT(J$7, 7), "age/sex", $B$23, " ", $C25), [0]!data_range, 5, FALSE)</f>
        <v>#REF!</v>
      </c>
      <c r="K25" s="6" t="e">
        <f ca="1">VLOOKUP(CONCATENATE(LEFT(K$7, 7), "age/sex", $B$23, " ", $C25), [0]!data_range, 5, FALSE)</f>
        <v>#REF!</v>
      </c>
      <c r="L25" s="6" t="e">
        <f ca="1">VLOOKUP(CONCATENATE(LEFT(L$7, 7), "age/sex", $B$23, " ", $C25), [0]!data_range, 5, FALSE)</f>
        <v>#REF!</v>
      </c>
      <c r="M25" s="6" t="e">
        <f ca="1">VLOOKUP(CONCATENATE(LEFT(M$7, 7), "age/sex", $B$23, " ", $C25), [0]!data_range, 5, FALSE)</f>
        <v>#REF!</v>
      </c>
    </row>
    <row r="26" spans="2:13" ht="15" customHeight="1" x14ac:dyDescent="0.25">
      <c r="B26" s="1" t="s">
        <v>122</v>
      </c>
      <c r="C26" s="1" t="s">
        <v>112</v>
      </c>
      <c r="D26" s="6" t="e">
        <f ca="1">VLOOKUP(CONCATENATE(LEFT(D$7, 7), "age/sex", $B$26, " ", $C26), [0]!data_range, 5, FALSE)</f>
        <v>#REF!</v>
      </c>
      <c r="E26" s="6" t="e">
        <f ca="1">VLOOKUP(CONCATENATE(LEFT(E$7, 7), "age/sex", $B$26, " ", $C26), [0]!data_range, 5, FALSE)</f>
        <v>#REF!</v>
      </c>
      <c r="F26" s="6" t="e">
        <f ca="1">VLOOKUP(CONCATENATE(LEFT(F$7, 7), "age/sex", $B$26, " ", $C26), [0]!data_range, 5, FALSE)</f>
        <v>#REF!</v>
      </c>
      <c r="G26" s="6" t="e">
        <f ca="1">VLOOKUP(CONCATENATE(LEFT(G$7, 7), "age/sex", $B$26, " ", $C26), [0]!data_range, 5, FALSE)</f>
        <v>#REF!</v>
      </c>
      <c r="H26" s="6" t="e">
        <f ca="1">VLOOKUP(CONCATENATE(LEFT(H$7, 7), "age/sex", $B$26, " ", $C26), [0]!data_range, 5, FALSE)</f>
        <v>#REF!</v>
      </c>
      <c r="I26" s="6" t="e">
        <f ca="1">VLOOKUP(CONCATENATE(LEFT(I$7, 7), "age/sex", $B$26, " ", $C26), [0]!data_range, 5, FALSE)</f>
        <v>#REF!</v>
      </c>
      <c r="J26" s="6" t="e">
        <f ca="1">VLOOKUP(CONCATENATE(LEFT(J$7, 7), "age/sex", $B$26, " ", $C26), [0]!data_range, 5, FALSE)</f>
        <v>#REF!</v>
      </c>
      <c r="K26" s="6" t="e">
        <f ca="1">VLOOKUP(CONCATENATE(LEFT(K$7, 7), "age/sex", $B$26, " ", $C26), [0]!data_range, 5, FALSE)</f>
        <v>#REF!</v>
      </c>
      <c r="L26" s="6" t="e">
        <f ca="1">VLOOKUP(CONCATENATE(LEFT(L$7, 7), "age/sex", $B$26, " ", $C26), [0]!data_range, 5, FALSE)</f>
        <v>#REF!</v>
      </c>
      <c r="M26" s="6" t="e">
        <f ca="1">VLOOKUP(CONCATENATE(LEFT(M$7, 7), "age/sex", $B$26, " ", $C26), [0]!data_range, 5, FALSE)</f>
        <v>#REF!</v>
      </c>
    </row>
    <row r="27" spans="2:13" ht="15" customHeight="1" x14ac:dyDescent="0.25">
      <c r="C27" s="1" t="s">
        <v>164</v>
      </c>
      <c r="D27" s="6" t="e">
        <f ca="1">VLOOKUP(CONCATENATE(LEFT(D$7, 7), "age/sex", $B$26, " ", $C27), [0]!data_range, 5, FALSE)</f>
        <v>#REF!</v>
      </c>
      <c r="E27" s="6" t="e">
        <f ca="1">VLOOKUP(CONCATENATE(LEFT(E$7, 7), "age/sex", $B$26, " ", $C27), [0]!data_range, 5, FALSE)</f>
        <v>#REF!</v>
      </c>
      <c r="F27" s="6" t="e">
        <f ca="1">VLOOKUP(CONCATENATE(LEFT(F$7, 7), "age/sex", $B$26, " ", $C27), [0]!data_range, 5, FALSE)</f>
        <v>#REF!</v>
      </c>
      <c r="G27" s="6" t="e">
        <f ca="1">VLOOKUP(CONCATENATE(LEFT(G$7, 7), "age/sex", $B$26, " ", $C27), [0]!data_range, 5, FALSE)</f>
        <v>#REF!</v>
      </c>
      <c r="H27" s="6" t="e">
        <f ca="1">VLOOKUP(CONCATENATE(LEFT(H$7, 7), "age/sex", $B$26, " ", $C27), [0]!data_range, 5, FALSE)</f>
        <v>#REF!</v>
      </c>
      <c r="I27" s="6" t="e">
        <f ca="1">VLOOKUP(CONCATENATE(LEFT(I$7, 7), "age/sex", $B$26, " ", $C27), [0]!data_range, 5, FALSE)</f>
        <v>#REF!</v>
      </c>
      <c r="J27" s="6" t="e">
        <f ca="1">VLOOKUP(CONCATENATE(LEFT(J$7, 7), "age/sex", $B$26, " ", $C27), [0]!data_range, 5, FALSE)</f>
        <v>#REF!</v>
      </c>
      <c r="K27" s="6" t="e">
        <f ca="1">VLOOKUP(CONCATENATE(LEFT(K$7, 7), "age/sex", $B$26, " ", $C27), [0]!data_range, 5, FALSE)</f>
        <v>#REF!</v>
      </c>
      <c r="L27" s="6" t="e">
        <f ca="1">VLOOKUP(CONCATENATE(LEFT(L$7, 7), "age/sex", $B$26, " ", $C27), [0]!data_range, 5, FALSE)</f>
        <v>#REF!</v>
      </c>
      <c r="M27" s="6" t="e">
        <f ca="1">VLOOKUP(CONCATENATE(LEFT(M$7, 7), "age/sex", $B$26, " ", $C27), [0]!data_range, 5, FALSE)</f>
        <v>#REF!</v>
      </c>
    </row>
    <row r="28" spans="2:13" ht="15" customHeight="1" x14ac:dyDescent="0.25">
      <c r="C28" s="1" t="s">
        <v>119</v>
      </c>
      <c r="D28" s="6" t="e">
        <f ca="1">VLOOKUP(CONCATENATE(LEFT(D$7, 7), "age/sex", $B$26, " ", $C28), [0]!data_range, 5, FALSE)</f>
        <v>#REF!</v>
      </c>
      <c r="E28" s="6" t="e">
        <f ca="1">VLOOKUP(CONCATENATE(LEFT(E$7, 7), "age/sex", $B$26, " ", $C28), [0]!data_range, 5, FALSE)</f>
        <v>#REF!</v>
      </c>
      <c r="F28" s="6" t="e">
        <f ca="1">VLOOKUP(CONCATENATE(LEFT(F$7, 7), "age/sex", $B$26, " ", $C28), [0]!data_range, 5, FALSE)</f>
        <v>#REF!</v>
      </c>
      <c r="G28" s="6" t="e">
        <f ca="1">VLOOKUP(CONCATENATE(LEFT(G$7, 7), "age/sex", $B$26, " ", $C28), [0]!data_range, 5, FALSE)</f>
        <v>#REF!</v>
      </c>
      <c r="H28" s="6" t="e">
        <f ca="1">VLOOKUP(CONCATENATE(LEFT(H$7, 7), "age/sex", $B$26, " ", $C28), [0]!data_range, 5, FALSE)</f>
        <v>#REF!</v>
      </c>
      <c r="I28" s="6" t="e">
        <f ca="1">VLOOKUP(CONCATENATE(LEFT(I$7, 7), "age/sex", $B$26, " ", $C28), [0]!data_range, 5, FALSE)</f>
        <v>#REF!</v>
      </c>
      <c r="J28" s="6" t="e">
        <f ca="1">VLOOKUP(CONCATENATE(LEFT(J$7, 7), "age/sex", $B$26, " ", $C28), [0]!data_range, 5, FALSE)</f>
        <v>#REF!</v>
      </c>
      <c r="K28" s="6" t="e">
        <f ca="1">VLOOKUP(CONCATENATE(LEFT(K$7, 7), "age/sex", $B$26, " ", $C28), [0]!data_range, 5, FALSE)</f>
        <v>#REF!</v>
      </c>
      <c r="L28" s="6" t="e">
        <f ca="1">VLOOKUP(CONCATENATE(LEFT(L$7, 7), "age/sex", $B$26, " ", $C28), [0]!data_range, 5, FALSE)</f>
        <v>#REF!</v>
      </c>
      <c r="M28" s="6" t="e">
        <f ca="1">VLOOKUP(CONCATENATE(LEFT(M$7, 7), "age/sex", $B$26, " ", $C28), [0]!data_range, 5, FALSE)</f>
        <v>#REF!</v>
      </c>
    </row>
    <row r="29" spans="2:13" ht="15" customHeight="1" x14ac:dyDescent="0.25">
      <c r="B29" s="1" t="s">
        <v>123</v>
      </c>
      <c r="C29" s="1" t="s">
        <v>112</v>
      </c>
      <c r="D29" s="6" t="e">
        <f ca="1">VLOOKUP(CONCATENATE(LEFT(D$7, 7), "age/sex", $B$29, " ", $C29), [0]!data_range, 5, FALSE)</f>
        <v>#REF!</v>
      </c>
      <c r="E29" s="6" t="e">
        <f ca="1">VLOOKUP(CONCATENATE(LEFT(E$7, 7), "age/sex", $B$29, " ", $C29), [0]!data_range, 5, FALSE)</f>
        <v>#REF!</v>
      </c>
      <c r="F29" s="6" t="e">
        <f ca="1">VLOOKUP(CONCATENATE(LEFT(F$7, 7), "age/sex", $B$29, " ", $C29), [0]!data_range, 5, FALSE)</f>
        <v>#REF!</v>
      </c>
      <c r="G29" s="6" t="e">
        <f ca="1">VLOOKUP(CONCATENATE(LEFT(G$7, 7), "age/sex", $B$29, " ", $C29), [0]!data_range, 5, FALSE)</f>
        <v>#REF!</v>
      </c>
      <c r="H29" s="6" t="e">
        <f ca="1">VLOOKUP(CONCATENATE(LEFT(H$7, 7), "age/sex", $B$29, " ", $C29), [0]!data_range, 5, FALSE)</f>
        <v>#REF!</v>
      </c>
      <c r="I29" s="6" t="e">
        <f ca="1">VLOOKUP(CONCATENATE(LEFT(I$7, 7), "age/sex", $B$29, " ", $C29), [0]!data_range, 5, FALSE)</f>
        <v>#REF!</v>
      </c>
      <c r="J29" s="6" t="e">
        <f ca="1">VLOOKUP(CONCATENATE(LEFT(J$7, 7), "age/sex", $B$29, " ", $C29), [0]!data_range, 5, FALSE)</f>
        <v>#REF!</v>
      </c>
      <c r="K29" s="6" t="e">
        <f ca="1">VLOOKUP(CONCATENATE(LEFT(K$7, 7), "age/sex", $B$29, " ", $C29), [0]!data_range, 5, FALSE)</f>
        <v>#REF!</v>
      </c>
      <c r="L29" s="6" t="e">
        <f ca="1">VLOOKUP(CONCATENATE(LEFT(L$7, 7), "age/sex", $B$29, " ", $C29), [0]!data_range, 5, FALSE)</f>
        <v>#REF!</v>
      </c>
      <c r="M29" s="6" t="e">
        <f ca="1">VLOOKUP(CONCATENATE(LEFT(M$7, 7), "age/sex", $B$29, " ", $C29), [0]!data_range, 5, FALSE)</f>
        <v>#REF!</v>
      </c>
    </row>
    <row r="30" spans="2:13" ht="15" customHeight="1" x14ac:dyDescent="0.25">
      <c r="C30" s="1" t="s">
        <v>164</v>
      </c>
      <c r="D30" s="6" t="e">
        <f ca="1">VLOOKUP(CONCATENATE(LEFT(D$7, 7), "age/sex", $B$29, " ", $C30), [0]!data_range, 5, FALSE)</f>
        <v>#REF!</v>
      </c>
      <c r="E30" s="6" t="e">
        <f ca="1">VLOOKUP(CONCATENATE(LEFT(E$7, 7), "age/sex", $B$29, " ", $C30), [0]!data_range, 5, FALSE)</f>
        <v>#REF!</v>
      </c>
      <c r="F30" s="6" t="e">
        <f ca="1">VLOOKUP(CONCATENATE(LEFT(F$7, 7), "age/sex", $B$29, " ", $C30), [0]!data_range, 5, FALSE)</f>
        <v>#REF!</v>
      </c>
      <c r="G30" s="6" t="e">
        <f ca="1">VLOOKUP(CONCATENATE(LEFT(G$7, 7), "age/sex", $B$29, " ", $C30), [0]!data_range, 5, FALSE)</f>
        <v>#REF!</v>
      </c>
      <c r="H30" s="6" t="e">
        <f ca="1">VLOOKUP(CONCATENATE(LEFT(H$7, 7), "age/sex", $B$29, " ", $C30), [0]!data_range, 5, FALSE)</f>
        <v>#REF!</v>
      </c>
      <c r="I30" s="6" t="e">
        <f ca="1">VLOOKUP(CONCATENATE(LEFT(I$7, 7), "age/sex", $B$29, " ", $C30), [0]!data_range, 5, FALSE)</f>
        <v>#REF!</v>
      </c>
      <c r="J30" s="6" t="e">
        <f ca="1">VLOOKUP(CONCATENATE(LEFT(J$7, 7), "age/sex", $B$29, " ", $C30), [0]!data_range, 5, FALSE)</f>
        <v>#REF!</v>
      </c>
      <c r="K30" s="6" t="e">
        <f ca="1">VLOOKUP(CONCATENATE(LEFT(K$7, 7), "age/sex", $B$29, " ", $C30), [0]!data_range, 5, FALSE)</f>
        <v>#REF!</v>
      </c>
      <c r="L30" s="6" t="e">
        <f ca="1">VLOOKUP(CONCATENATE(LEFT(L$7, 7), "age/sex", $B$29, " ", $C30), [0]!data_range, 5, FALSE)</f>
        <v>#REF!</v>
      </c>
      <c r="M30" s="6" t="e">
        <f ca="1">VLOOKUP(CONCATENATE(LEFT(M$7, 7), "age/sex", $B$29, " ", $C30), [0]!data_range, 5, FALSE)</f>
        <v>#REF!</v>
      </c>
    </row>
    <row r="31" spans="2:13" ht="15" customHeight="1" x14ac:dyDescent="0.25">
      <c r="B31" s="9"/>
      <c r="C31" s="9" t="s">
        <v>119</v>
      </c>
      <c r="D31" s="8" t="e">
        <f ca="1">VLOOKUP(CONCATENATE(LEFT(D$7, 7), "age/sex", $B$29, " ", $C31), [0]!data_range, 5, FALSE)</f>
        <v>#REF!</v>
      </c>
      <c r="E31" s="8" t="e">
        <f ca="1">VLOOKUP(CONCATENATE(LEFT(E$7, 7), "age/sex", $B$29, " ", $C31), [0]!data_range, 5, FALSE)</f>
        <v>#REF!</v>
      </c>
      <c r="F31" s="8" t="e">
        <f ca="1">VLOOKUP(CONCATENATE(LEFT(F$7, 7), "age/sex", $B$29, " ", $C31), [0]!data_range, 5, FALSE)</f>
        <v>#REF!</v>
      </c>
      <c r="G31" s="8" t="e">
        <f ca="1">VLOOKUP(CONCATENATE(LEFT(G$7, 7), "age/sex", $B$29, " ", $C31), [0]!data_range, 5, FALSE)</f>
        <v>#REF!</v>
      </c>
      <c r="H31" s="8" t="e">
        <f ca="1">VLOOKUP(CONCATENATE(LEFT(H$7, 7), "age/sex", $B$29, " ", $C31), [0]!data_range, 5, FALSE)</f>
        <v>#REF!</v>
      </c>
      <c r="I31" s="8" t="e">
        <f ca="1">VLOOKUP(CONCATENATE(LEFT(I$7, 7), "age/sex", $B$29, " ", $C31), [0]!data_range, 5, FALSE)</f>
        <v>#REF!</v>
      </c>
      <c r="J31" s="8" t="e">
        <f ca="1">VLOOKUP(CONCATENATE(LEFT(J$7, 7), "age/sex", $B$29, " ", $C31), [0]!data_range, 5, FALSE)</f>
        <v>#REF!</v>
      </c>
      <c r="K31" s="8" t="e">
        <f ca="1">VLOOKUP(CONCATENATE(LEFT(K$7, 7), "age/sex", $B$29, " ", $C31), [0]!data_range, 5, FALSE)</f>
        <v>#REF!</v>
      </c>
      <c r="L31" s="8" t="e">
        <f ca="1">VLOOKUP(CONCATENATE(LEFT(L$7, 7), "age/sex", $B$29, " ", $C31), [0]!data_range, 5, FALSE)</f>
        <v>#REF!</v>
      </c>
      <c r="M31" s="8" t="e">
        <f ca="1">VLOOKUP(CONCATENATE(LEFT(M$7, 7), "age/sex", $B$29, " ", $C31), [0]!data_range, 5, FALSE)</f>
        <v>#REF!</v>
      </c>
    </row>
    <row r="32" spans="2:13" ht="15" customHeight="1" x14ac:dyDescent="0.25">
      <c r="J32" s="64"/>
      <c r="K32" s="64"/>
      <c r="L32" s="64"/>
    </row>
    <row r="33" spans="2:12" ht="15" customHeight="1" x14ac:dyDescent="0.25">
      <c r="B33" s="66" t="s">
        <v>14</v>
      </c>
      <c r="J33" s="64"/>
      <c r="K33" s="64"/>
      <c r="L33" s="64"/>
    </row>
    <row r="34" spans="2:12" ht="15" customHeight="1" x14ac:dyDescent="0.25">
      <c r="B34" s="66"/>
      <c r="J34" s="64"/>
      <c r="K34" s="64"/>
      <c r="L34" s="64"/>
    </row>
    <row r="35" spans="2:12" ht="21.75" customHeight="1" x14ac:dyDescent="0.25">
      <c r="B35" s="99" t="s">
        <v>218</v>
      </c>
      <c r="C35" s="99"/>
      <c r="D35" s="99"/>
      <c r="E35" s="99"/>
      <c r="F35" s="99"/>
      <c r="G35" s="99"/>
      <c r="H35" s="99"/>
      <c r="J35" s="64"/>
      <c r="K35" s="64"/>
      <c r="L35" s="64"/>
    </row>
    <row r="36" spans="2:12" ht="15" customHeight="1" x14ac:dyDescent="0.25">
      <c r="B36" s="55"/>
      <c r="C36" s="55"/>
      <c r="D36" s="55"/>
      <c r="E36" s="55"/>
      <c r="F36" s="55"/>
      <c r="G36" s="55"/>
      <c r="H36" s="55"/>
      <c r="J36" s="64"/>
      <c r="K36" s="64"/>
      <c r="L36" s="64"/>
    </row>
    <row r="37" spans="2:12" ht="15" customHeight="1" x14ac:dyDescent="0.25">
      <c r="B37" s="5" t="s">
        <v>208</v>
      </c>
    </row>
    <row r="38" spans="2:12" ht="15" customHeight="1" x14ac:dyDescent="0.25">
      <c r="B38" s="5" t="s">
        <v>200</v>
      </c>
    </row>
    <row r="39" spans="2:12" ht="15" customHeight="1" x14ac:dyDescent="0.25">
      <c r="B39" s="30" t="e">
        <f ca="1" xml:space="preserve"> "p. " &amp; calculation!$E$14</f>
        <v>#REF!</v>
      </c>
      <c r="D39" s="64"/>
      <c r="E39" s="64"/>
      <c r="F39" s="69"/>
      <c r="G39" s="69"/>
      <c r="H39" s="69"/>
    </row>
    <row r="40" spans="2:12" ht="15" customHeight="1" x14ac:dyDescent="0.25">
      <c r="B40" s="5" t="str">
        <f>"1. " &amp; calculation!E17</f>
        <v>1. Figures in 2020/21 and 2021/22 are likely to have been affected by the impact of COVID-19 on hospital stays.</v>
      </c>
      <c r="D40" s="64"/>
      <c r="E40" s="64"/>
      <c r="F40" s="69"/>
      <c r="G40" s="69"/>
      <c r="H40" s="69"/>
    </row>
    <row r="41" spans="2:12" ht="15" customHeight="1" x14ac:dyDescent="0.25">
      <c r="D41" s="64"/>
      <c r="E41" s="64"/>
      <c r="F41" s="69"/>
      <c r="G41" s="69"/>
      <c r="H41" s="69"/>
    </row>
    <row r="42" spans="2:12" ht="15" customHeight="1" x14ac:dyDescent="0.25">
      <c r="D42" s="64"/>
      <c r="E42" s="64"/>
      <c r="F42" s="69"/>
      <c r="G42" s="69"/>
      <c r="H42" s="69"/>
    </row>
    <row r="43" spans="2:12" ht="15" customHeight="1" x14ac:dyDescent="0.25">
      <c r="D43" s="64"/>
      <c r="E43" s="64"/>
      <c r="F43" s="69"/>
      <c r="G43" s="69"/>
      <c r="H43" s="69"/>
    </row>
    <row r="44" spans="2:12" ht="15" customHeight="1" x14ac:dyDescent="0.25">
      <c r="D44" s="64"/>
      <c r="E44" s="64"/>
      <c r="F44" s="69"/>
      <c r="G44" s="69"/>
      <c r="H44" s="69"/>
    </row>
    <row r="45" spans="2:12" ht="15" customHeight="1" x14ac:dyDescent="0.25">
      <c r="D45" s="64"/>
      <c r="E45" s="64"/>
      <c r="F45" s="69"/>
      <c r="G45" s="69"/>
      <c r="H45" s="69"/>
    </row>
    <row r="46" spans="2:12" ht="15" customHeight="1" x14ac:dyDescent="0.25">
      <c r="D46" s="64"/>
      <c r="E46" s="64"/>
      <c r="F46" s="69"/>
      <c r="G46" s="69"/>
      <c r="H46" s="69"/>
    </row>
    <row r="47" spans="2:12" ht="15" customHeight="1" x14ac:dyDescent="0.25">
      <c r="D47" s="64"/>
      <c r="E47" s="64"/>
      <c r="F47" s="69"/>
      <c r="G47" s="69"/>
      <c r="H47" s="69"/>
    </row>
    <row r="48" spans="2:12" ht="15" customHeight="1" x14ac:dyDescent="0.25">
      <c r="D48" s="64"/>
      <c r="E48" s="64"/>
      <c r="F48" s="69"/>
      <c r="G48" s="69"/>
      <c r="H48" s="69"/>
    </row>
  </sheetData>
  <mergeCells count="2">
    <mergeCell ref="B35:H35"/>
    <mergeCell ref="B1:J1"/>
  </mergeCells>
  <phoneticPr fontId="5" type="noConversion"/>
  <hyperlinks>
    <hyperlink ref="B33" location="'External Causes of Deaths'!A1" display="External causes of death excluded from analysis" xr:uid="{00000000-0004-0000-0500-000000000000}"/>
  </hyperlinks>
  <pageMargins left="0.74803149606299213" right="0.74803149606299213" top="0.98425196850393704" bottom="0.98425196850393704" header="0.51181102362204722" footer="0.51181102362204722"/>
  <pageSetup paperSize="9" scale="81"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pageSetUpPr fitToPage="1"/>
  </sheetPr>
  <dimension ref="B1:R38"/>
  <sheetViews>
    <sheetView showGridLines="0" topLeftCell="A6" zoomScaleNormal="100" workbookViewId="0"/>
  </sheetViews>
  <sheetFormatPr defaultColWidth="9.109375" defaultRowHeight="15" customHeight="1" x14ac:dyDescent="0.25"/>
  <cols>
    <col min="1" max="1" width="1.6640625" style="1" customWidth="1"/>
    <col min="2" max="2" width="40" style="1" customWidth="1"/>
    <col min="3" max="12" width="11.33203125" style="1" customWidth="1"/>
    <col min="13" max="16384" width="9.109375" style="1"/>
  </cols>
  <sheetData>
    <row r="1" spans="2:18" ht="15" customHeight="1" x14ac:dyDescent="0.3">
      <c r="B1" s="98" t="str">
        <f>Notes!B1:O1</f>
        <v/>
      </c>
      <c r="C1" s="98"/>
      <c r="D1" s="98"/>
      <c r="E1" s="98"/>
      <c r="F1" s="98"/>
      <c r="G1" s="98"/>
      <c r="H1" s="98"/>
      <c r="I1" s="98"/>
    </row>
    <row r="2" spans="2:18" ht="15" customHeight="1" x14ac:dyDescent="0.3">
      <c r="B2" s="85" t="s">
        <v>143</v>
      </c>
      <c r="L2" s="69"/>
    </row>
    <row r="3" spans="2:18" ht="18" x14ac:dyDescent="0.3">
      <c r="B3" s="85" t="s">
        <v>222</v>
      </c>
      <c r="I3" s="64"/>
      <c r="J3" s="64"/>
      <c r="K3" s="64"/>
      <c r="L3" s="69"/>
    </row>
    <row r="4" spans="2:18" ht="15" customHeight="1" x14ac:dyDescent="0.3">
      <c r="B4" s="2"/>
      <c r="I4" s="64"/>
      <c r="J4" s="64"/>
      <c r="K4" s="64"/>
      <c r="L4" s="69"/>
    </row>
    <row r="5" spans="2:18" ht="15" customHeight="1" x14ac:dyDescent="0.25">
      <c r="H5" s="26"/>
      <c r="I5" s="64"/>
      <c r="J5" s="64"/>
      <c r="K5" s="64"/>
      <c r="L5" s="52" t="s">
        <v>179</v>
      </c>
    </row>
    <row r="6" spans="2:18" ht="15" customHeight="1" x14ac:dyDescent="0.25">
      <c r="C6" s="27"/>
      <c r="D6" s="27"/>
      <c r="E6" s="27"/>
      <c r="F6" s="27"/>
      <c r="G6" s="27"/>
      <c r="H6" s="27"/>
      <c r="I6" s="27"/>
      <c r="J6" s="27"/>
      <c r="K6" s="27"/>
    </row>
    <row r="7" spans="2:18" ht="15" customHeight="1" x14ac:dyDescent="0.25">
      <c r="B7" s="24" t="s">
        <v>138</v>
      </c>
      <c r="C7" s="4" t="e">
        <f ca="1">calculation!B$10</f>
        <v>#REF!</v>
      </c>
      <c r="D7" s="4" t="e">
        <f ca="1">calculation!C$10</f>
        <v>#REF!</v>
      </c>
      <c r="E7" s="4" t="e">
        <f ca="1">calculation!D$10</f>
        <v>#REF!</v>
      </c>
      <c r="F7" s="4" t="e">
        <f ca="1">calculation!E$10</f>
        <v>#REF!</v>
      </c>
      <c r="G7" s="4" t="e">
        <f ca="1">calculation!F$10</f>
        <v>#REF!</v>
      </c>
      <c r="H7" s="4" t="e">
        <f ca="1">calculation!G$10</f>
        <v>#REF!</v>
      </c>
      <c r="I7" s="4" t="e">
        <f ca="1">calculation!H$10</f>
        <v>#REF!</v>
      </c>
      <c r="J7" s="4" t="e">
        <f ca="1">calculation!I$10</f>
        <v>#REF!</v>
      </c>
      <c r="K7" s="4" t="e">
        <f ca="1">calculation!J$10</f>
        <v>#REF!</v>
      </c>
      <c r="L7" s="4" t="e">
        <f ca="1">calculation!K$10</f>
        <v>#REF!</v>
      </c>
      <c r="M7" s="3"/>
      <c r="N7" s="3"/>
      <c r="O7" s="3"/>
      <c r="P7" s="3"/>
      <c r="Q7" s="3"/>
      <c r="R7" s="3"/>
    </row>
    <row r="8" spans="2:18" ht="15" customHeight="1" x14ac:dyDescent="0.25">
      <c r="B8" s="28" t="s">
        <v>152</v>
      </c>
      <c r="C8" s="6" t="e">
        <f ca="1">VLOOKUP(CONCATENATE(LEFT(C$7, 7), "simd quintile", $B8), [0]!data_range, 5, FALSE)</f>
        <v>#REF!</v>
      </c>
      <c r="D8" s="6" t="e">
        <f ca="1">VLOOKUP(CONCATENATE(LEFT(D$7, 7), "simd quintile", $B8), [0]!data_range, 5, FALSE)</f>
        <v>#REF!</v>
      </c>
      <c r="E8" s="6" t="e">
        <f ca="1">VLOOKUP(CONCATENATE(LEFT(E$7, 7), "simd quintile", $B8), [0]!data_range, 5, FALSE)</f>
        <v>#REF!</v>
      </c>
      <c r="F8" s="6" t="e">
        <f ca="1">VLOOKUP(CONCATENATE(LEFT(F$7, 7), "simd quintile", $B8), [0]!data_range, 5, FALSE)</f>
        <v>#REF!</v>
      </c>
      <c r="G8" s="6" t="e">
        <f ca="1">VLOOKUP(CONCATENATE(LEFT(G$7, 7), "simd quintile", $B8), [0]!data_range, 5, FALSE)</f>
        <v>#REF!</v>
      </c>
      <c r="H8" s="6" t="e">
        <f ca="1">VLOOKUP(CONCATENATE(LEFT(H$7, 7), "simd quintile", $B8), [0]!data_range, 5, FALSE)</f>
        <v>#REF!</v>
      </c>
      <c r="I8" s="6" t="e">
        <f ca="1">VLOOKUP(CONCATENATE(LEFT(I$7, 7), "simd quintile", $B8), [0]!data_range, 5, FALSE)</f>
        <v>#REF!</v>
      </c>
      <c r="J8" s="6" t="e">
        <f ca="1">VLOOKUP(CONCATENATE(LEFT(J$7, 7), "simd quintile", $B8), [0]!data_range, 5, FALSE)</f>
        <v>#REF!</v>
      </c>
      <c r="K8" s="6" t="e">
        <f ca="1">VLOOKUP(CONCATENATE(LEFT(K$7, 7), "simd quintile", $B8), [0]!data_range, 5, FALSE)</f>
        <v>#REF!</v>
      </c>
      <c r="L8" s="6" t="e">
        <f ca="1">VLOOKUP(CONCATENATE(LEFT(L$7, 7), "simd quintile", $B8), [0]!data_range, 5, FALSE)</f>
        <v>#REF!</v>
      </c>
      <c r="M8" s="68"/>
      <c r="N8" s="68"/>
      <c r="O8" s="68"/>
      <c r="P8" s="68"/>
      <c r="Q8" s="70"/>
      <c r="R8" s="70"/>
    </row>
    <row r="9" spans="2:18" ht="15" customHeight="1" x14ac:dyDescent="0.25">
      <c r="B9" s="28">
        <v>2</v>
      </c>
      <c r="C9" s="6" t="e">
        <f ca="1">VLOOKUP(CONCATENATE(LEFT(C$7, 7), "simd quintile", $B9), [0]!data_range, 5, FALSE)</f>
        <v>#REF!</v>
      </c>
      <c r="D9" s="6" t="e">
        <f ca="1">VLOOKUP(CONCATENATE(LEFT(D$7, 7), "simd quintile", $B9), [0]!data_range, 5, FALSE)</f>
        <v>#REF!</v>
      </c>
      <c r="E9" s="6" t="e">
        <f ca="1">VLOOKUP(CONCATENATE(LEFT(E$7, 7), "simd quintile", $B9), [0]!data_range, 5, FALSE)</f>
        <v>#REF!</v>
      </c>
      <c r="F9" s="6" t="e">
        <f ca="1">VLOOKUP(CONCATENATE(LEFT(F$7, 7), "simd quintile", $B9), [0]!data_range, 5, FALSE)</f>
        <v>#REF!</v>
      </c>
      <c r="G9" s="6" t="e">
        <f ca="1">VLOOKUP(CONCATENATE(LEFT(G$7, 7), "simd quintile", $B9), [0]!data_range, 5, FALSE)</f>
        <v>#REF!</v>
      </c>
      <c r="H9" s="6" t="e">
        <f ca="1">VLOOKUP(CONCATENATE(LEFT(H$7, 7), "simd quintile", $B9), [0]!data_range, 5, FALSE)</f>
        <v>#REF!</v>
      </c>
      <c r="I9" s="6" t="e">
        <f ca="1">VLOOKUP(CONCATENATE(LEFT(I$7, 7), "simd quintile", $B9), [0]!data_range, 5, FALSE)</f>
        <v>#REF!</v>
      </c>
      <c r="J9" s="6" t="e">
        <f ca="1">VLOOKUP(CONCATENATE(LEFT(J$7, 7), "simd quintile", $B9), [0]!data_range, 5, FALSE)</f>
        <v>#REF!</v>
      </c>
      <c r="K9" s="6" t="e">
        <f ca="1">VLOOKUP(CONCATENATE(LEFT(K$7, 7), "simd quintile", $B9), [0]!data_range, 5, FALSE)</f>
        <v>#REF!</v>
      </c>
      <c r="L9" s="6" t="e">
        <f ca="1">VLOOKUP(CONCATENATE(LEFT(L$7, 7), "simd quintile", $B9), [0]!data_range, 5, FALSE)</f>
        <v>#REF!</v>
      </c>
      <c r="M9" s="68"/>
      <c r="N9" s="68"/>
      <c r="O9" s="68"/>
      <c r="P9" s="68"/>
      <c r="Q9" s="70"/>
      <c r="R9" s="70"/>
    </row>
    <row r="10" spans="2:18" ht="15" customHeight="1" x14ac:dyDescent="0.25">
      <c r="B10" s="28">
        <v>3</v>
      </c>
      <c r="C10" s="6" t="e">
        <f ca="1">VLOOKUP(CONCATENATE(LEFT(C$7, 7), "simd quintile", $B10), [0]!data_range, 5, FALSE)</f>
        <v>#REF!</v>
      </c>
      <c r="D10" s="6" t="e">
        <f ca="1">VLOOKUP(CONCATENATE(LEFT(D$7, 7), "simd quintile", $B10), [0]!data_range, 5, FALSE)</f>
        <v>#REF!</v>
      </c>
      <c r="E10" s="6" t="e">
        <f ca="1">VLOOKUP(CONCATENATE(LEFT(E$7, 7), "simd quintile", $B10), [0]!data_range, 5, FALSE)</f>
        <v>#REF!</v>
      </c>
      <c r="F10" s="6" t="e">
        <f ca="1">VLOOKUP(CONCATENATE(LEFT(F$7, 7), "simd quintile", $B10), [0]!data_range, 5, FALSE)</f>
        <v>#REF!</v>
      </c>
      <c r="G10" s="6" t="e">
        <f ca="1">VLOOKUP(CONCATENATE(LEFT(G$7, 7), "simd quintile", $B10), [0]!data_range, 5, FALSE)</f>
        <v>#REF!</v>
      </c>
      <c r="H10" s="6" t="e">
        <f ca="1">VLOOKUP(CONCATENATE(LEFT(H$7, 7), "simd quintile", $B10), [0]!data_range, 5, FALSE)</f>
        <v>#REF!</v>
      </c>
      <c r="I10" s="6" t="e">
        <f ca="1">VLOOKUP(CONCATENATE(LEFT(I$7, 7), "simd quintile", $B10), [0]!data_range, 5, FALSE)</f>
        <v>#REF!</v>
      </c>
      <c r="J10" s="6" t="e">
        <f ca="1">VLOOKUP(CONCATENATE(LEFT(J$7, 7), "simd quintile", $B10), [0]!data_range, 5, FALSE)</f>
        <v>#REF!</v>
      </c>
      <c r="K10" s="6" t="e">
        <f ca="1">VLOOKUP(CONCATENATE(LEFT(K$7, 7), "simd quintile", $B10), [0]!data_range, 5, FALSE)</f>
        <v>#REF!</v>
      </c>
      <c r="L10" s="6" t="e">
        <f ca="1">VLOOKUP(CONCATENATE(LEFT(L$7, 7), "simd quintile", $B10), [0]!data_range, 5, FALSE)</f>
        <v>#REF!</v>
      </c>
      <c r="M10" s="68"/>
      <c r="N10" s="68"/>
      <c r="O10" s="68"/>
      <c r="P10" s="68"/>
      <c r="Q10" s="70"/>
      <c r="R10" s="70"/>
    </row>
    <row r="11" spans="2:18" ht="15" customHeight="1" x14ac:dyDescent="0.25">
      <c r="B11" s="28">
        <v>4</v>
      </c>
      <c r="C11" s="6" t="e">
        <f ca="1">VLOOKUP(CONCATENATE(LEFT(C$7, 7), "simd quintile", $B11), [0]!data_range, 5, FALSE)</f>
        <v>#REF!</v>
      </c>
      <c r="D11" s="6" t="e">
        <f ca="1">VLOOKUP(CONCATENATE(LEFT(D$7, 7), "simd quintile", $B11), [0]!data_range, 5, FALSE)</f>
        <v>#REF!</v>
      </c>
      <c r="E11" s="6" t="e">
        <f ca="1">VLOOKUP(CONCATENATE(LEFT(E$7, 7), "simd quintile", $B11), [0]!data_range, 5, FALSE)</f>
        <v>#REF!</v>
      </c>
      <c r="F11" s="6" t="e">
        <f ca="1">VLOOKUP(CONCATENATE(LEFT(F$7, 7), "simd quintile", $B11), [0]!data_range, 5, FALSE)</f>
        <v>#REF!</v>
      </c>
      <c r="G11" s="6" t="e">
        <f ca="1">VLOOKUP(CONCATENATE(LEFT(G$7, 7), "simd quintile", $B11), [0]!data_range, 5, FALSE)</f>
        <v>#REF!</v>
      </c>
      <c r="H11" s="6" t="e">
        <f ca="1">VLOOKUP(CONCATENATE(LEFT(H$7, 7), "simd quintile", $B11), [0]!data_range, 5, FALSE)</f>
        <v>#REF!</v>
      </c>
      <c r="I11" s="6" t="e">
        <f ca="1">VLOOKUP(CONCATENATE(LEFT(I$7, 7), "simd quintile", $B11), [0]!data_range, 5, FALSE)</f>
        <v>#REF!</v>
      </c>
      <c r="J11" s="6" t="e">
        <f ca="1">VLOOKUP(CONCATENATE(LEFT(J$7, 7), "simd quintile", $B11), [0]!data_range, 5, FALSE)</f>
        <v>#REF!</v>
      </c>
      <c r="K11" s="6" t="e">
        <f ca="1">VLOOKUP(CONCATENATE(LEFT(K$7, 7), "simd quintile", $B11), [0]!data_range, 5, FALSE)</f>
        <v>#REF!</v>
      </c>
      <c r="L11" s="6" t="e">
        <f ca="1">VLOOKUP(CONCATENATE(LEFT(L$7, 7), "simd quintile", $B11), [0]!data_range, 5, FALSE)</f>
        <v>#REF!</v>
      </c>
      <c r="M11" s="68"/>
      <c r="N11" s="68"/>
      <c r="O11" s="68"/>
      <c r="P11" s="68"/>
      <c r="Q11" s="70"/>
      <c r="R11" s="70"/>
    </row>
    <row r="12" spans="2:18" ht="15" customHeight="1" x14ac:dyDescent="0.25">
      <c r="B12" s="29" t="s">
        <v>153</v>
      </c>
      <c r="C12" s="8" t="e">
        <f ca="1">VLOOKUP(CONCATENATE(LEFT(C$7, 7), "simd quintile", $B12), [0]!data_range, 5, FALSE)</f>
        <v>#REF!</v>
      </c>
      <c r="D12" s="8" t="e">
        <f ca="1">VLOOKUP(CONCATENATE(LEFT(D$7, 7), "simd quintile", $B12), [0]!data_range, 5, FALSE)</f>
        <v>#REF!</v>
      </c>
      <c r="E12" s="8" t="e">
        <f ca="1">VLOOKUP(CONCATENATE(LEFT(E$7, 7), "simd quintile", $B12), [0]!data_range, 5, FALSE)</f>
        <v>#REF!</v>
      </c>
      <c r="F12" s="8" t="e">
        <f ca="1">VLOOKUP(CONCATENATE(LEFT(F$7, 7), "simd quintile", $B12), [0]!data_range, 5, FALSE)</f>
        <v>#REF!</v>
      </c>
      <c r="G12" s="8" t="e">
        <f ca="1">VLOOKUP(CONCATENATE(LEFT(G$7, 7), "simd quintile", $B12), [0]!data_range, 5, FALSE)</f>
        <v>#REF!</v>
      </c>
      <c r="H12" s="8" t="e">
        <f ca="1">VLOOKUP(CONCATENATE(LEFT(H$7, 7), "simd quintile", $B12), [0]!data_range, 5, FALSE)</f>
        <v>#REF!</v>
      </c>
      <c r="I12" s="8" t="e">
        <f ca="1">VLOOKUP(CONCATENATE(LEFT(I$7, 7), "simd quintile", $B12), [0]!data_range, 5, FALSE)</f>
        <v>#REF!</v>
      </c>
      <c r="J12" s="8" t="e">
        <f ca="1">VLOOKUP(CONCATENATE(LEFT(J$7, 7), "simd quintile", $B12), [0]!data_range, 5, FALSE)</f>
        <v>#REF!</v>
      </c>
      <c r="K12" s="8" t="e">
        <f ca="1">VLOOKUP(CONCATENATE(LEFT(K$7, 7), "simd quintile", $B12), [0]!data_range, 5, FALSE)</f>
        <v>#REF!</v>
      </c>
      <c r="L12" s="8" t="e">
        <f ca="1">VLOOKUP(CONCATENATE(LEFT(L$7, 7), "simd quintile", $B12), [0]!data_range, 5, FALSE)</f>
        <v>#REF!</v>
      </c>
      <c r="M12" s="68"/>
      <c r="N12" s="68"/>
      <c r="O12" s="68"/>
      <c r="P12" s="68"/>
      <c r="Q12" s="70"/>
      <c r="R12" s="70"/>
    </row>
    <row r="13" spans="2:18" ht="15" customHeight="1" x14ac:dyDescent="0.25">
      <c r="C13" s="6"/>
      <c r="D13" s="6"/>
      <c r="E13" s="6"/>
      <c r="F13" s="6"/>
      <c r="G13" s="6"/>
      <c r="H13" s="6"/>
      <c r="I13" s="6"/>
      <c r="J13" s="6"/>
      <c r="K13" s="6"/>
      <c r="L13" s="6"/>
      <c r="M13" s="70"/>
      <c r="N13" s="70"/>
      <c r="O13" s="70"/>
      <c r="P13" s="70"/>
      <c r="Q13" s="71"/>
      <c r="R13" s="71"/>
    </row>
    <row r="14" spans="2:18" ht="15" customHeight="1" x14ac:dyDescent="0.25">
      <c r="C14" s="6"/>
      <c r="D14" s="6"/>
      <c r="E14" s="6"/>
      <c r="F14" s="6"/>
      <c r="G14" s="6"/>
      <c r="H14" s="6"/>
      <c r="I14" s="6"/>
      <c r="J14" s="6"/>
      <c r="K14" s="6"/>
      <c r="L14" s="6"/>
      <c r="M14" s="70"/>
      <c r="N14" s="70"/>
      <c r="O14" s="70"/>
      <c r="P14" s="70"/>
      <c r="Q14" s="71"/>
      <c r="R14" s="71"/>
    </row>
    <row r="15" spans="2:18" ht="15" customHeight="1" x14ac:dyDescent="0.25">
      <c r="B15" s="24" t="s">
        <v>137</v>
      </c>
      <c r="C15" s="4" t="e">
        <f ca="1">calculation!B$10</f>
        <v>#REF!</v>
      </c>
      <c r="D15" s="4" t="e">
        <f ca="1">calculation!C$10</f>
        <v>#REF!</v>
      </c>
      <c r="E15" s="4" t="e">
        <f ca="1">calculation!D$10</f>
        <v>#REF!</v>
      </c>
      <c r="F15" s="4" t="e">
        <f ca="1">calculation!E$10</f>
        <v>#REF!</v>
      </c>
      <c r="G15" s="4" t="e">
        <f ca="1">calculation!F$10</f>
        <v>#REF!</v>
      </c>
      <c r="H15" s="4" t="e">
        <f ca="1">calculation!G$10</f>
        <v>#REF!</v>
      </c>
      <c r="I15" s="4" t="e">
        <f ca="1">calculation!H$10</f>
        <v>#REF!</v>
      </c>
      <c r="J15" s="4" t="e">
        <f ca="1">calculation!I$10</f>
        <v>#REF!</v>
      </c>
      <c r="K15" s="4" t="e">
        <f ca="1">calculation!J$10</f>
        <v>#REF!</v>
      </c>
      <c r="L15" s="4" t="e">
        <f ca="1">calculation!K$10</f>
        <v>#REF!</v>
      </c>
      <c r="M15" s="3"/>
      <c r="N15" s="3"/>
      <c r="O15" s="3"/>
      <c r="P15" s="3"/>
      <c r="Q15" s="3"/>
      <c r="R15" s="3"/>
    </row>
    <row r="16" spans="2:18" ht="15" customHeight="1" x14ac:dyDescent="0.25">
      <c r="B16" s="1" t="s">
        <v>113</v>
      </c>
      <c r="C16" s="6" t="e">
        <f ca="1">VLOOKUP(CONCATENATE(LEFT(C$15, 7), "simd 15", $B16), [0]!data_range, 5, FALSE)</f>
        <v>#REF!</v>
      </c>
      <c r="D16" s="6" t="e">
        <f ca="1">VLOOKUP(CONCATENATE(LEFT(D$15, 7), "simd 15", $B16), [0]!data_range, 5, FALSE)</f>
        <v>#REF!</v>
      </c>
      <c r="E16" s="6" t="e">
        <f ca="1">VLOOKUP(CONCATENATE(LEFT(E$15, 7), "simd 15", $B16), [0]!data_range, 5, FALSE)</f>
        <v>#REF!</v>
      </c>
      <c r="F16" s="6" t="e">
        <f ca="1">VLOOKUP(CONCATENATE(LEFT(F$15, 7), "simd 15", $B16), [0]!data_range, 5, FALSE)</f>
        <v>#REF!</v>
      </c>
      <c r="G16" s="6" t="e">
        <f ca="1">VLOOKUP(CONCATENATE(LEFT(G$15, 7), "simd 15", $B16), [0]!data_range, 5, FALSE)</f>
        <v>#REF!</v>
      </c>
      <c r="H16" s="6" t="e">
        <f ca="1">VLOOKUP(CONCATENATE(LEFT(H$15, 7), "simd 15", $B16), [0]!data_range, 5, FALSE)</f>
        <v>#REF!</v>
      </c>
      <c r="I16" s="6" t="e">
        <f ca="1">VLOOKUP(CONCATENATE(LEFT(I$15, 7), "simd 15", $B16), [0]!data_range, 5, FALSE)</f>
        <v>#REF!</v>
      </c>
      <c r="J16" s="6" t="e">
        <f ca="1">VLOOKUP(CONCATENATE(LEFT(J$15, 7), "simd 15", $B16), [0]!data_range, 5, FALSE)</f>
        <v>#REF!</v>
      </c>
      <c r="K16" s="6" t="e">
        <f ca="1">VLOOKUP(CONCATENATE(LEFT(K$15, 7), "simd 15", $B16), [0]!data_range, 5, FALSE)</f>
        <v>#REF!</v>
      </c>
      <c r="L16" s="6" t="e">
        <f ca="1">VLOOKUP(CONCATENATE(LEFT(L$15, 7), "simd 15", $B16), [0]!data_range, 5, FALSE)</f>
        <v>#REF!</v>
      </c>
      <c r="M16" s="68"/>
      <c r="N16" s="68"/>
      <c r="O16" s="68"/>
      <c r="P16" s="68"/>
      <c r="Q16" s="70"/>
      <c r="R16" s="70"/>
    </row>
    <row r="17" spans="2:18" ht="15" customHeight="1" x14ac:dyDescent="0.25">
      <c r="B17" s="9" t="s">
        <v>114</v>
      </c>
      <c r="C17" s="8" t="e">
        <f ca="1">VLOOKUP(CONCATENATE(LEFT(C$15, 7), "simd 15", $B17), [0]!data_range, 5, FALSE)</f>
        <v>#REF!</v>
      </c>
      <c r="D17" s="8" t="e">
        <f ca="1">VLOOKUP(CONCATENATE(LEFT(D$15, 7), "simd 15", $B17), [0]!data_range, 5, FALSE)</f>
        <v>#REF!</v>
      </c>
      <c r="E17" s="8" t="e">
        <f ca="1">VLOOKUP(CONCATENATE(LEFT(E$15, 7), "simd 15", $B17), [0]!data_range, 5, FALSE)</f>
        <v>#REF!</v>
      </c>
      <c r="F17" s="8" t="e">
        <f ca="1">VLOOKUP(CONCATENATE(LEFT(F$15, 7), "simd 15", $B17), [0]!data_range, 5, FALSE)</f>
        <v>#REF!</v>
      </c>
      <c r="G17" s="8" t="e">
        <f ca="1">VLOOKUP(CONCATENATE(LEFT(G$15, 7), "simd 15", $B17), [0]!data_range, 5, FALSE)</f>
        <v>#REF!</v>
      </c>
      <c r="H17" s="8" t="e">
        <f ca="1">VLOOKUP(CONCATENATE(LEFT(H$15, 7), "simd 15", $B17), [0]!data_range, 5, FALSE)</f>
        <v>#REF!</v>
      </c>
      <c r="I17" s="8" t="e">
        <f ca="1">VLOOKUP(CONCATENATE(LEFT(I$15, 7), "simd 15", $B17), [0]!data_range, 5, FALSE)</f>
        <v>#REF!</v>
      </c>
      <c r="J17" s="8" t="e">
        <f ca="1">VLOOKUP(CONCATENATE(LEFT(J$15, 7), "simd 15", $B17), [0]!data_range, 5, FALSE)</f>
        <v>#REF!</v>
      </c>
      <c r="K17" s="8" t="e">
        <f ca="1">VLOOKUP(CONCATENATE(LEFT(K$15, 7), "simd 15", $B17), [0]!data_range, 5, FALSE)</f>
        <v>#REF!</v>
      </c>
      <c r="L17" s="8" t="e">
        <f ca="1">VLOOKUP(CONCATENATE(LEFT(L$15, 7), "simd 15", $B17), [0]!data_range, 5, FALSE)</f>
        <v>#REF!</v>
      </c>
      <c r="M17" s="68"/>
      <c r="N17" s="68"/>
      <c r="O17" s="68"/>
      <c r="P17" s="68"/>
      <c r="Q17" s="70"/>
      <c r="R17" s="70"/>
    </row>
    <row r="18" spans="2:18" ht="15" customHeight="1" x14ac:dyDescent="0.25">
      <c r="C18" s="6"/>
      <c r="D18" s="6"/>
      <c r="E18" s="6"/>
      <c r="F18" s="6"/>
      <c r="G18" s="6"/>
      <c r="I18" s="64"/>
      <c r="J18" s="64"/>
      <c r="K18" s="64"/>
      <c r="L18" s="69"/>
    </row>
    <row r="19" spans="2:18" ht="15" customHeight="1" x14ac:dyDescent="0.25">
      <c r="I19" s="64"/>
      <c r="J19" s="64"/>
      <c r="K19" s="64"/>
      <c r="L19" s="69"/>
    </row>
    <row r="20" spans="2:18" ht="15" customHeight="1" x14ac:dyDescent="0.25">
      <c r="B20" s="66" t="s">
        <v>14</v>
      </c>
      <c r="I20" s="64"/>
      <c r="J20" s="64"/>
      <c r="K20" s="64"/>
      <c r="L20" s="69"/>
    </row>
    <row r="22" spans="2:18" ht="15" customHeight="1" x14ac:dyDescent="0.25">
      <c r="B22" s="5" t="s">
        <v>208</v>
      </c>
    </row>
    <row r="23" spans="2:18" ht="15" customHeight="1" x14ac:dyDescent="0.25">
      <c r="B23" s="5" t="s">
        <v>200</v>
      </c>
    </row>
    <row r="24" spans="2:18" s="45" customFormat="1" ht="15" customHeight="1" x14ac:dyDescent="0.25">
      <c r="B24" s="30" t="e">
        <f ca="1" xml:space="preserve"> "p. " &amp; calculation!$E$14</f>
        <v>#REF!</v>
      </c>
    </row>
    <row r="25" spans="2:18" s="45" customFormat="1" ht="15" customHeight="1" x14ac:dyDescent="0.25">
      <c r="B25" s="30" t="str">
        <f>"1. " &amp; calculation!E17</f>
        <v>1. Figures in 2020/21 and 2021/22 are likely to have been affected by the impact of COVID-19 on hospital stays.</v>
      </c>
    </row>
    <row r="26" spans="2:18" s="45" customFormat="1" ht="24" customHeight="1" x14ac:dyDescent="0.25">
      <c r="B26" s="99" t="s">
        <v>220</v>
      </c>
      <c r="C26" s="99"/>
      <c r="D26" s="99"/>
      <c r="E26" s="99"/>
      <c r="F26" s="99"/>
      <c r="G26" s="99"/>
      <c r="H26" s="99"/>
      <c r="I26" s="99"/>
      <c r="J26" s="99"/>
      <c r="K26" s="99"/>
      <c r="L26" s="43"/>
      <c r="M26" s="43"/>
    </row>
    <row r="27" spans="2:18" s="45" customFormat="1" ht="15" customHeight="1" x14ac:dyDescent="0.25">
      <c r="B27" s="91" t="s">
        <v>126</v>
      </c>
      <c r="D27" s="44" t="s">
        <v>125</v>
      </c>
    </row>
    <row r="28" spans="2:18" s="45" customFormat="1" ht="15" customHeight="1" x14ac:dyDescent="0.25">
      <c r="B28" s="5" t="s">
        <v>227</v>
      </c>
      <c r="C28" s="72"/>
      <c r="D28" s="73"/>
      <c r="E28" s="73"/>
      <c r="F28" s="73"/>
    </row>
    <row r="29" spans="2:18" ht="15" customHeight="1" x14ac:dyDescent="0.25">
      <c r="B29" s="64"/>
      <c r="C29" s="74"/>
      <c r="D29" s="69"/>
      <c r="E29" s="69"/>
      <c r="F29" s="69"/>
    </row>
    <row r="30" spans="2:18" ht="15" customHeight="1" x14ac:dyDescent="0.25">
      <c r="B30" s="64"/>
      <c r="C30" s="74"/>
      <c r="D30" s="69"/>
      <c r="E30" s="69"/>
      <c r="F30" s="69"/>
    </row>
    <row r="31" spans="2:18" ht="15" customHeight="1" x14ac:dyDescent="0.25">
      <c r="B31" s="64"/>
      <c r="C31" s="74"/>
      <c r="D31" s="69"/>
      <c r="E31" s="69"/>
      <c r="F31" s="69"/>
    </row>
    <row r="32" spans="2:18" ht="15" customHeight="1" x14ac:dyDescent="0.25">
      <c r="B32" s="64"/>
      <c r="C32" s="74"/>
      <c r="D32" s="69"/>
      <c r="E32" s="69"/>
      <c r="F32" s="69"/>
    </row>
    <row r="33" spans="2:6" ht="15" customHeight="1" x14ac:dyDescent="0.25">
      <c r="B33" s="64"/>
      <c r="C33" s="74"/>
      <c r="D33" s="69"/>
      <c r="E33" s="69"/>
      <c r="F33" s="69"/>
    </row>
    <row r="34" spans="2:6" ht="15" customHeight="1" x14ac:dyDescent="0.25">
      <c r="B34" s="64"/>
      <c r="C34" s="74"/>
      <c r="D34" s="69"/>
      <c r="E34" s="69"/>
      <c r="F34" s="69"/>
    </row>
    <row r="35" spans="2:6" ht="15" customHeight="1" x14ac:dyDescent="0.25">
      <c r="B35" s="64"/>
      <c r="C35" s="74"/>
      <c r="D35" s="69"/>
      <c r="E35" s="69"/>
      <c r="F35" s="69"/>
    </row>
    <row r="36" spans="2:6" ht="15" customHeight="1" x14ac:dyDescent="0.25">
      <c r="B36" s="64"/>
      <c r="C36" s="74"/>
      <c r="D36" s="69"/>
      <c r="E36" s="69"/>
      <c r="F36" s="69"/>
    </row>
    <row r="37" spans="2:6" ht="15" customHeight="1" x14ac:dyDescent="0.25">
      <c r="B37" s="64"/>
      <c r="C37" s="74"/>
      <c r="D37" s="69"/>
      <c r="E37" s="69"/>
      <c r="F37" s="69"/>
    </row>
    <row r="38" spans="2:6" ht="15" customHeight="1" x14ac:dyDescent="0.25">
      <c r="B38" s="64"/>
      <c r="C38" s="74"/>
      <c r="D38" s="69"/>
      <c r="E38" s="69"/>
      <c r="F38" s="69"/>
    </row>
  </sheetData>
  <mergeCells count="2">
    <mergeCell ref="B1:I1"/>
    <mergeCell ref="B26:K26"/>
  </mergeCells>
  <phoneticPr fontId="5" type="noConversion"/>
  <hyperlinks>
    <hyperlink ref="B20" location="'External Causes of Deaths'!A1" display="External causes of death excluded from analysis" xr:uid="{00000000-0004-0000-0600-000000000000}"/>
    <hyperlink ref="D27" r:id="rId1" xr:uid="{00000000-0004-0000-0600-000001000000}"/>
  </hyperlinks>
  <pageMargins left="0.74803149606299213" right="0.74803149606299213" top="0.98425196850393704" bottom="0.98425196850393704" header="0.51181102362204722" footer="0.51181102362204722"/>
  <pageSetup paperSize="9" scale="59" orientation="portrait" r:id="rId2"/>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3"/>
  <dimension ref="A2:W40"/>
  <sheetViews>
    <sheetView showGridLines="0" topLeftCell="A15" workbookViewId="0"/>
  </sheetViews>
  <sheetFormatPr defaultColWidth="9.109375" defaultRowHeight="13.2" x14ac:dyDescent="0.25"/>
  <cols>
    <col min="1" max="1" width="1.6640625" style="1" customWidth="1"/>
    <col min="2" max="3" width="9.109375" style="1"/>
    <col min="4" max="4" width="11" style="1" customWidth="1"/>
    <col min="5" max="12" width="9.109375" style="1"/>
    <col min="13" max="13" width="15.5546875" style="1" bestFit="1" customWidth="1"/>
    <col min="14" max="16384" width="9.109375" style="1"/>
  </cols>
  <sheetData>
    <row r="2" spans="1:23" ht="15.6" x14ac:dyDescent="0.3">
      <c r="B2" s="86" t="s">
        <v>174</v>
      </c>
    </row>
    <row r="3" spans="1:23" ht="18" x14ac:dyDescent="0.3">
      <c r="B3" s="86" t="s">
        <v>223</v>
      </c>
    </row>
    <row r="5" spans="1:23" x14ac:dyDescent="0.25">
      <c r="A5" s="12">
        <v>1</v>
      </c>
    </row>
    <row r="7" spans="1:23" s="12" customFormat="1" x14ac:dyDescent="0.25">
      <c r="N7" s="12" t="e">
        <f ca="1">calculation!B$10</f>
        <v>#REF!</v>
      </c>
      <c r="O7" s="12" t="e">
        <f ca="1">calculation!C$10</f>
        <v>#REF!</v>
      </c>
      <c r="P7" s="12" t="e">
        <f ca="1">calculation!D$10</f>
        <v>#REF!</v>
      </c>
      <c r="Q7" s="12" t="e">
        <f ca="1">calculation!E$10</f>
        <v>#REF!</v>
      </c>
      <c r="R7" s="12" t="e">
        <f ca="1">calculation!F$10</f>
        <v>#REF!</v>
      </c>
      <c r="S7" s="12" t="e">
        <f ca="1">calculation!G$10</f>
        <v>#REF!</v>
      </c>
      <c r="T7" s="12" t="e">
        <f ca="1">calculation!H$10</f>
        <v>#REF!</v>
      </c>
      <c r="U7" s="12" t="e">
        <f ca="1">calculation!I$10</f>
        <v>#REF!</v>
      </c>
      <c r="V7" s="12" t="e">
        <f ca="1">calculation!J$10</f>
        <v>#REF!</v>
      </c>
      <c r="W7" s="12" t="e">
        <f ca="1">calculation!K$10</f>
        <v>#REF!</v>
      </c>
    </row>
    <row r="8" spans="1:23" s="12" customFormat="1" x14ac:dyDescent="0.25">
      <c r="M8" s="12" t="str">
        <f>VLOOKUP($A$5, calculation!$A$61:$B$65, 2, 0)</f>
        <v>1 - Most Deprived</v>
      </c>
      <c r="N8" s="27" t="e">
        <f ca="1">VLOOKUP(CONCATENATE(LEFT(N$7, 7), "simd quintile", $M$8), [0]!data_range, 5, FALSE)</f>
        <v>#REF!</v>
      </c>
      <c r="O8" s="27" t="e">
        <f ca="1">VLOOKUP(CONCATENATE(LEFT(O$7, 7), "simd quintile", $M$8), [0]!data_range, 5, FALSE)</f>
        <v>#REF!</v>
      </c>
      <c r="P8" s="27" t="e">
        <f ca="1">VLOOKUP(CONCATENATE(LEFT(P$7, 7), "simd quintile", $M$8), [0]!data_range, 5, FALSE)</f>
        <v>#REF!</v>
      </c>
      <c r="Q8" s="27" t="e">
        <f ca="1">VLOOKUP(CONCATENATE(LEFT(Q$7, 7), "simd quintile", $M$8), [0]!data_range, 5, FALSE)</f>
        <v>#REF!</v>
      </c>
      <c r="R8" s="27" t="e">
        <f ca="1">VLOOKUP(CONCATENATE(LEFT(R$7, 7), "simd quintile", $M$8), [0]!data_range, 5, FALSE)</f>
        <v>#REF!</v>
      </c>
      <c r="S8" s="27" t="e">
        <f ca="1">VLOOKUP(CONCATENATE(LEFT(S$7, 7), "simd quintile", $M$8), [0]!data_range, 5, FALSE)</f>
        <v>#REF!</v>
      </c>
      <c r="T8" s="27" t="e">
        <f ca="1">VLOOKUP(CONCATENATE(LEFT(T$7, 7), "simd quintile", $M$8), [0]!data_range, 5, FALSE)</f>
        <v>#REF!</v>
      </c>
      <c r="U8" s="27" t="e">
        <f ca="1">VLOOKUP(CONCATENATE(LEFT(U$7, 7), "simd quintile", $M$8), [0]!data_range, 5, FALSE)</f>
        <v>#REF!</v>
      </c>
      <c r="V8" s="27" t="e">
        <f ca="1">VLOOKUP(CONCATENATE(LEFT(V$7, 7), "simd quintile", $M$8), [0]!data_range, 5, FALSE)</f>
        <v>#REF!</v>
      </c>
      <c r="W8" s="27" t="e">
        <f ca="1">VLOOKUP(CONCATENATE(LEFT(W$7, 7), "simd quintile", $M$8), [0]!data_range, 5, FALSE)</f>
        <v>#REF!</v>
      </c>
    </row>
    <row r="31" spans="2:2" x14ac:dyDescent="0.25">
      <c r="B31" s="53" t="s">
        <v>176</v>
      </c>
    </row>
    <row r="33" spans="2:10" x14ac:dyDescent="0.25">
      <c r="B33" s="66" t="s">
        <v>14</v>
      </c>
    </row>
    <row r="34" spans="2:10" x14ac:dyDescent="0.25">
      <c r="B34" s="31"/>
    </row>
    <row r="35" spans="2:10" x14ac:dyDescent="0.25">
      <c r="B35" s="30" t="s">
        <v>208</v>
      </c>
      <c r="F35" s="30"/>
      <c r="G35" s="30"/>
      <c r="H35" s="30"/>
      <c r="I35" s="30"/>
      <c r="J35" s="30"/>
    </row>
    <row r="36" spans="2:10" x14ac:dyDescent="0.25">
      <c r="B36" s="5" t="s">
        <v>200</v>
      </c>
    </row>
    <row r="37" spans="2:10" x14ac:dyDescent="0.25">
      <c r="B37" s="30" t="e">
        <f ca="1" xml:space="preserve"> "p. " &amp; calculation!$E$14</f>
        <v>#REF!</v>
      </c>
      <c r="C37" s="45"/>
      <c r="D37" s="45"/>
      <c r="E37" s="45"/>
      <c r="F37" s="45"/>
      <c r="G37" s="45"/>
      <c r="H37" s="45"/>
      <c r="I37" s="45"/>
      <c r="J37" s="45"/>
    </row>
    <row r="38" spans="2:10" x14ac:dyDescent="0.25">
      <c r="B38" s="30" t="str">
        <f>"1. " &amp; calculation!E17</f>
        <v>1. Figures in 2020/21 and 2021/22 are likely to have been affected by the impact of COVID-19 on hospital stays.</v>
      </c>
      <c r="C38" s="45"/>
      <c r="D38" s="45"/>
      <c r="E38" s="45"/>
      <c r="F38" s="45"/>
      <c r="G38" s="45"/>
      <c r="H38" s="45"/>
      <c r="I38" s="45"/>
      <c r="J38" s="45"/>
    </row>
    <row r="39" spans="2:10" ht="24" customHeight="1" x14ac:dyDescent="0.25">
      <c r="B39" s="100" t="s">
        <v>220</v>
      </c>
      <c r="C39" s="100"/>
      <c r="D39" s="100"/>
      <c r="E39" s="100"/>
      <c r="F39" s="100"/>
      <c r="G39" s="100"/>
      <c r="H39" s="100"/>
      <c r="I39" s="100"/>
      <c r="J39" s="100"/>
    </row>
    <row r="40" spans="2:10" x14ac:dyDescent="0.25">
      <c r="B40" s="92" t="s">
        <v>126</v>
      </c>
      <c r="C40" s="45"/>
      <c r="D40" s="45"/>
      <c r="F40" s="45"/>
      <c r="G40" s="54" t="s">
        <v>125</v>
      </c>
      <c r="H40" s="45"/>
      <c r="I40" s="45"/>
      <c r="J40" s="45"/>
    </row>
  </sheetData>
  <mergeCells count="1">
    <mergeCell ref="B39:J39"/>
  </mergeCells>
  <hyperlinks>
    <hyperlink ref="B33" location="'External Causes of Deaths'!A1" display="External causes of death excluded from analysis" xr:uid="{00000000-0004-0000-0700-000000000000}"/>
    <hyperlink ref="G40" r:id="rId1" xr:uid="{00000000-0004-0000-0700-000001000000}"/>
  </hyperlinks>
  <pageMargins left="0.7" right="0.7" top="0.75" bottom="0.75" header="0.3" footer="0.3"/>
  <drawing r:id="rId2"/>
  <legacyDrawing r:id="rId3"/>
  <mc:AlternateContent xmlns:mc="http://schemas.openxmlformats.org/markup-compatibility/2006">
    <mc:Choice Requires="x14">
      <controls>
        <mc:AlternateContent xmlns:mc="http://schemas.openxmlformats.org/markup-compatibility/2006">
          <mc:Choice Requires="x14">
            <control shapeId="8193" r:id="rId4" name="Drop Down 1">
              <controlPr defaultSize="0" autoLine="0" autoPict="0">
                <anchor moveWithCells="1">
                  <from>
                    <xdr:col>1</xdr:col>
                    <xdr:colOff>99060</xdr:colOff>
                    <xdr:row>4</xdr:row>
                    <xdr:rowOff>38100</xdr:rowOff>
                  </from>
                  <to>
                    <xdr:col>5</xdr:col>
                    <xdr:colOff>388620</xdr:colOff>
                    <xdr:row>5</xdr:row>
                    <xdr:rowOff>76200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pageSetUpPr fitToPage="1"/>
  </sheetPr>
  <dimension ref="B1:S53"/>
  <sheetViews>
    <sheetView showGridLines="0" zoomScaleNormal="100" workbookViewId="0"/>
  </sheetViews>
  <sheetFormatPr defaultColWidth="9.109375" defaultRowHeight="15" customHeight="1" x14ac:dyDescent="0.25"/>
  <cols>
    <col min="1" max="1" width="1.6640625" style="1" customWidth="1"/>
    <col min="2" max="2" width="35.88671875" style="1" customWidth="1"/>
    <col min="3" max="12" width="11.33203125" style="1" customWidth="1"/>
    <col min="13" max="16384" width="9.109375" style="1"/>
  </cols>
  <sheetData>
    <row r="1" spans="2:19" ht="15" customHeight="1" x14ac:dyDescent="0.3">
      <c r="B1" s="98" t="str">
        <f>Notes!B1:O1</f>
        <v/>
      </c>
      <c r="C1" s="98"/>
      <c r="D1" s="98"/>
      <c r="E1" s="98"/>
      <c r="F1" s="98"/>
      <c r="G1" s="98"/>
      <c r="H1" s="98"/>
      <c r="I1" s="98"/>
      <c r="J1" s="98"/>
    </row>
    <row r="2" spans="2:19" ht="15" customHeight="1" x14ac:dyDescent="0.3">
      <c r="B2" s="85" t="s">
        <v>165</v>
      </c>
      <c r="L2" s="67"/>
      <c r="M2" s="69"/>
      <c r="N2" s="69"/>
    </row>
    <row r="3" spans="2:19" ht="18" x14ac:dyDescent="0.3">
      <c r="B3" s="85" t="s">
        <v>224</v>
      </c>
      <c r="L3" s="67"/>
      <c r="M3" s="69"/>
      <c r="N3" s="69"/>
    </row>
    <row r="4" spans="2:19" ht="15" customHeight="1" x14ac:dyDescent="0.25">
      <c r="L4" s="67"/>
      <c r="M4" s="69"/>
      <c r="N4" s="69"/>
    </row>
    <row r="5" spans="2:19" ht="15" customHeight="1" x14ac:dyDescent="0.25">
      <c r="L5" s="52" t="s">
        <v>179</v>
      </c>
      <c r="M5" s="69"/>
      <c r="N5" s="69"/>
    </row>
    <row r="6" spans="2:19" ht="15" customHeight="1" x14ac:dyDescent="0.25">
      <c r="C6" s="12"/>
      <c r="D6" s="12"/>
      <c r="E6" s="12"/>
      <c r="F6" s="12"/>
      <c r="G6" s="12"/>
      <c r="H6" s="12"/>
      <c r="I6" s="12"/>
      <c r="J6" s="12"/>
      <c r="K6" s="12"/>
      <c r="L6" s="67"/>
      <c r="M6" s="69"/>
      <c r="N6" s="69"/>
    </row>
    <row r="7" spans="2:19" ht="15" customHeight="1" x14ac:dyDescent="0.25">
      <c r="B7" s="10" t="s">
        <v>115</v>
      </c>
      <c r="C7" s="4" t="e">
        <f ca="1">calculation!B$10</f>
        <v>#REF!</v>
      </c>
      <c r="D7" s="4" t="e">
        <f ca="1">calculation!C$10</f>
        <v>#REF!</v>
      </c>
      <c r="E7" s="4" t="e">
        <f ca="1">calculation!D$10</f>
        <v>#REF!</v>
      </c>
      <c r="F7" s="4" t="e">
        <f ca="1">calculation!E$10</f>
        <v>#REF!</v>
      </c>
      <c r="G7" s="4" t="e">
        <f ca="1">calculation!F$10</f>
        <v>#REF!</v>
      </c>
      <c r="H7" s="4" t="e">
        <f ca="1">calculation!G$10</f>
        <v>#REF!</v>
      </c>
      <c r="I7" s="4" t="e">
        <f ca="1">calculation!H$10</f>
        <v>#REF!</v>
      </c>
      <c r="J7" s="4" t="e">
        <f ca="1">calculation!I$10</f>
        <v>#REF!</v>
      </c>
      <c r="K7" s="4" t="e">
        <f ca="1">calculation!J$10</f>
        <v>#REF!</v>
      </c>
      <c r="L7" s="4" t="e">
        <f ca="1">calculation!K$10</f>
        <v>#REF!</v>
      </c>
      <c r="M7" s="3"/>
      <c r="N7" s="3"/>
      <c r="O7" s="3"/>
      <c r="P7" s="3"/>
      <c r="Q7" s="3"/>
      <c r="R7" s="3"/>
      <c r="S7" s="3"/>
    </row>
    <row r="8" spans="2:19" ht="15" customHeight="1" x14ac:dyDescent="0.25">
      <c r="B8" s="6" t="s">
        <v>154</v>
      </c>
      <c r="C8" s="6" t="e">
        <f ca="1">VLOOKUP(CONCATENATE(LEFT(C$7, 7), "urban rural 6", $B8), [0]!data_range, 5, FALSE)</f>
        <v>#REF!</v>
      </c>
      <c r="D8" s="6" t="e">
        <f ca="1">VLOOKUP(CONCATENATE(LEFT(D$7, 7), "urban rural 6", $B8), [0]!data_range, 5, FALSE)</f>
        <v>#REF!</v>
      </c>
      <c r="E8" s="6" t="e">
        <f ca="1">VLOOKUP(CONCATENATE(LEFT(E$7, 7), "urban rural 6", $B8), [0]!data_range, 5, FALSE)</f>
        <v>#REF!</v>
      </c>
      <c r="F8" s="6" t="e">
        <f ca="1">VLOOKUP(CONCATENATE(LEFT(F$7, 7), "urban rural 6", $B8), [0]!data_range, 5, FALSE)</f>
        <v>#REF!</v>
      </c>
      <c r="G8" s="6" t="e">
        <f ca="1">VLOOKUP(CONCATENATE(LEFT(G$7, 7), "urban rural 6", $B8), [0]!data_range, 5, FALSE)</f>
        <v>#REF!</v>
      </c>
      <c r="H8" s="6" t="e">
        <f ca="1">VLOOKUP(CONCATENATE(LEFT(H$7, 7), "urban rural 6", $B8), [0]!data_range, 5, FALSE)</f>
        <v>#REF!</v>
      </c>
      <c r="I8" s="6" t="e">
        <f ca="1">VLOOKUP(CONCATENATE(LEFT(I$7, 7), "urban rural 6", $B8), [0]!data_range, 5, FALSE)</f>
        <v>#REF!</v>
      </c>
      <c r="J8" s="6" t="e">
        <f ca="1">VLOOKUP(CONCATENATE(LEFT(J$7, 7), "urban rural 6", $B8), [0]!data_range, 5, FALSE)</f>
        <v>#REF!</v>
      </c>
      <c r="K8" s="6" t="e">
        <f ca="1">VLOOKUP(CONCATENATE(LEFT(K$7, 7), "urban rural 6", $B8), [0]!data_range, 5, FALSE)</f>
        <v>#REF!</v>
      </c>
      <c r="L8" s="6" t="e">
        <f ca="1">VLOOKUP(CONCATENATE(LEFT(L$7, 7), "urban rural 6", $B8), [0]!data_range, 5, FALSE)</f>
        <v>#REF!</v>
      </c>
      <c r="M8" s="68"/>
      <c r="N8" s="68"/>
      <c r="O8" s="68"/>
      <c r="P8" s="68"/>
      <c r="Q8" s="68"/>
      <c r="R8" s="70"/>
      <c r="S8" s="70"/>
    </row>
    <row r="9" spans="2:19" ht="15" customHeight="1" x14ac:dyDescent="0.25">
      <c r="B9" s="6" t="s">
        <v>155</v>
      </c>
      <c r="C9" s="6" t="e">
        <f ca="1">VLOOKUP(CONCATENATE(LEFT(C$7, 7), "urban rural 6", $B9), [0]!data_range, 5, FALSE)</f>
        <v>#REF!</v>
      </c>
      <c r="D9" s="6" t="e">
        <f ca="1">VLOOKUP(CONCATENATE(LEFT(D$7, 7), "urban rural 6", $B9), [0]!data_range, 5, FALSE)</f>
        <v>#REF!</v>
      </c>
      <c r="E9" s="6" t="e">
        <f ca="1">VLOOKUP(CONCATENATE(LEFT(E$7, 7), "urban rural 6", $B9), [0]!data_range, 5, FALSE)</f>
        <v>#REF!</v>
      </c>
      <c r="F9" s="6" t="e">
        <f ca="1">VLOOKUP(CONCATENATE(LEFT(F$7, 7), "urban rural 6", $B9), [0]!data_range, 5, FALSE)</f>
        <v>#REF!</v>
      </c>
      <c r="G9" s="6" t="e">
        <f ca="1">VLOOKUP(CONCATENATE(LEFT(G$7, 7), "urban rural 6", $B9), [0]!data_range, 5, FALSE)</f>
        <v>#REF!</v>
      </c>
      <c r="H9" s="6" t="e">
        <f ca="1">VLOOKUP(CONCATENATE(LEFT(H$7, 7), "urban rural 6", $B9), [0]!data_range, 5, FALSE)</f>
        <v>#REF!</v>
      </c>
      <c r="I9" s="6" t="e">
        <f ca="1">VLOOKUP(CONCATENATE(LEFT(I$7, 7), "urban rural 6", $B9), [0]!data_range, 5, FALSE)</f>
        <v>#REF!</v>
      </c>
      <c r="J9" s="6" t="e">
        <f ca="1">VLOOKUP(CONCATENATE(LEFT(J$7, 7), "urban rural 6", $B9), [0]!data_range, 5, FALSE)</f>
        <v>#REF!</v>
      </c>
      <c r="K9" s="6" t="e">
        <f ca="1">VLOOKUP(CONCATENATE(LEFT(K$7, 7), "urban rural 6", $B9), [0]!data_range, 5, FALSE)</f>
        <v>#REF!</v>
      </c>
      <c r="L9" s="6" t="e">
        <f ca="1">VLOOKUP(CONCATENATE(LEFT(L$7, 7), "urban rural 6", $B9), [0]!data_range, 5, FALSE)</f>
        <v>#REF!</v>
      </c>
      <c r="M9" s="68"/>
      <c r="N9" s="68"/>
      <c r="O9" s="68"/>
      <c r="P9" s="68"/>
      <c r="Q9" s="68"/>
      <c r="R9" s="70"/>
      <c r="S9" s="70"/>
    </row>
    <row r="10" spans="2:19" ht="15" customHeight="1" x14ac:dyDescent="0.25">
      <c r="B10" s="6" t="s">
        <v>156</v>
      </c>
      <c r="C10" s="6" t="e">
        <f ca="1">VLOOKUP(CONCATENATE(LEFT(C$7, 7), "urban rural 6", $B10), [0]!data_range, 5, FALSE)</f>
        <v>#REF!</v>
      </c>
      <c r="D10" s="6" t="e">
        <f ca="1">VLOOKUP(CONCATENATE(LEFT(D$7, 7), "urban rural 6", $B10), [0]!data_range, 5, FALSE)</f>
        <v>#REF!</v>
      </c>
      <c r="E10" s="6" t="e">
        <f ca="1">VLOOKUP(CONCATENATE(LEFT(E$7, 7), "urban rural 6", $B10), [0]!data_range, 5, FALSE)</f>
        <v>#REF!</v>
      </c>
      <c r="F10" s="6" t="e">
        <f ca="1">VLOOKUP(CONCATENATE(LEFT(F$7, 7), "urban rural 6", $B10), [0]!data_range, 5, FALSE)</f>
        <v>#REF!</v>
      </c>
      <c r="G10" s="6" t="e">
        <f ca="1">VLOOKUP(CONCATENATE(LEFT(G$7, 7), "urban rural 6", $B10), [0]!data_range, 5, FALSE)</f>
        <v>#REF!</v>
      </c>
      <c r="H10" s="6" t="e">
        <f ca="1">VLOOKUP(CONCATENATE(LEFT(H$7, 7), "urban rural 6", $B10), [0]!data_range, 5, FALSE)</f>
        <v>#REF!</v>
      </c>
      <c r="I10" s="6" t="e">
        <f ca="1">VLOOKUP(CONCATENATE(LEFT(I$7, 7), "urban rural 6", $B10), [0]!data_range, 5, FALSE)</f>
        <v>#REF!</v>
      </c>
      <c r="J10" s="6" t="e">
        <f ca="1">VLOOKUP(CONCATENATE(LEFT(J$7, 7), "urban rural 6", $B10), [0]!data_range, 5, FALSE)</f>
        <v>#REF!</v>
      </c>
      <c r="K10" s="6" t="e">
        <f ca="1">VLOOKUP(CONCATENATE(LEFT(K$7, 7), "urban rural 6", $B10), [0]!data_range, 5, FALSE)</f>
        <v>#REF!</v>
      </c>
      <c r="L10" s="6" t="e">
        <f ca="1">VLOOKUP(CONCATENATE(LEFT(L$7, 7), "urban rural 6", $B10), [0]!data_range, 5, FALSE)</f>
        <v>#REF!</v>
      </c>
      <c r="M10" s="68"/>
      <c r="N10" s="68"/>
      <c r="O10" s="68"/>
      <c r="P10" s="68"/>
      <c r="Q10" s="68"/>
      <c r="R10" s="70"/>
      <c r="S10" s="70"/>
    </row>
    <row r="11" spans="2:19" ht="15" customHeight="1" x14ac:dyDescent="0.25">
      <c r="B11" s="6" t="s">
        <v>157</v>
      </c>
      <c r="C11" s="6" t="e">
        <f ca="1">VLOOKUP(CONCATENATE(LEFT(C$7, 7), "urban rural 6", $B11), [0]!data_range, 5, FALSE)</f>
        <v>#REF!</v>
      </c>
      <c r="D11" s="6" t="e">
        <f ca="1">VLOOKUP(CONCATENATE(LEFT(D$7, 7), "urban rural 6", $B11), [0]!data_range, 5, FALSE)</f>
        <v>#REF!</v>
      </c>
      <c r="E11" s="6" t="e">
        <f ca="1">VLOOKUP(CONCATENATE(LEFT(E$7, 7), "urban rural 6", $B11), [0]!data_range, 5, FALSE)</f>
        <v>#REF!</v>
      </c>
      <c r="F11" s="6" t="e">
        <f ca="1">VLOOKUP(CONCATENATE(LEFT(F$7, 7), "urban rural 6", $B11), [0]!data_range, 5, FALSE)</f>
        <v>#REF!</v>
      </c>
      <c r="G11" s="6" t="e">
        <f ca="1">VLOOKUP(CONCATENATE(LEFT(G$7, 7), "urban rural 6", $B11), [0]!data_range, 5, FALSE)</f>
        <v>#REF!</v>
      </c>
      <c r="H11" s="6" t="e">
        <f ca="1">VLOOKUP(CONCATENATE(LEFT(H$7, 7), "urban rural 6", $B11), [0]!data_range, 5, FALSE)</f>
        <v>#REF!</v>
      </c>
      <c r="I11" s="6" t="e">
        <f ca="1">VLOOKUP(CONCATENATE(LEFT(I$7, 7), "urban rural 6", $B11), [0]!data_range, 5, FALSE)</f>
        <v>#REF!</v>
      </c>
      <c r="J11" s="6" t="e">
        <f ca="1">VLOOKUP(CONCATENATE(LEFT(J$7, 7), "urban rural 6", $B11), [0]!data_range, 5, FALSE)</f>
        <v>#REF!</v>
      </c>
      <c r="K11" s="6" t="e">
        <f ca="1">VLOOKUP(CONCATENATE(LEFT(K$7, 7), "urban rural 6", $B11), [0]!data_range, 5, FALSE)</f>
        <v>#REF!</v>
      </c>
      <c r="L11" s="6" t="e">
        <f ca="1">VLOOKUP(CONCATENATE(LEFT(L$7, 7), "urban rural 6", $B11), [0]!data_range, 5, FALSE)</f>
        <v>#REF!</v>
      </c>
      <c r="M11" s="68"/>
      <c r="N11" s="68"/>
      <c r="O11" s="68"/>
      <c r="P11" s="68"/>
      <c r="Q11" s="68"/>
      <c r="R11" s="70"/>
      <c r="S11" s="70"/>
    </row>
    <row r="12" spans="2:19" ht="15" customHeight="1" x14ac:dyDescent="0.25">
      <c r="B12" s="6" t="s">
        <v>158</v>
      </c>
      <c r="C12" s="6" t="e">
        <f ca="1">VLOOKUP(CONCATENATE(LEFT(C$7, 7), "urban rural 6", $B12), [0]!data_range, 5, FALSE)</f>
        <v>#REF!</v>
      </c>
      <c r="D12" s="6" t="e">
        <f ca="1">VLOOKUP(CONCATENATE(LEFT(D$7, 7), "urban rural 6", $B12), [0]!data_range, 5, FALSE)</f>
        <v>#REF!</v>
      </c>
      <c r="E12" s="6" t="e">
        <f ca="1">VLOOKUP(CONCATENATE(LEFT(E$7, 7), "urban rural 6", $B12), [0]!data_range, 5, FALSE)</f>
        <v>#REF!</v>
      </c>
      <c r="F12" s="6" t="e">
        <f ca="1">VLOOKUP(CONCATENATE(LEFT(F$7, 7), "urban rural 6", $B12), [0]!data_range, 5, FALSE)</f>
        <v>#REF!</v>
      </c>
      <c r="G12" s="6" t="e">
        <f ca="1">VLOOKUP(CONCATENATE(LEFT(G$7, 7), "urban rural 6", $B12), [0]!data_range, 5, FALSE)</f>
        <v>#REF!</v>
      </c>
      <c r="H12" s="6" t="e">
        <f ca="1">VLOOKUP(CONCATENATE(LEFT(H$7, 7), "urban rural 6", $B12), [0]!data_range, 5, FALSE)</f>
        <v>#REF!</v>
      </c>
      <c r="I12" s="6" t="e">
        <f ca="1">VLOOKUP(CONCATENATE(LEFT(I$7, 7), "urban rural 6", $B12), [0]!data_range, 5, FALSE)</f>
        <v>#REF!</v>
      </c>
      <c r="J12" s="6" t="e">
        <f ca="1">VLOOKUP(CONCATENATE(LEFT(J$7, 7), "urban rural 6", $B12), [0]!data_range, 5, FALSE)</f>
        <v>#REF!</v>
      </c>
      <c r="K12" s="6" t="e">
        <f ca="1">VLOOKUP(CONCATENATE(LEFT(K$7, 7), "urban rural 6", $B12), [0]!data_range, 5, FALSE)</f>
        <v>#REF!</v>
      </c>
      <c r="L12" s="6" t="e">
        <f ca="1">VLOOKUP(CONCATENATE(LEFT(L$7, 7), "urban rural 6", $B12), [0]!data_range, 5, FALSE)</f>
        <v>#REF!</v>
      </c>
      <c r="M12" s="68"/>
      <c r="N12" s="68"/>
      <c r="O12" s="68"/>
      <c r="P12" s="68"/>
      <c r="Q12" s="68"/>
      <c r="R12" s="70"/>
      <c r="S12" s="70"/>
    </row>
    <row r="13" spans="2:19" ht="15" customHeight="1" x14ac:dyDescent="0.25">
      <c r="B13" s="8" t="s">
        <v>159</v>
      </c>
      <c r="C13" s="8" t="e">
        <f ca="1">VLOOKUP(CONCATENATE(LEFT(C$7, 7), "urban rural 6", $B13), [0]!data_range, 5, FALSE)</f>
        <v>#REF!</v>
      </c>
      <c r="D13" s="8" t="e">
        <f ca="1">VLOOKUP(CONCATENATE(LEFT(D$7, 7), "urban rural 6", $B13), [0]!data_range, 5, FALSE)</f>
        <v>#REF!</v>
      </c>
      <c r="E13" s="8" t="e">
        <f ca="1">VLOOKUP(CONCATENATE(LEFT(E$7, 7), "urban rural 6", $B13), [0]!data_range, 5, FALSE)</f>
        <v>#REF!</v>
      </c>
      <c r="F13" s="8" t="e">
        <f ca="1">VLOOKUP(CONCATENATE(LEFT(F$7, 7), "urban rural 6", $B13), [0]!data_range, 5, FALSE)</f>
        <v>#REF!</v>
      </c>
      <c r="G13" s="8" t="e">
        <f ca="1">VLOOKUP(CONCATENATE(LEFT(G$7, 7), "urban rural 6", $B13), [0]!data_range, 5, FALSE)</f>
        <v>#REF!</v>
      </c>
      <c r="H13" s="8" t="e">
        <f ca="1">VLOOKUP(CONCATENATE(LEFT(H$7, 7), "urban rural 6", $B13), [0]!data_range, 5, FALSE)</f>
        <v>#REF!</v>
      </c>
      <c r="I13" s="8" t="e">
        <f ca="1">VLOOKUP(CONCATENATE(LEFT(I$7, 7), "urban rural 6", $B13), [0]!data_range, 5, FALSE)</f>
        <v>#REF!</v>
      </c>
      <c r="J13" s="8" t="e">
        <f ca="1">VLOOKUP(CONCATENATE(LEFT(J$7, 7), "urban rural 6", $B13), [0]!data_range, 5, FALSE)</f>
        <v>#REF!</v>
      </c>
      <c r="K13" s="8" t="e">
        <f ca="1">VLOOKUP(CONCATENATE(LEFT(K$7, 7), "urban rural 6", $B13), [0]!data_range, 5, FALSE)</f>
        <v>#REF!</v>
      </c>
      <c r="L13" s="8" t="e">
        <f ca="1">VLOOKUP(CONCATENATE(LEFT(L$7, 7), "urban rural 6", $B13), [0]!data_range, 5, FALSE)</f>
        <v>#REF!</v>
      </c>
      <c r="M13" s="68"/>
      <c r="N13" s="68"/>
      <c r="O13" s="68"/>
      <c r="P13" s="68"/>
      <c r="Q13" s="68"/>
      <c r="R13" s="70"/>
      <c r="S13" s="70"/>
    </row>
    <row r="14" spans="2:19" ht="15" customHeight="1" x14ac:dyDescent="0.25">
      <c r="M14" s="71"/>
      <c r="N14" s="71"/>
      <c r="O14" s="71"/>
      <c r="P14" s="71"/>
      <c r="Q14" s="71"/>
      <c r="R14" s="71"/>
      <c r="S14" s="71"/>
    </row>
    <row r="15" spans="2:19" ht="15" customHeight="1" x14ac:dyDescent="0.25">
      <c r="M15" s="71"/>
      <c r="N15" s="71"/>
      <c r="O15" s="71"/>
      <c r="P15" s="71"/>
      <c r="Q15" s="71"/>
      <c r="R15" s="71"/>
      <c r="S15" s="71"/>
    </row>
    <row r="16" spans="2:19" ht="15" customHeight="1" x14ac:dyDescent="0.25">
      <c r="B16" s="10" t="s">
        <v>116</v>
      </c>
      <c r="C16" s="4" t="e">
        <f ca="1">calculation!B$10</f>
        <v>#REF!</v>
      </c>
      <c r="D16" s="4" t="e">
        <f ca="1">calculation!C$10</f>
        <v>#REF!</v>
      </c>
      <c r="E16" s="4" t="e">
        <f ca="1">calculation!D$10</f>
        <v>#REF!</v>
      </c>
      <c r="F16" s="4" t="e">
        <f ca="1">calculation!E$10</f>
        <v>#REF!</v>
      </c>
      <c r="G16" s="4" t="e">
        <f ca="1">calculation!F$10</f>
        <v>#REF!</v>
      </c>
      <c r="H16" s="4" t="e">
        <f ca="1">calculation!G$10</f>
        <v>#REF!</v>
      </c>
      <c r="I16" s="4" t="e">
        <f ca="1">calculation!H$10</f>
        <v>#REF!</v>
      </c>
      <c r="J16" s="4" t="e">
        <f ca="1">calculation!I$10</f>
        <v>#REF!</v>
      </c>
      <c r="K16" s="4" t="e">
        <f ca="1">calculation!J$10</f>
        <v>#REF!</v>
      </c>
      <c r="L16" s="4" t="e">
        <f ca="1">calculation!K$10</f>
        <v>#REF!</v>
      </c>
      <c r="M16" s="3"/>
      <c r="N16" s="3"/>
      <c r="O16" s="3"/>
      <c r="P16" s="3"/>
      <c r="Q16" s="3"/>
      <c r="R16" s="3"/>
      <c r="S16" s="3"/>
    </row>
    <row r="17" spans="2:19" ht="15" customHeight="1" x14ac:dyDescent="0.25">
      <c r="B17" s="1" t="s">
        <v>226</v>
      </c>
      <c r="C17" s="6" t="e">
        <f ca="1">VLOOKUP(CONCATENATE(LEFT(C$16, 7), "urban rural 2", $B17), [0]!data_range, 5, FALSE)</f>
        <v>#REF!</v>
      </c>
      <c r="D17" s="6" t="e">
        <f ca="1">VLOOKUP(CONCATENATE(LEFT(D$16, 7), "urban rural 2", $B17), [0]!data_range, 5, FALSE)</f>
        <v>#REF!</v>
      </c>
      <c r="E17" s="6" t="e">
        <f ca="1">VLOOKUP(CONCATENATE(LEFT(E$16, 7), "urban rural 2", $B17), [0]!data_range, 5, FALSE)</f>
        <v>#REF!</v>
      </c>
      <c r="F17" s="6" t="e">
        <f ca="1">VLOOKUP(CONCATENATE(LEFT(F$16, 7), "urban rural 2", $B17), [0]!data_range, 5, FALSE)</f>
        <v>#REF!</v>
      </c>
      <c r="G17" s="6" t="e">
        <f ca="1">VLOOKUP(CONCATENATE(LEFT(G$16, 7), "urban rural 2", $B17), [0]!data_range, 5, FALSE)</f>
        <v>#REF!</v>
      </c>
      <c r="H17" s="6" t="e">
        <f ca="1">VLOOKUP(CONCATENATE(LEFT(H$16, 7), "urban rural 2", $B17), [0]!data_range, 5, FALSE)</f>
        <v>#REF!</v>
      </c>
      <c r="I17" s="6" t="e">
        <f ca="1">VLOOKUP(CONCATENATE(LEFT(I$16, 7), "urban rural 2", $B17), [0]!data_range, 5, FALSE)</f>
        <v>#REF!</v>
      </c>
      <c r="J17" s="6" t="e">
        <f ca="1">VLOOKUP(CONCATENATE(LEFT(J$16, 7), "urban rural 2", $B17), [0]!data_range, 5, FALSE)</f>
        <v>#REF!</v>
      </c>
      <c r="K17" s="6" t="e">
        <f ca="1">VLOOKUP(CONCATENATE(LEFT(K$16, 7), "urban rural 2", $B17), [0]!data_range, 5, FALSE)</f>
        <v>#REF!</v>
      </c>
      <c r="L17" s="6" t="e">
        <f ca="1">VLOOKUP(CONCATENATE(LEFT(L$16, 7), "urban rural 2", $B17), [0]!data_range, 5, FALSE)</f>
        <v>#REF!</v>
      </c>
      <c r="M17" s="68"/>
      <c r="N17" s="68"/>
      <c r="O17" s="68"/>
      <c r="P17" s="68"/>
      <c r="Q17" s="68"/>
      <c r="R17" s="70"/>
      <c r="S17" s="70"/>
    </row>
    <row r="18" spans="2:19" ht="15" customHeight="1" x14ac:dyDescent="0.25">
      <c r="B18" s="9" t="s">
        <v>160</v>
      </c>
      <c r="C18" s="8" t="e">
        <f ca="1">VLOOKUP(CONCATENATE(LEFT(C$16, 7), "urban rural 2", $B18), [0]!data_range, 5, FALSE)</f>
        <v>#REF!</v>
      </c>
      <c r="D18" s="8" t="e">
        <f ca="1">VLOOKUP(CONCATENATE(LEFT(D$16, 7), "urban rural 2", $B18), [0]!data_range, 5, FALSE)</f>
        <v>#REF!</v>
      </c>
      <c r="E18" s="8" t="e">
        <f ca="1">VLOOKUP(CONCATENATE(LEFT(E$16, 7), "urban rural 2", $B18), [0]!data_range, 5, FALSE)</f>
        <v>#REF!</v>
      </c>
      <c r="F18" s="8" t="e">
        <f ca="1">VLOOKUP(CONCATENATE(LEFT(F$16, 7), "urban rural 2", $B18), [0]!data_range, 5, FALSE)</f>
        <v>#REF!</v>
      </c>
      <c r="G18" s="8" t="e">
        <f ca="1">VLOOKUP(CONCATENATE(LEFT(G$16, 7), "urban rural 2", $B18), [0]!data_range, 5, FALSE)</f>
        <v>#REF!</v>
      </c>
      <c r="H18" s="8" t="e">
        <f ca="1">VLOOKUP(CONCATENATE(LEFT(H$16, 7), "urban rural 2", $B18), [0]!data_range, 5, FALSE)</f>
        <v>#REF!</v>
      </c>
      <c r="I18" s="8" t="e">
        <f ca="1">VLOOKUP(CONCATENATE(LEFT(I$16, 7), "urban rural 2", $B18), [0]!data_range, 5, FALSE)</f>
        <v>#REF!</v>
      </c>
      <c r="J18" s="8" t="e">
        <f ca="1">VLOOKUP(CONCATENATE(LEFT(J$16, 7), "urban rural 2", $B18), [0]!data_range, 5, FALSE)</f>
        <v>#REF!</v>
      </c>
      <c r="K18" s="8" t="e">
        <f ca="1">VLOOKUP(CONCATENATE(LEFT(K$16, 7), "urban rural 2", $B18), [0]!data_range, 5, FALSE)</f>
        <v>#REF!</v>
      </c>
      <c r="L18" s="8" t="e">
        <f ca="1">VLOOKUP(CONCATENATE(LEFT(L$16, 7), "urban rural 2", $B18), [0]!data_range, 5, FALSE)</f>
        <v>#REF!</v>
      </c>
      <c r="M18" s="68"/>
      <c r="N18" s="68"/>
      <c r="O18" s="68"/>
      <c r="P18" s="68"/>
      <c r="Q18" s="68"/>
      <c r="R18" s="70"/>
      <c r="S18" s="70"/>
    </row>
    <row r="19" spans="2:19" ht="15" customHeight="1" x14ac:dyDescent="0.25">
      <c r="M19" s="69"/>
      <c r="N19" s="69"/>
    </row>
    <row r="20" spans="2:19" ht="15" customHeight="1" x14ac:dyDescent="0.25">
      <c r="B20" s="66" t="s">
        <v>14</v>
      </c>
      <c r="L20" s="67"/>
      <c r="M20" s="69"/>
      <c r="N20" s="69"/>
    </row>
    <row r="21" spans="2:19" ht="15" customHeight="1" x14ac:dyDescent="0.25">
      <c r="L21" s="67"/>
      <c r="M21" s="69"/>
      <c r="N21" s="69"/>
    </row>
    <row r="22" spans="2:19" ht="15" customHeight="1" x14ac:dyDescent="0.25">
      <c r="B22" s="5" t="s">
        <v>208</v>
      </c>
      <c r="L22" s="67"/>
      <c r="M22" s="69"/>
      <c r="N22" s="69"/>
    </row>
    <row r="23" spans="2:19" ht="15" customHeight="1" x14ac:dyDescent="0.25">
      <c r="B23" s="5" t="s">
        <v>200</v>
      </c>
      <c r="L23" s="67"/>
      <c r="M23" s="69"/>
      <c r="N23" s="69"/>
    </row>
    <row r="24" spans="2:19" ht="15" customHeight="1" x14ac:dyDescent="0.25">
      <c r="B24" s="30" t="e">
        <f ca="1" xml:space="preserve"> "p. " &amp; calculation!$E$14</f>
        <v>#REF!</v>
      </c>
      <c r="C24" s="69"/>
      <c r="D24" s="69"/>
      <c r="E24" s="69"/>
      <c r="F24" s="69"/>
      <c r="G24" s="75"/>
    </row>
    <row r="25" spans="2:19" ht="15" customHeight="1" x14ac:dyDescent="0.25">
      <c r="B25" s="30" t="str">
        <f>"1. " &amp; calculation!E17</f>
        <v>1. Figures in 2020/21 and 2021/22 are likely to have been affected by the impact of COVID-19 on hospital stays.</v>
      </c>
      <c r="C25" s="69"/>
      <c r="D25" s="69"/>
      <c r="E25" s="69"/>
      <c r="F25" s="69"/>
      <c r="G25" s="6"/>
    </row>
    <row r="26" spans="2:19" ht="13.2" x14ac:dyDescent="0.25">
      <c r="B26" s="5" t="s">
        <v>221</v>
      </c>
      <c r="C26" s="5"/>
      <c r="D26" s="5"/>
      <c r="E26" s="5"/>
      <c r="F26" s="5"/>
      <c r="G26" s="5"/>
      <c r="H26" s="5"/>
      <c r="I26" s="5"/>
      <c r="J26" s="5"/>
    </row>
    <row r="27" spans="2:19" ht="13.2" x14ac:dyDescent="0.25">
      <c r="B27" s="5" t="s">
        <v>228</v>
      </c>
      <c r="C27" s="5"/>
      <c r="D27" s="5"/>
      <c r="E27" s="5"/>
      <c r="F27" s="5"/>
      <c r="G27" s="5"/>
      <c r="H27" s="5"/>
      <c r="I27" s="5"/>
      <c r="J27" s="5"/>
    </row>
    <row r="28" spans="2:19" ht="15" customHeight="1" x14ac:dyDescent="0.25">
      <c r="B28" s="5" t="s">
        <v>124</v>
      </c>
      <c r="C28" s="5"/>
      <c r="D28" s="89" t="s">
        <v>229</v>
      </c>
      <c r="E28" s="5"/>
      <c r="F28" s="5"/>
      <c r="G28" s="5"/>
      <c r="H28" s="5"/>
      <c r="I28" s="5"/>
      <c r="J28" s="5"/>
    </row>
    <row r="29" spans="2:19" ht="15" customHeight="1" x14ac:dyDescent="0.25">
      <c r="B29" s="64"/>
      <c r="C29" s="69"/>
      <c r="D29" s="69"/>
      <c r="E29" s="69"/>
      <c r="F29" s="69"/>
      <c r="G29" s="75"/>
    </row>
    <row r="30" spans="2:19" ht="15" customHeight="1" x14ac:dyDescent="0.25">
      <c r="C30" s="69"/>
      <c r="D30" s="69"/>
      <c r="E30" s="69"/>
      <c r="F30" s="69"/>
      <c r="G30" s="75"/>
    </row>
    <row r="31" spans="2:19" ht="15" customHeight="1" x14ac:dyDescent="0.25">
      <c r="B31" s="64"/>
      <c r="C31" s="69"/>
      <c r="D31" s="69"/>
      <c r="E31" s="69"/>
      <c r="F31" s="69"/>
      <c r="G31" s="75"/>
    </row>
    <row r="32" spans="2:19" ht="15" customHeight="1" x14ac:dyDescent="0.25">
      <c r="B32" s="64"/>
      <c r="C32" s="69"/>
      <c r="D32" s="69"/>
      <c r="E32" s="69"/>
      <c r="F32" s="69"/>
      <c r="G32" s="76"/>
    </row>
    <row r="33" spans="2:6" ht="15" customHeight="1" x14ac:dyDescent="0.25">
      <c r="B33" s="64"/>
      <c r="C33" s="69"/>
      <c r="D33" s="69"/>
      <c r="E33" s="69"/>
      <c r="F33" s="69"/>
    </row>
    <row r="34" spans="2:6" ht="15" customHeight="1" x14ac:dyDescent="0.25">
      <c r="B34" s="64"/>
      <c r="C34" s="74"/>
      <c r="D34" s="69"/>
      <c r="E34" s="69"/>
      <c r="F34" s="69"/>
    </row>
    <row r="35" spans="2:6" ht="15" customHeight="1" x14ac:dyDescent="0.25">
      <c r="B35" s="64"/>
      <c r="C35" s="74"/>
      <c r="D35" s="69"/>
      <c r="E35" s="69"/>
      <c r="F35" s="69"/>
    </row>
    <row r="36" spans="2:6" ht="15" customHeight="1" x14ac:dyDescent="0.25">
      <c r="B36" s="64"/>
      <c r="C36" s="74"/>
      <c r="D36" s="69"/>
      <c r="E36" s="69"/>
      <c r="F36" s="69"/>
    </row>
    <row r="37" spans="2:6" ht="15" customHeight="1" x14ac:dyDescent="0.25">
      <c r="B37" s="64"/>
      <c r="C37" s="74"/>
      <c r="D37" s="69"/>
      <c r="E37" s="69"/>
      <c r="F37" s="69"/>
    </row>
    <row r="38" spans="2:6" ht="15" customHeight="1" x14ac:dyDescent="0.25">
      <c r="B38" s="64"/>
      <c r="C38" s="74"/>
      <c r="D38" s="69"/>
      <c r="E38" s="69"/>
      <c r="F38" s="69"/>
    </row>
    <row r="39" spans="2:6" ht="15" customHeight="1" x14ac:dyDescent="0.25">
      <c r="B39" s="64"/>
      <c r="C39" s="74"/>
      <c r="D39" s="69"/>
      <c r="E39" s="69"/>
      <c r="F39" s="69"/>
    </row>
    <row r="40" spans="2:6" ht="15" customHeight="1" x14ac:dyDescent="0.25">
      <c r="B40" s="64"/>
      <c r="C40" s="74"/>
      <c r="D40" s="69"/>
      <c r="E40" s="69"/>
      <c r="F40" s="69"/>
    </row>
    <row r="41" spans="2:6" ht="15" customHeight="1" x14ac:dyDescent="0.25">
      <c r="B41" s="64"/>
      <c r="C41" s="74"/>
      <c r="D41" s="69"/>
      <c r="E41" s="69"/>
      <c r="F41" s="69"/>
    </row>
    <row r="42" spans="2:6" ht="15" customHeight="1" x14ac:dyDescent="0.25">
      <c r="B42" s="64"/>
      <c r="C42" s="74"/>
      <c r="D42" s="69"/>
      <c r="E42" s="69"/>
      <c r="F42" s="69"/>
    </row>
    <row r="43" spans="2:6" ht="15" customHeight="1" x14ac:dyDescent="0.25">
      <c r="B43" s="64"/>
      <c r="C43" s="74"/>
      <c r="D43" s="69"/>
      <c r="E43" s="69"/>
      <c r="F43" s="69"/>
    </row>
    <row r="44" spans="2:6" ht="15" customHeight="1" x14ac:dyDescent="0.25">
      <c r="B44" s="64"/>
      <c r="C44" s="74"/>
      <c r="D44" s="69"/>
      <c r="E44" s="69"/>
      <c r="F44" s="69"/>
    </row>
    <row r="45" spans="2:6" ht="15" customHeight="1" x14ac:dyDescent="0.25">
      <c r="B45" s="64"/>
      <c r="C45" s="74"/>
      <c r="D45" s="69"/>
      <c r="E45" s="69"/>
      <c r="F45" s="69"/>
    </row>
    <row r="46" spans="2:6" ht="15" customHeight="1" x14ac:dyDescent="0.25">
      <c r="B46" s="64"/>
      <c r="C46" s="74"/>
      <c r="D46" s="69"/>
      <c r="E46" s="69"/>
      <c r="F46" s="69"/>
    </row>
    <row r="47" spans="2:6" ht="15" customHeight="1" x14ac:dyDescent="0.25">
      <c r="B47" s="64"/>
      <c r="C47" s="74"/>
      <c r="D47" s="69"/>
      <c r="E47" s="69"/>
      <c r="F47" s="69"/>
    </row>
    <row r="48" spans="2:6" ht="15" customHeight="1" x14ac:dyDescent="0.25">
      <c r="B48" s="64"/>
      <c r="C48" s="74"/>
      <c r="D48" s="69"/>
      <c r="E48" s="69"/>
      <c r="F48" s="69"/>
    </row>
    <row r="49" spans="2:6" ht="15" customHeight="1" x14ac:dyDescent="0.25">
      <c r="B49" s="64"/>
      <c r="C49" s="74"/>
      <c r="D49" s="69"/>
      <c r="E49" s="69"/>
      <c r="F49" s="69"/>
    </row>
    <row r="50" spans="2:6" ht="15" customHeight="1" x14ac:dyDescent="0.25">
      <c r="B50" s="64"/>
      <c r="C50" s="74"/>
      <c r="D50" s="69"/>
      <c r="E50" s="69"/>
      <c r="F50" s="69"/>
    </row>
    <row r="51" spans="2:6" ht="15" customHeight="1" x14ac:dyDescent="0.25">
      <c r="B51" s="64"/>
      <c r="C51" s="74"/>
      <c r="D51" s="69"/>
      <c r="E51" s="69"/>
      <c r="F51" s="69"/>
    </row>
    <row r="52" spans="2:6" ht="15" customHeight="1" x14ac:dyDescent="0.25">
      <c r="B52" s="64"/>
      <c r="C52" s="74"/>
      <c r="D52" s="69"/>
      <c r="E52" s="69"/>
      <c r="F52" s="69"/>
    </row>
    <row r="53" spans="2:6" ht="15" customHeight="1" x14ac:dyDescent="0.25">
      <c r="B53" s="64"/>
      <c r="C53" s="74"/>
      <c r="D53" s="69"/>
      <c r="E53" s="69"/>
      <c r="F53" s="69"/>
    </row>
  </sheetData>
  <mergeCells count="1">
    <mergeCell ref="B1:J1"/>
  </mergeCells>
  <phoneticPr fontId="5" type="noConversion"/>
  <hyperlinks>
    <hyperlink ref="B20" location="'External Causes of Deaths'!A1" display="External causes of death excluded from analysis" xr:uid="{00000000-0004-0000-0800-000000000000}"/>
    <hyperlink ref="J28" r:id="rId1" display="http://www.gov.scot/Topics/Statistics/About/Methodology/UrbanRuralClassification" xr:uid="{00000000-0004-0000-0800-000001000000}"/>
    <hyperlink ref="D28" r:id="rId2" xr:uid="{00000000-0004-0000-0800-000002000000}"/>
  </hyperlinks>
  <pageMargins left="0.74803149606299213" right="0.74803149606299213" top="0.98425196850393704" bottom="0.98425196850393704" header="0.51181102362204722" footer="0.51181102362204722"/>
  <pageSetup paperSize="9" scale="90" orientation="landscape" r:id="rId3"/>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4"/>
  <dimension ref="A2:W41"/>
  <sheetViews>
    <sheetView showGridLines="0" topLeftCell="A15" workbookViewId="0"/>
  </sheetViews>
  <sheetFormatPr defaultColWidth="9.109375" defaultRowHeight="13.2" x14ac:dyDescent="0.25"/>
  <cols>
    <col min="1" max="1" width="1.6640625" style="1" customWidth="1"/>
    <col min="2" max="16384" width="9.109375" style="1"/>
  </cols>
  <sheetData>
    <row r="2" spans="1:23" ht="15.6" x14ac:dyDescent="0.3">
      <c r="B2" s="86" t="s">
        <v>175</v>
      </c>
    </row>
    <row r="3" spans="1:23" ht="18" x14ac:dyDescent="0.3">
      <c r="B3" s="86" t="s">
        <v>225</v>
      </c>
    </row>
    <row r="5" spans="1:23" x14ac:dyDescent="0.25">
      <c r="A5" s="12">
        <v>1</v>
      </c>
    </row>
    <row r="7" spans="1:23" s="12" customFormat="1" x14ac:dyDescent="0.25">
      <c r="N7" s="12" t="e">
        <f ca="1">calculation!B$10</f>
        <v>#REF!</v>
      </c>
      <c r="O7" s="12" t="e">
        <f ca="1">calculation!C$10</f>
        <v>#REF!</v>
      </c>
      <c r="P7" s="12" t="e">
        <f ca="1">calculation!D$10</f>
        <v>#REF!</v>
      </c>
      <c r="Q7" s="12" t="e">
        <f ca="1">calculation!E$10</f>
        <v>#REF!</v>
      </c>
      <c r="R7" s="12" t="e">
        <f ca="1">calculation!F$10</f>
        <v>#REF!</v>
      </c>
      <c r="S7" s="12" t="e">
        <f ca="1">calculation!G$10</f>
        <v>#REF!</v>
      </c>
      <c r="T7" s="12" t="e">
        <f ca="1">calculation!H$10</f>
        <v>#REF!</v>
      </c>
      <c r="U7" s="12" t="e">
        <f ca="1">calculation!I$10</f>
        <v>#REF!</v>
      </c>
      <c r="V7" s="12" t="e">
        <f ca="1">calculation!J$10</f>
        <v>#REF!</v>
      </c>
      <c r="W7" s="12" t="e">
        <f ca="1">calculation!K$10</f>
        <v>#REF!</v>
      </c>
    </row>
    <row r="8" spans="1:23" s="12" customFormat="1" x14ac:dyDescent="0.25">
      <c r="M8" s="12" t="str">
        <f>VLOOKUP($A$5, calculation!$A$67:$B$72, 2, 0)</f>
        <v>1 Large Urban Areas</v>
      </c>
      <c r="N8" s="27" t="e">
        <f ca="1">VLOOKUP(CONCATENATE(LEFT(N$7, 7), "urban rural 6", $M$8), [0]!data_range, 5, FALSE)</f>
        <v>#REF!</v>
      </c>
      <c r="O8" s="27" t="e">
        <f ca="1">VLOOKUP(CONCATENATE(LEFT(O$7, 7), "urban rural 6", $M$8), [0]!data_range, 5, FALSE)</f>
        <v>#REF!</v>
      </c>
      <c r="P8" s="27" t="e">
        <f ca="1">VLOOKUP(CONCATENATE(LEFT(P$7, 7), "urban rural 6", $M$8), [0]!data_range, 5, FALSE)</f>
        <v>#REF!</v>
      </c>
      <c r="Q8" s="27" t="e">
        <f ca="1">VLOOKUP(CONCATENATE(LEFT(Q$7, 7), "urban rural 6", $M$8), [0]!data_range, 5, FALSE)</f>
        <v>#REF!</v>
      </c>
      <c r="R8" s="27" t="e">
        <f ca="1">VLOOKUP(CONCATENATE(LEFT(R$7, 7), "urban rural 6", $M$8), [0]!data_range, 5, FALSE)</f>
        <v>#REF!</v>
      </c>
      <c r="S8" s="27" t="e">
        <f ca="1">VLOOKUP(CONCATENATE(LEFT(S$7, 7), "urban rural 6", $M$8), [0]!data_range, 5, FALSE)</f>
        <v>#REF!</v>
      </c>
      <c r="T8" s="27" t="e">
        <f ca="1">VLOOKUP(CONCATENATE(LEFT(T$7, 7), "urban rural 6", $M$8), [0]!data_range, 5, FALSE)</f>
        <v>#REF!</v>
      </c>
      <c r="U8" s="27" t="e">
        <f ca="1">VLOOKUP(CONCATENATE(LEFT(U$7, 7), "urban rural 6", $M$8), [0]!data_range, 5, FALSE)</f>
        <v>#REF!</v>
      </c>
      <c r="V8" s="27" t="e">
        <f ca="1">VLOOKUP(CONCATENATE(LEFT(V$7, 7), "urban rural 6", $M$8), [0]!data_range, 5, FALSE)</f>
        <v>#REF!</v>
      </c>
      <c r="W8" s="27" t="e">
        <f ca="1">VLOOKUP(CONCATENATE(LEFT(W$7, 7), "urban rural 6", $M$8), [0]!data_range, 5, FALSE)</f>
        <v>#REF!</v>
      </c>
    </row>
    <row r="31" spans="2:2" x14ac:dyDescent="0.25">
      <c r="B31" s="53" t="s">
        <v>176</v>
      </c>
    </row>
    <row r="33" spans="2:10" x14ac:dyDescent="0.25">
      <c r="B33" s="66" t="s">
        <v>14</v>
      </c>
    </row>
    <row r="34" spans="2:10" x14ac:dyDescent="0.25">
      <c r="B34" s="31"/>
    </row>
    <row r="35" spans="2:10" x14ac:dyDescent="0.25">
      <c r="B35" s="30" t="s">
        <v>208</v>
      </c>
    </row>
    <row r="36" spans="2:10" x14ac:dyDescent="0.25">
      <c r="B36" s="5" t="s">
        <v>200</v>
      </c>
    </row>
    <row r="37" spans="2:10" x14ac:dyDescent="0.25">
      <c r="B37" s="30" t="e">
        <f ca="1" xml:space="preserve"> "p. " &amp; calculation!$E$14</f>
        <v>#REF!</v>
      </c>
    </row>
    <row r="38" spans="2:10" x14ac:dyDescent="0.25">
      <c r="B38" s="30" t="str">
        <f>"1. " &amp; calculation!E17</f>
        <v>1. Figures in 2020/21 and 2021/22 are likely to have been affected by the impact of COVID-19 on hospital stays.</v>
      </c>
    </row>
    <row r="39" spans="2:10" x14ac:dyDescent="0.25">
      <c r="B39" s="5" t="s">
        <v>221</v>
      </c>
      <c r="C39" s="5"/>
      <c r="D39" s="5"/>
      <c r="E39" s="5"/>
      <c r="F39" s="5"/>
      <c r="G39" s="5"/>
      <c r="H39" s="5"/>
      <c r="I39" s="5"/>
      <c r="J39" s="5"/>
    </row>
    <row r="40" spans="2:10" x14ac:dyDescent="0.25">
      <c r="B40" s="5" t="s">
        <v>228</v>
      </c>
      <c r="C40" s="5"/>
      <c r="D40" s="5"/>
      <c r="E40" s="5"/>
      <c r="F40" s="5"/>
      <c r="G40" s="5"/>
      <c r="H40" s="5"/>
      <c r="I40" s="5"/>
      <c r="J40" s="5"/>
    </row>
    <row r="41" spans="2:10" ht="15" customHeight="1" x14ac:dyDescent="0.25">
      <c r="B41" s="5" t="s">
        <v>124</v>
      </c>
      <c r="C41" s="5"/>
      <c r="E41" s="5"/>
      <c r="F41" s="5"/>
      <c r="G41" s="89" t="s">
        <v>229</v>
      </c>
      <c r="H41" s="5"/>
      <c r="I41" s="5"/>
      <c r="J41" s="5"/>
    </row>
  </sheetData>
  <hyperlinks>
    <hyperlink ref="B33" location="'External Causes of Deaths'!A1" display="External causes of death excluded from analysis" xr:uid="{00000000-0004-0000-0900-000000000000}"/>
    <hyperlink ref="J41" r:id="rId1" display="http://www.gov.scot/Topics/Statistics/About/Methodology/UrbanRuralClassification" xr:uid="{00000000-0004-0000-0900-000001000000}"/>
    <hyperlink ref="G41" r:id="rId2" xr:uid="{00000000-0004-0000-0900-000002000000}"/>
  </hyperlinks>
  <pageMargins left="0.7" right="0.7" top="0.75" bottom="0.75" header="0.3" footer="0.3"/>
  <drawing r:id="rId3"/>
  <legacyDrawing r:id="rId4"/>
  <mc:AlternateContent xmlns:mc="http://schemas.openxmlformats.org/markup-compatibility/2006">
    <mc:Choice Requires="x14">
      <controls>
        <mc:AlternateContent xmlns:mc="http://schemas.openxmlformats.org/markup-compatibility/2006">
          <mc:Choice Requires="x14">
            <control shapeId="10241" r:id="rId5" name="Drop Down 1">
              <controlPr defaultSize="0" autoLine="0" autoPict="0">
                <anchor moveWithCells="1">
                  <from>
                    <xdr:col>1</xdr:col>
                    <xdr:colOff>99060</xdr:colOff>
                    <xdr:row>4</xdr:row>
                    <xdr:rowOff>38100</xdr:rowOff>
                  </from>
                  <to>
                    <xdr:col>5</xdr:col>
                    <xdr:colOff>518160</xdr:colOff>
                    <xdr:row>5</xdr:row>
                    <xdr:rowOff>76200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4">
    <pageSetUpPr fitToPage="1"/>
  </sheetPr>
  <dimension ref="B1:L188"/>
  <sheetViews>
    <sheetView showGridLines="0" zoomScaleNormal="100" workbookViewId="0"/>
  </sheetViews>
  <sheetFormatPr defaultColWidth="9.109375" defaultRowHeight="15" customHeight="1" x14ac:dyDescent="0.25"/>
  <cols>
    <col min="1" max="1" width="1.6640625" style="1" customWidth="1"/>
    <col min="2" max="2" width="32.44140625" style="1" customWidth="1"/>
    <col min="3" max="12" width="11.5546875" style="1" customWidth="1"/>
    <col min="13" max="16384" width="9.109375" style="1"/>
  </cols>
  <sheetData>
    <row r="1" spans="2:12" ht="15" customHeight="1" x14ac:dyDescent="0.3">
      <c r="B1" s="98" t="str">
        <f>Notes!B1:O1</f>
        <v/>
      </c>
      <c r="C1" s="98"/>
      <c r="D1" s="98"/>
      <c r="E1" s="98"/>
      <c r="F1" s="98"/>
      <c r="G1" s="98"/>
      <c r="H1" s="98"/>
      <c r="I1" s="98"/>
      <c r="J1" s="98"/>
    </row>
    <row r="2" spans="2:12" ht="15" customHeight="1" x14ac:dyDescent="0.3">
      <c r="B2" s="85" t="s">
        <v>144</v>
      </c>
      <c r="J2" s="64"/>
      <c r="K2" s="64"/>
    </row>
    <row r="3" spans="2:12" ht="15" customHeight="1" x14ac:dyDescent="0.3">
      <c r="B3" s="85" t="s">
        <v>191</v>
      </c>
      <c r="J3" s="64"/>
      <c r="K3" s="64"/>
    </row>
    <row r="4" spans="2:12" ht="15" customHeight="1" x14ac:dyDescent="0.3">
      <c r="B4" s="2"/>
      <c r="J4" s="64"/>
      <c r="K4" s="64"/>
    </row>
    <row r="5" spans="2:12" ht="15" customHeight="1" x14ac:dyDescent="0.25">
      <c r="J5" s="64"/>
      <c r="L5" s="52" t="s">
        <v>179</v>
      </c>
    </row>
    <row r="6" spans="2:12" ht="15" customHeight="1" x14ac:dyDescent="0.25">
      <c r="C6" s="12"/>
      <c r="D6" s="12"/>
      <c r="E6" s="12"/>
      <c r="F6" s="12"/>
      <c r="G6" s="12"/>
      <c r="H6" s="12"/>
      <c r="I6" s="12"/>
      <c r="J6" s="12"/>
      <c r="K6" s="12"/>
    </row>
    <row r="7" spans="2:12" ht="15" customHeight="1" x14ac:dyDescent="0.25">
      <c r="B7" s="24" t="s">
        <v>178</v>
      </c>
      <c r="C7" s="4" t="e">
        <f ca="1">calculation!B$10</f>
        <v>#REF!</v>
      </c>
      <c r="D7" s="4" t="e">
        <f ca="1">calculation!C$10</f>
        <v>#REF!</v>
      </c>
      <c r="E7" s="4" t="e">
        <f ca="1">calculation!D$10</f>
        <v>#REF!</v>
      </c>
      <c r="F7" s="4" t="e">
        <f ca="1">calculation!E$10</f>
        <v>#REF!</v>
      </c>
      <c r="G7" s="4" t="e">
        <f ca="1">calculation!F$10</f>
        <v>#REF!</v>
      </c>
      <c r="H7" s="4" t="e">
        <f ca="1">calculation!G$10</f>
        <v>#REF!</v>
      </c>
      <c r="I7" s="4" t="e">
        <f ca="1">calculation!H$10</f>
        <v>#REF!</v>
      </c>
      <c r="J7" s="4" t="e">
        <f ca="1">calculation!I$10</f>
        <v>#REF!</v>
      </c>
      <c r="K7" s="4" t="e">
        <f ca="1">calculation!J$10</f>
        <v>#REF!</v>
      </c>
      <c r="L7" s="4" t="e">
        <f ca="1">calculation!K$10</f>
        <v>#REF!</v>
      </c>
    </row>
    <row r="8" spans="2:12" ht="15" customHeight="1" x14ac:dyDescent="0.25">
      <c r="B8" s="64" t="s">
        <v>87</v>
      </c>
      <c r="C8" s="6" t="e">
        <f ca="1">VLOOKUP(CONCATENATE(LEFT(C$7, 7), "ca", $B8), [0]!data_range, 5, FALSE)</f>
        <v>#REF!</v>
      </c>
      <c r="D8" s="6" t="e">
        <f ca="1">VLOOKUP(CONCATENATE(LEFT(D$7, 7), "ca", $B8), [0]!data_range, 5, FALSE)</f>
        <v>#REF!</v>
      </c>
      <c r="E8" s="6" t="e">
        <f ca="1">VLOOKUP(CONCATENATE(LEFT(E$7, 7), "ca", $B8), [0]!data_range, 5, FALSE)</f>
        <v>#REF!</v>
      </c>
      <c r="F8" s="6" t="e">
        <f ca="1">VLOOKUP(CONCATENATE(LEFT(F$7, 7), "ca", $B8), [0]!data_range, 5, FALSE)</f>
        <v>#REF!</v>
      </c>
      <c r="G8" s="6" t="e">
        <f ca="1">VLOOKUP(CONCATENATE(LEFT(G$7, 7), "ca", $B8), [0]!data_range, 5, FALSE)</f>
        <v>#REF!</v>
      </c>
      <c r="H8" s="6" t="e">
        <f ca="1">VLOOKUP(CONCATENATE(LEFT(H$7, 7), "ca", $B8), [0]!data_range, 5, FALSE)</f>
        <v>#REF!</v>
      </c>
      <c r="I8" s="6" t="e">
        <f ca="1">VLOOKUP(CONCATENATE(LEFT(I$7, 7), "ca", $B8), [0]!data_range, 5, FALSE)</f>
        <v>#REF!</v>
      </c>
      <c r="J8" s="6" t="e">
        <f ca="1">VLOOKUP(CONCATENATE(LEFT(J$7, 7), "ca", $B8), [0]!data_range, 5, FALSE)</f>
        <v>#REF!</v>
      </c>
      <c r="K8" s="6" t="e">
        <f ca="1">VLOOKUP(CONCATENATE(LEFT(K$7, 7), "ca", $B8), [0]!data_range, 5, FALSE)</f>
        <v>#REF!</v>
      </c>
      <c r="L8" s="6" t="e">
        <f ca="1">VLOOKUP(CONCATENATE(LEFT(L$7, 7), "ca", $B8), [0]!data_range, 5, FALSE)</f>
        <v>#REF!</v>
      </c>
    </row>
    <row r="9" spans="2:12" ht="15" customHeight="1" x14ac:dyDescent="0.25">
      <c r="B9" s="64" t="s">
        <v>88</v>
      </c>
      <c r="C9" s="6" t="e">
        <f ca="1">VLOOKUP(CONCATENATE(LEFT(C$7, 7), "ca", $B9), [0]!data_range, 5, FALSE)</f>
        <v>#REF!</v>
      </c>
      <c r="D9" s="6" t="e">
        <f ca="1">VLOOKUP(CONCATENATE(LEFT(D$7, 7), "ca", $B9), [0]!data_range, 5, FALSE)</f>
        <v>#REF!</v>
      </c>
      <c r="E9" s="6" t="e">
        <f ca="1">VLOOKUP(CONCATENATE(LEFT(E$7, 7), "ca", $B9), [0]!data_range, 5, FALSE)</f>
        <v>#REF!</v>
      </c>
      <c r="F9" s="6" t="e">
        <f ca="1">VLOOKUP(CONCATENATE(LEFT(F$7, 7), "ca", $B9), [0]!data_range, 5, FALSE)</f>
        <v>#REF!</v>
      </c>
      <c r="G9" s="6" t="e">
        <f ca="1">VLOOKUP(CONCATENATE(LEFT(G$7, 7), "ca", $B9), [0]!data_range, 5, FALSE)</f>
        <v>#REF!</v>
      </c>
      <c r="H9" s="6" t="e">
        <f ca="1">VLOOKUP(CONCATENATE(LEFT(H$7, 7), "ca", $B9), [0]!data_range, 5, FALSE)</f>
        <v>#REF!</v>
      </c>
      <c r="I9" s="6" t="e">
        <f ca="1">VLOOKUP(CONCATENATE(LEFT(I$7, 7), "ca", $B9), [0]!data_range, 5, FALSE)</f>
        <v>#REF!</v>
      </c>
      <c r="J9" s="6" t="e">
        <f ca="1">VLOOKUP(CONCATENATE(LEFT(J$7, 7), "ca", $B9), [0]!data_range, 5, FALSE)</f>
        <v>#REF!</v>
      </c>
      <c r="K9" s="6" t="e">
        <f ca="1">VLOOKUP(CONCATENATE(LEFT(K$7, 7), "ca", $B9), [0]!data_range, 5, FALSE)</f>
        <v>#REF!</v>
      </c>
      <c r="L9" s="6" t="e">
        <f ca="1">VLOOKUP(CONCATENATE(LEFT(L$7, 7), "ca", $B9), [0]!data_range, 5, FALSE)</f>
        <v>#REF!</v>
      </c>
    </row>
    <row r="10" spans="2:12" ht="15" customHeight="1" x14ac:dyDescent="0.25">
      <c r="B10" s="64" t="s">
        <v>89</v>
      </c>
      <c r="C10" s="6" t="e">
        <f ca="1">VLOOKUP(CONCATENATE(LEFT(C$7, 7), "ca", $B10), [0]!data_range, 5, FALSE)</f>
        <v>#REF!</v>
      </c>
      <c r="D10" s="6" t="e">
        <f ca="1">VLOOKUP(CONCATENATE(LEFT(D$7, 7), "ca", $B10), [0]!data_range, 5, FALSE)</f>
        <v>#REF!</v>
      </c>
      <c r="E10" s="6" t="e">
        <f ca="1">VLOOKUP(CONCATENATE(LEFT(E$7, 7), "ca", $B10), [0]!data_range, 5, FALSE)</f>
        <v>#REF!</v>
      </c>
      <c r="F10" s="6" t="e">
        <f ca="1">VLOOKUP(CONCATENATE(LEFT(F$7, 7), "ca", $B10), [0]!data_range, 5, FALSE)</f>
        <v>#REF!</v>
      </c>
      <c r="G10" s="6" t="e">
        <f ca="1">VLOOKUP(CONCATENATE(LEFT(G$7, 7), "ca", $B10), [0]!data_range, 5, FALSE)</f>
        <v>#REF!</v>
      </c>
      <c r="H10" s="6" t="e">
        <f ca="1">VLOOKUP(CONCATENATE(LEFT(H$7, 7), "ca", $B10), [0]!data_range, 5, FALSE)</f>
        <v>#REF!</v>
      </c>
      <c r="I10" s="6" t="e">
        <f ca="1">VLOOKUP(CONCATENATE(LEFT(I$7, 7), "ca", $B10), [0]!data_range, 5, FALSE)</f>
        <v>#REF!</v>
      </c>
      <c r="J10" s="6" t="e">
        <f ca="1">VLOOKUP(CONCATENATE(LEFT(J$7, 7), "ca", $B10), [0]!data_range, 5, FALSE)</f>
        <v>#REF!</v>
      </c>
      <c r="K10" s="6" t="e">
        <f ca="1">VLOOKUP(CONCATENATE(LEFT(K$7, 7), "ca", $B10), [0]!data_range, 5, FALSE)</f>
        <v>#REF!</v>
      </c>
      <c r="L10" s="6" t="e">
        <f ca="1">VLOOKUP(CONCATENATE(LEFT(L$7, 7), "ca", $B10), [0]!data_range, 5, FALSE)</f>
        <v>#REF!</v>
      </c>
    </row>
    <row r="11" spans="2:12" ht="15" customHeight="1" x14ac:dyDescent="0.25">
      <c r="B11" s="64" t="s">
        <v>170</v>
      </c>
      <c r="C11" s="6" t="e">
        <f ca="1">VLOOKUP(CONCATENATE(LEFT(C$7, 7), "ca", $B11), [0]!data_range, 5, FALSE)</f>
        <v>#REF!</v>
      </c>
      <c r="D11" s="6" t="e">
        <f ca="1">VLOOKUP(CONCATENATE(LEFT(D$7, 7), "ca", $B11), [0]!data_range, 5, FALSE)</f>
        <v>#REF!</v>
      </c>
      <c r="E11" s="6" t="e">
        <f ca="1">VLOOKUP(CONCATENATE(LEFT(E$7, 7), "ca", $B11), [0]!data_range, 5, FALSE)</f>
        <v>#REF!</v>
      </c>
      <c r="F11" s="6" t="e">
        <f ca="1">VLOOKUP(CONCATENATE(LEFT(F$7, 7), "ca", $B11), [0]!data_range, 5, FALSE)</f>
        <v>#REF!</v>
      </c>
      <c r="G11" s="6" t="e">
        <f ca="1">VLOOKUP(CONCATENATE(LEFT(G$7, 7), "ca", $B11), [0]!data_range, 5, FALSE)</f>
        <v>#REF!</v>
      </c>
      <c r="H11" s="6" t="e">
        <f ca="1">VLOOKUP(CONCATENATE(LEFT(H$7, 7), "ca", $B11), [0]!data_range, 5, FALSE)</f>
        <v>#REF!</v>
      </c>
      <c r="I11" s="6" t="e">
        <f ca="1">VLOOKUP(CONCATENATE(LEFT(I$7, 7), "ca", $B11), [0]!data_range, 5, FALSE)</f>
        <v>#REF!</v>
      </c>
      <c r="J11" s="6" t="e">
        <f ca="1">VLOOKUP(CONCATENATE(LEFT(J$7, 7), "ca", $B11), [0]!data_range, 5, FALSE)</f>
        <v>#REF!</v>
      </c>
      <c r="K11" s="6" t="e">
        <f ca="1">VLOOKUP(CONCATENATE(LEFT(K$7, 7), "ca", $B11), [0]!data_range, 5, FALSE)</f>
        <v>#REF!</v>
      </c>
      <c r="L11" s="6" t="e">
        <f ca="1">VLOOKUP(CONCATENATE(LEFT(L$7, 7), "ca", $B11), [0]!data_range, 5, FALSE)</f>
        <v>#REF!</v>
      </c>
    </row>
    <row r="12" spans="2:12" ht="15" customHeight="1" x14ac:dyDescent="0.25">
      <c r="B12" s="64" t="s">
        <v>177</v>
      </c>
      <c r="C12" s="6" t="e">
        <f ca="1">VLOOKUP(CONCATENATE(LEFT(C$7, 7), "ca", $B12), [0]!data_range, 5, FALSE)</f>
        <v>#REF!</v>
      </c>
      <c r="D12" s="6" t="e">
        <f ca="1">VLOOKUP(CONCATENATE(LEFT(D$7, 7), "ca", $B12), [0]!data_range, 5, FALSE)</f>
        <v>#REF!</v>
      </c>
      <c r="E12" s="6" t="e">
        <f ca="1">VLOOKUP(CONCATENATE(LEFT(E$7, 7), "ca", $B12), [0]!data_range, 5, FALSE)</f>
        <v>#REF!</v>
      </c>
      <c r="F12" s="6" t="e">
        <f ca="1">VLOOKUP(CONCATENATE(LEFT(F$7, 7), "ca", $B12), [0]!data_range, 5, FALSE)</f>
        <v>#REF!</v>
      </c>
      <c r="G12" s="6" t="e">
        <f ca="1">VLOOKUP(CONCATENATE(LEFT(G$7, 7), "ca", $B12), [0]!data_range, 5, FALSE)</f>
        <v>#REF!</v>
      </c>
      <c r="H12" s="6" t="e">
        <f ca="1">VLOOKUP(CONCATENATE(LEFT(H$7, 7), "ca", $B12), [0]!data_range, 5, FALSE)</f>
        <v>#REF!</v>
      </c>
      <c r="I12" s="6" t="e">
        <f ca="1">VLOOKUP(CONCATENATE(LEFT(I$7, 7), "ca", $B12), [0]!data_range, 5, FALSE)</f>
        <v>#REF!</v>
      </c>
      <c r="J12" s="6" t="e">
        <f ca="1">VLOOKUP(CONCATENATE(LEFT(J$7, 7), "ca", $B12), [0]!data_range, 5, FALSE)</f>
        <v>#REF!</v>
      </c>
      <c r="K12" s="6" t="e">
        <f ca="1">VLOOKUP(CONCATENATE(LEFT(K$7, 7), "ca", $B12), [0]!data_range, 5, FALSE)</f>
        <v>#REF!</v>
      </c>
      <c r="L12" s="6" t="e">
        <f ca="1">VLOOKUP(CONCATENATE(LEFT(L$7, 7), "ca", $B12), [0]!data_range, 5, FALSE)</f>
        <v>#REF!</v>
      </c>
    </row>
    <row r="13" spans="2:12" ht="15" customHeight="1" x14ac:dyDescent="0.25">
      <c r="B13" s="64" t="s">
        <v>141</v>
      </c>
      <c r="C13" s="6" t="e">
        <f ca="1">VLOOKUP(CONCATENATE(LEFT(C$7, 7), "ca", $B13), [0]!data_range, 5, FALSE)</f>
        <v>#REF!</v>
      </c>
      <c r="D13" s="6" t="e">
        <f ca="1">VLOOKUP(CONCATENATE(LEFT(D$7, 7), "ca", $B13), [0]!data_range, 5, FALSE)</f>
        <v>#REF!</v>
      </c>
      <c r="E13" s="6" t="e">
        <f ca="1">VLOOKUP(CONCATENATE(LEFT(E$7, 7), "ca", $B13), [0]!data_range, 5, FALSE)</f>
        <v>#REF!</v>
      </c>
      <c r="F13" s="6" t="e">
        <f ca="1">VLOOKUP(CONCATENATE(LEFT(F$7, 7), "ca", $B13), [0]!data_range, 5, FALSE)</f>
        <v>#REF!</v>
      </c>
      <c r="G13" s="6" t="e">
        <f ca="1">VLOOKUP(CONCATENATE(LEFT(G$7, 7), "ca", $B13), [0]!data_range, 5, FALSE)</f>
        <v>#REF!</v>
      </c>
      <c r="H13" s="6" t="e">
        <f ca="1">VLOOKUP(CONCATENATE(LEFT(H$7, 7), "ca", $B13), [0]!data_range, 5, FALSE)</f>
        <v>#REF!</v>
      </c>
      <c r="I13" s="6" t="e">
        <f ca="1">VLOOKUP(CONCATENATE(LEFT(I$7, 7), "ca", $B13), [0]!data_range, 5, FALSE)</f>
        <v>#REF!</v>
      </c>
      <c r="J13" s="6" t="e">
        <f ca="1">VLOOKUP(CONCATENATE(LEFT(J$7, 7), "ca", $B13), [0]!data_range, 5, FALSE)</f>
        <v>#REF!</v>
      </c>
      <c r="K13" s="6" t="e">
        <f ca="1">VLOOKUP(CONCATENATE(LEFT(K$7, 7), "ca", $B13), [0]!data_range, 5, FALSE)</f>
        <v>#REF!</v>
      </c>
      <c r="L13" s="6" t="e">
        <f ca="1">VLOOKUP(CONCATENATE(LEFT(L$7, 7), "ca", $B13), [0]!data_range, 5, FALSE)</f>
        <v>#REF!</v>
      </c>
    </row>
    <row r="14" spans="2:12" ht="15" customHeight="1" x14ac:dyDescent="0.25">
      <c r="B14" s="64" t="s">
        <v>219</v>
      </c>
      <c r="C14" s="6" t="e">
        <f ca="1">VLOOKUP(CONCATENATE(LEFT(C$7, 7), "ca", $B14), [0]!data_range, 5, FALSE)</f>
        <v>#REF!</v>
      </c>
      <c r="D14" s="6" t="e">
        <f ca="1">VLOOKUP(CONCATENATE(LEFT(D$7, 7), "ca", $B14), [0]!data_range, 5, FALSE)</f>
        <v>#REF!</v>
      </c>
      <c r="E14" s="6" t="e">
        <f ca="1">VLOOKUP(CONCATENATE(LEFT(E$7, 7), "ca", $B14), [0]!data_range, 5, FALSE)</f>
        <v>#REF!</v>
      </c>
      <c r="F14" s="6" t="e">
        <f ca="1">VLOOKUP(CONCATENATE(LEFT(F$7, 7), "ca", $B14), [0]!data_range, 5, FALSE)</f>
        <v>#REF!</v>
      </c>
      <c r="G14" s="6" t="e">
        <f ca="1">VLOOKUP(CONCATENATE(LEFT(G$7, 7), "ca", $B14), [0]!data_range, 5, FALSE)</f>
        <v>#REF!</v>
      </c>
      <c r="H14" s="6" t="e">
        <f ca="1">VLOOKUP(CONCATENATE(LEFT(H$7, 7), "ca", $B14), [0]!data_range, 5, FALSE)</f>
        <v>#REF!</v>
      </c>
      <c r="I14" s="6" t="e">
        <f ca="1">VLOOKUP(CONCATENATE(LEFT(I$7, 7), "ca", $B14), [0]!data_range, 5, FALSE)</f>
        <v>#REF!</v>
      </c>
      <c r="J14" s="6" t="e">
        <f ca="1">VLOOKUP(CONCATENATE(LEFT(J$7, 7), "ca", $B14), [0]!data_range, 5, FALSE)</f>
        <v>#REF!</v>
      </c>
      <c r="K14" s="6" t="e">
        <f ca="1">VLOOKUP(CONCATENATE(LEFT(K$7, 7), "ca", $B14), [0]!data_range, 5, FALSE)</f>
        <v>#REF!</v>
      </c>
      <c r="L14" s="6" t="e">
        <f ca="1">VLOOKUP(CONCATENATE(LEFT(L$7, 7), "ca", $B14), [0]!data_range, 5, FALSE)</f>
        <v>#REF!</v>
      </c>
    </row>
    <row r="15" spans="2:12" ht="15" customHeight="1" x14ac:dyDescent="0.25">
      <c r="B15" s="64" t="s">
        <v>168</v>
      </c>
      <c r="C15" s="6" t="e">
        <f ca="1">VLOOKUP(CONCATENATE(LEFT(C$7, 7), "ca", $B15), [0]!data_range, 5, FALSE)</f>
        <v>#REF!</v>
      </c>
      <c r="D15" s="6" t="e">
        <f ca="1">VLOOKUP(CONCATENATE(LEFT(D$7, 7), "ca", $B15), [0]!data_range, 5, FALSE)</f>
        <v>#REF!</v>
      </c>
      <c r="E15" s="6" t="e">
        <f ca="1">VLOOKUP(CONCATENATE(LEFT(E$7, 7), "ca", $B15), [0]!data_range, 5, FALSE)</f>
        <v>#REF!</v>
      </c>
      <c r="F15" s="6" t="e">
        <f ca="1">VLOOKUP(CONCATENATE(LEFT(F$7, 7), "ca", $B15), [0]!data_range, 5, FALSE)</f>
        <v>#REF!</v>
      </c>
      <c r="G15" s="6" t="e">
        <f ca="1">VLOOKUP(CONCATENATE(LEFT(G$7, 7), "ca", $B15), [0]!data_range, 5, FALSE)</f>
        <v>#REF!</v>
      </c>
      <c r="H15" s="6" t="e">
        <f ca="1">VLOOKUP(CONCATENATE(LEFT(H$7, 7), "ca", $B15), [0]!data_range, 5, FALSE)</f>
        <v>#REF!</v>
      </c>
      <c r="I15" s="6" t="e">
        <f ca="1">VLOOKUP(CONCATENATE(LEFT(I$7, 7), "ca", $B15), [0]!data_range, 5, FALSE)</f>
        <v>#REF!</v>
      </c>
      <c r="J15" s="6" t="e">
        <f ca="1">VLOOKUP(CONCATENATE(LEFT(J$7, 7), "ca", $B15), [0]!data_range, 5, FALSE)</f>
        <v>#REF!</v>
      </c>
      <c r="K15" s="6" t="e">
        <f ca="1">VLOOKUP(CONCATENATE(LEFT(K$7, 7), "ca", $B15), [0]!data_range, 5, FALSE)</f>
        <v>#REF!</v>
      </c>
      <c r="L15" s="6" t="e">
        <f ca="1">VLOOKUP(CONCATENATE(LEFT(L$7, 7), "ca", $B15), [0]!data_range, 5, FALSE)</f>
        <v>#REF!</v>
      </c>
    </row>
    <row r="16" spans="2:12" ht="15" customHeight="1" x14ac:dyDescent="0.25">
      <c r="B16" s="64" t="s">
        <v>90</v>
      </c>
      <c r="C16" s="6" t="e">
        <f ca="1">VLOOKUP(CONCATENATE(LEFT(C$7, 7), "ca", $B16), [0]!data_range, 5, FALSE)</f>
        <v>#REF!</v>
      </c>
      <c r="D16" s="6" t="e">
        <f ca="1">VLOOKUP(CONCATENATE(LEFT(D$7, 7), "ca", $B16), [0]!data_range, 5, FALSE)</f>
        <v>#REF!</v>
      </c>
      <c r="E16" s="6" t="e">
        <f ca="1">VLOOKUP(CONCATENATE(LEFT(E$7, 7), "ca", $B16), [0]!data_range, 5, FALSE)</f>
        <v>#REF!</v>
      </c>
      <c r="F16" s="6" t="e">
        <f ca="1">VLOOKUP(CONCATENATE(LEFT(F$7, 7), "ca", $B16), [0]!data_range, 5, FALSE)</f>
        <v>#REF!</v>
      </c>
      <c r="G16" s="6" t="e">
        <f ca="1">VLOOKUP(CONCATENATE(LEFT(G$7, 7), "ca", $B16), [0]!data_range, 5, FALSE)</f>
        <v>#REF!</v>
      </c>
      <c r="H16" s="6" t="e">
        <f ca="1">VLOOKUP(CONCATENATE(LEFT(H$7, 7), "ca", $B16), [0]!data_range, 5, FALSE)</f>
        <v>#REF!</v>
      </c>
      <c r="I16" s="6" t="e">
        <f ca="1">VLOOKUP(CONCATENATE(LEFT(I$7, 7), "ca", $B16), [0]!data_range, 5, FALSE)</f>
        <v>#REF!</v>
      </c>
      <c r="J16" s="6" t="e">
        <f ca="1">VLOOKUP(CONCATENATE(LEFT(J$7, 7), "ca", $B16), [0]!data_range, 5, FALSE)</f>
        <v>#REF!</v>
      </c>
      <c r="K16" s="6" t="e">
        <f ca="1">VLOOKUP(CONCATENATE(LEFT(K$7, 7), "ca", $B16), [0]!data_range, 5, FALSE)</f>
        <v>#REF!</v>
      </c>
      <c r="L16" s="6" t="e">
        <f ca="1">VLOOKUP(CONCATENATE(LEFT(L$7, 7), "ca", $B16), [0]!data_range, 5, FALSE)</f>
        <v>#REF!</v>
      </c>
    </row>
    <row r="17" spans="2:12" ht="15" customHeight="1" x14ac:dyDescent="0.25">
      <c r="B17" s="64" t="s">
        <v>91</v>
      </c>
      <c r="C17" s="6" t="e">
        <f ca="1">VLOOKUP(CONCATENATE(LEFT(C$7, 7), "ca", $B17), [0]!data_range, 5, FALSE)</f>
        <v>#REF!</v>
      </c>
      <c r="D17" s="6" t="e">
        <f ca="1">VLOOKUP(CONCATENATE(LEFT(D$7, 7), "ca", $B17), [0]!data_range, 5, FALSE)</f>
        <v>#REF!</v>
      </c>
      <c r="E17" s="6" t="e">
        <f ca="1">VLOOKUP(CONCATENATE(LEFT(E$7, 7), "ca", $B17), [0]!data_range, 5, FALSE)</f>
        <v>#REF!</v>
      </c>
      <c r="F17" s="6" t="e">
        <f ca="1">VLOOKUP(CONCATENATE(LEFT(F$7, 7), "ca", $B17), [0]!data_range, 5, FALSE)</f>
        <v>#REF!</v>
      </c>
      <c r="G17" s="6" t="e">
        <f ca="1">VLOOKUP(CONCATENATE(LEFT(G$7, 7), "ca", $B17), [0]!data_range, 5, FALSE)</f>
        <v>#REF!</v>
      </c>
      <c r="H17" s="6" t="e">
        <f ca="1">VLOOKUP(CONCATENATE(LEFT(H$7, 7), "ca", $B17), [0]!data_range, 5, FALSE)</f>
        <v>#REF!</v>
      </c>
      <c r="I17" s="6" t="e">
        <f ca="1">VLOOKUP(CONCATENATE(LEFT(I$7, 7), "ca", $B17), [0]!data_range, 5, FALSE)</f>
        <v>#REF!</v>
      </c>
      <c r="J17" s="6" t="e">
        <f ca="1">VLOOKUP(CONCATENATE(LEFT(J$7, 7), "ca", $B17), [0]!data_range, 5, FALSE)</f>
        <v>#REF!</v>
      </c>
      <c r="K17" s="6" t="e">
        <f ca="1">VLOOKUP(CONCATENATE(LEFT(K$7, 7), "ca", $B17), [0]!data_range, 5, FALSE)</f>
        <v>#REF!</v>
      </c>
      <c r="L17" s="6" t="e">
        <f ca="1">VLOOKUP(CONCATENATE(LEFT(L$7, 7), "ca", $B17), [0]!data_range, 5, FALSE)</f>
        <v>#REF!</v>
      </c>
    </row>
    <row r="18" spans="2:12" ht="15" customHeight="1" x14ac:dyDescent="0.25">
      <c r="B18" s="64" t="s">
        <v>92</v>
      </c>
      <c r="C18" s="6" t="e">
        <f ca="1">VLOOKUP(CONCATENATE(LEFT(C$7, 7), "ca", $B18), [0]!data_range, 5, FALSE)</f>
        <v>#REF!</v>
      </c>
      <c r="D18" s="6" t="e">
        <f ca="1">VLOOKUP(CONCATENATE(LEFT(D$7, 7), "ca", $B18), [0]!data_range, 5, FALSE)</f>
        <v>#REF!</v>
      </c>
      <c r="E18" s="6" t="e">
        <f ca="1">VLOOKUP(CONCATENATE(LEFT(E$7, 7), "ca", $B18), [0]!data_range, 5, FALSE)</f>
        <v>#REF!</v>
      </c>
      <c r="F18" s="6" t="e">
        <f ca="1">VLOOKUP(CONCATENATE(LEFT(F$7, 7), "ca", $B18), [0]!data_range, 5, FALSE)</f>
        <v>#REF!</v>
      </c>
      <c r="G18" s="6" t="e">
        <f ca="1">VLOOKUP(CONCATENATE(LEFT(G$7, 7), "ca", $B18), [0]!data_range, 5, FALSE)</f>
        <v>#REF!</v>
      </c>
      <c r="H18" s="6" t="e">
        <f ca="1">VLOOKUP(CONCATENATE(LEFT(H$7, 7), "ca", $B18), [0]!data_range, 5, FALSE)</f>
        <v>#REF!</v>
      </c>
      <c r="I18" s="6" t="e">
        <f ca="1">VLOOKUP(CONCATENATE(LEFT(I$7, 7), "ca", $B18), [0]!data_range, 5, FALSE)</f>
        <v>#REF!</v>
      </c>
      <c r="J18" s="6" t="e">
        <f ca="1">VLOOKUP(CONCATENATE(LEFT(J$7, 7), "ca", $B18), [0]!data_range, 5, FALSE)</f>
        <v>#REF!</v>
      </c>
      <c r="K18" s="6" t="e">
        <f ca="1">VLOOKUP(CONCATENATE(LEFT(K$7, 7), "ca", $B18), [0]!data_range, 5, FALSE)</f>
        <v>#REF!</v>
      </c>
      <c r="L18" s="6" t="e">
        <f ca="1">VLOOKUP(CONCATENATE(LEFT(L$7, 7), "ca", $B18), [0]!data_range, 5, FALSE)</f>
        <v>#REF!</v>
      </c>
    </row>
    <row r="19" spans="2:12" ht="15" customHeight="1" x14ac:dyDescent="0.25">
      <c r="B19" s="64" t="s">
        <v>93</v>
      </c>
      <c r="C19" s="6" t="e">
        <f ca="1">VLOOKUP(CONCATENATE(LEFT(C$7, 7), "ca", $B19), [0]!data_range, 5, FALSE)</f>
        <v>#REF!</v>
      </c>
      <c r="D19" s="6" t="e">
        <f ca="1">VLOOKUP(CONCATENATE(LEFT(D$7, 7), "ca", $B19), [0]!data_range, 5, FALSE)</f>
        <v>#REF!</v>
      </c>
      <c r="E19" s="6" t="e">
        <f ca="1">VLOOKUP(CONCATENATE(LEFT(E$7, 7), "ca", $B19), [0]!data_range, 5, FALSE)</f>
        <v>#REF!</v>
      </c>
      <c r="F19" s="6" t="e">
        <f ca="1">VLOOKUP(CONCATENATE(LEFT(F$7, 7), "ca", $B19), [0]!data_range, 5, FALSE)</f>
        <v>#REF!</v>
      </c>
      <c r="G19" s="6" t="e">
        <f ca="1">VLOOKUP(CONCATENATE(LEFT(G$7, 7), "ca", $B19), [0]!data_range, 5, FALSE)</f>
        <v>#REF!</v>
      </c>
      <c r="H19" s="6" t="e">
        <f ca="1">VLOOKUP(CONCATENATE(LEFT(H$7, 7), "ca", $B19), [0]!data_range, 5, FALSE)</f>
        <v>#REF!</v>
      </c>
      <c r="I19" s="6" t="e">
        <f ca="1">VLOOKUP(CONCATENATE(LEFT(I$7, 7), "ca", $B19), [0]!data_range, 5, FALSE)</f>
        <v>#REF!</v>
      </c>
      <c r="J19" s="6" t="e">
        <f ca="1">VLOOKUP(CONCATENATE(LEFT(J$7, 7), "ca", $B19), [0]!data_range, 5, FALSE)</f>
        <v>#REF!</v>
      </c>
      <c r="K19" s="6" t="e">
        <f ca="1">VLOOKUP(CONCATENATE(LEFT(K$7, 7), "ca", $B19), [0]!data_range, 5, FALSE)</f>
        <v>#REF!</v>
      </c>
      <c r="L19" s="6" t="e">
        <f ca="1">VLOOKUP(CONCATENATE(LEFT(L$7, 7), "ca", $B19), [0]!data_range, 5, FALSE)</f>
        <v>#REF!</v>
      </c>
    </row>
    <row r="20" spans="2:12" ht="15" customHeight="1" x14ac:dyDescent="0.25">
      <c r="B20" s="64" t="s">
        <v>94</v>
      </c>
      <c r="C20" s="6" t="e">
        <f ca="1">VLOOKUP(CONCATENATE(LEFT(C$7, 7), "ca", $B20), [0]!data_range, 5, FALSE)</f>
        <v>#REF!</v>
      </c>
      <c r="D20" s="6" t="e">
        <f ca="1">VLOOKUP(CONCATENATE(LEFT(D$7, 7), "ca", $B20), [0]!data_range, 5, FALSE)</f>
        <v>#REF!</v>
      </c>
      <c r="E20" s="6" t="e">
        <f ca="1">VLOOKUP(CONCATENATE(LEFT(E$7, 7), "ca", $B20), [0]!data_range, 5, FALSE)</f>
        <v>#REF!</v>
      </c>
      <c r="F20" s="6" t="e">
        <f ca="1">VLOOKUP(CONCATENATE(LEFT(F$7, 7), "ca", $B20), [0]!data_range, 5, FALSE)</f>
        <v>#REF!</v>
      </c>
      <c r="G20" s="6" t="e">
        <f ca="1">VLOOKUP(CONCATENATE(LEFT(G$7, 7), "ca", $B20), [0]!data_range, 5, FALSE)</f>
        <v>#REF!</v>
      </c>
      <c r="H20" s="6" t="e">
        <f ca="1">VLOOKUP(CONCATENATE(LEFT(H$7, 7), "ca", $B20), [0]!data_range, 5, FALSE)</f>
        <v>#REF!</v>
      </c>
      <c r="I20" s="6" t="e">
        <f ca="1">VLOOKUP(CONCATENATE(LEFT(I$7, 7), "ca", $B20), [0]!data_range, 5, FALSE)</f>
        <v>#REF!</v>
      </c>
      <c r="J20" s="6" t="e">
        <f ca="1">VLOOKUP(CONCATENATE(LEFT(J$7, 7), "ca", $B20), [0]!data_range, 5, FALSE)</f>
        <v>#REF!</v>
      </c>
      <c r="K20" s="6" t="e">
        <f ca="1">VLOOKUP(CONCATENATE(LEFT(K$7, 7), "ca", $B20), [0]!data_range, 5, FALSE)</f>
        <v>#REF!</v>
      </c>
      <c r="L20" s="6" t="e">
        <f ca="1">VLOOKUP(CONCATENATE(LEFT(L$7, 7), "ca", $B20), [0]!data_range, 5, FALSE)</f>
        <v>#REF!</v>
      </c>
    </row>
    <row r="21" spans="2:12" ht="15" customHeight="1" x14ac:dyDescent="0.25">
      <c r="B21" s="64" t="s">
        <v>95</v>
      </c>
      <c r="C21" s="6" t="e">
        <f ca="1">VLOOKUP(CONCATENATE(LEFT(C$7, 7), "ca", $B21), [0]!data_range, 5, FALSE)</f>
        <v>#REF!</v>
      </c>
      <c r="D21" s="6" t="e">
        <f ca="1">VLOOKUP(CONCATENATE(LEFT(D$7, 7), "ca", $B21), [0]!data_range, 5, FALSE)</f>
        <v>#REF!</v>
      </c>
      <c r="E21" s="6" t="e">
        <f ca="1">VLOOKUP(CONCATENATE(LEFT(E$7, 7), "ca", $B21), [0]!data_range, 5, FALSE)</f>
        <v>#REF!</v>
      </c>
      <c r="F21" s="6" t="e">
        <f ca="1">VLOOKUP(CONCATENATE(LEFT(F$7, 7), "ca", $B21), [0]!data_range, 5, FALSE)</f>
        <v>#REF!</v>
      </c>
      <c r="G21" s="6" t="e">
        <f ca="1">VLOOKUP(CONCATENATE(LEFT(G$7, 7), "ca", $B21), [0]!data_range, 5, FALSE)</f>
        <v>#REF!</v>
      </c>
      <c r="H21" s="6" t="e">
        <f ca="1">VLOOKUP(CONCATENATE(LEFT(H$7, 7), "ca", $B21), [0]!data_range, 5, FALSE)</f>
        <v>#REF!</v>
      </c>
      <c r="I21" s="6" t="e">
        <f ca="1">VLOOKUP(CONCATENATE(LEFT(I$7, 7), "ca", $B21), [0]!data_range, 5, FALSE)</f>
        <v>#REF!</v>
      </c>
      <c r="J21" s="6" t="e">
        <f ca="1">VLOOKUP(CONCATENATE(LEFT(J$7, 7), "ca", $B21), [0]!data_range, 5, FALSE)</f>
        <v>#REF!</v>
      </c>
      <c r="K21" s="6" t="e">
        <f ca="1">VLOOKUP(CONCATENATE(LEFT(K$7, 7), "ca", $B21), [0]!data_range, 5, FALSE)</f>
        <v>#REF!</v>
      </c>
      <c r="L21" s="6" t="e">
        <f ca="1">VLOOKUP(CONCATENATE(LEFT(L$7, 7), "ca", $B21), [0]!data_range, 5, FALSE)</f>
        <v>#REF!</v>
      </c>
    </row>
    <row r="22" spans="2:12" ht="15" customHeight="1" x14ac:dyDescent="0.25">
      <c r="B22" s="64" t="s">
        <v>1</v>
      </c>
      <c r="C22" s="6" t="e">
        <f ca="1">VLOOKUP(CONCATENATE(LEFT(C$7, 7), "ca", $B22), [0]!data_range, 5, FALSE)</f>
        <v>#REF!</v>
      </c>
      <c r="D22" s="6" t="e">
        <f ca="1">VLOOKUP(CONCATENATE(LEFT(D$7, 7), "ca", $B22), [0]!data_range, 5, FALSE)</f>
        <v>#REF!</v>
      </c>
      <c r="E22" s="6" t="e">
        <f ca="1">VLOOKUP(CONCATENATE(LEFT(E$7, 7), "ca", $B22), [0]!data_range, 5, FALSE)</f>
        <v>#REF!</v>
      </c>
      <c r="F22" s="6" t="e">
        <f ca="1">VLOOKUP(CONCATENATE(LEFT(F$7, 7), "ca", $B22), [0]!data_range, 5, FALSE)</f>
        <v>#REF!</v>
      </c>
      <c r="G22" s="6" t="e">
        <f ca="1">VLOOKUP(CONCATENATE(LEFT(G$7, 7), "ca", $B22), [0]!data_range, 5, FALSE)</f>
        <v>#REF!</v>
      </c>
      <c r="H22" s="6" t="e">
        <f ca="1">VLOOKUP(CONCATENATE(LEFT(H$7, 7), "ca", $B22), [0]!data_range, 5, FALSE)</f>
        <v>#REF!</v>
      </c>
      <c r="I22" s="6" t="e">
        <f ca="1">VLOOKUP(CONCATENATE(LEFT(I$7, 7), "ca", $B22), [0]!data_range, 5, FALSE)</f>
        <v>#REF!</v>
      </c>
      <c r="J22" s="6" t="e">
        <f ca="1">VLOOKUP(CONCATENATE(LEFT(J$7, 7), "ca", $B22), [0]!data_range, 5, FALSE)</f>
        <v>#REF!</v>
      </c>
      <c r="K22" s="6" t="e">
        <f ca="1">VLOOKUP(CONCATENATE(LEFT(K$7, 7), "ca", $B22), [0]!data_range, 5, FALSE)</f>
        <v>#REF!</v>
      </c>
      <c r="L22" s="6" t="e">
        <f ca="1">VLOOKUP(CONCATENATE(LEFT(L$7, 7), "ca", $B22), [0]!data_range, 5, FALSE)</f>
        <v>#REF!</v>
      </c>
    </row>
    <row r="23" spans="2:12" ht="15" customHeight="1" x14ac:dyDescent="0.25">
      <c r="B23" s="64" t="s">
        <v>131</v>
      </c>
      <c r="C23" s="6" t="e">
        <f ca="1">VLOOKUP(CONCATENATE(LEFT(C$7, 7), "ca", $B23), [0]!data_range, 5, FALSE)</f>
        <v>#REF!</v>
      </c>
      <c r="D23" s="6" t="e">
        <f ca="1">VLOOKUP(CONCATENATE(LEFT(D$7, 7), "ca", $B23), [0]!data_range, 5, FALSE)</f>
        <v>#REF!</v>
      </c>
      <c r="E23" s="6" t="e">
        <f ca="1">VLOOKUP(CONCATENATE(LEFT(E$7, 7), "ca", $B23), [0]!data_range, 5, FALSE)</f>
        <v>#REF!</v>
      </c>
      <c r="F23" s="6" t="e">
        <f ca="1">VLOOKUP(CONCATENATE(LEFT(F$7, 7), "ca", $B23), [0]!data_range, 5, FALSE)</f>
        <v>#REF!</v>
      </c>
      <c r="G23" s="6" t="e">
        <f ca="1">VLOOKUP(CONCATENATE(LEFT(G$7, 7), "ca", $B23), [0]!data_range, 5, FALSE)</f>
        <v>#REF!</v>
      </c>
      <c r="H23" s="6" t="e">
        <f ca="1">VLOOKUP(CONCATENATE(LEFT(H$7, 7), "ca", $B23), [0]!data_range, 5, FALSE)</f>
        <v>#REF!</v>
      </c>
      <c r="I23" s="6" t="e">
        <f ca="1">VLOOKUP(CONCATENATE(LEFT(I$7, 7), "ca", $B23), [0]!data_range, 5, FALSE)</f>
        <v>#REF!</v>
      </c>
      <c r="J23" s="6" t="e">
        <f ca="1">VLOOKUP(CONCATENATE(LEFT(J$7, 7), "ca", $B23), [0]!data_range, 5, FALSE)</f>
        <v>#REF!</v>
      </c>
      <c r="K23" s="6" t="e">
        <f ca="1">VLOOKUP(CONCATENATE(LEFT(K$7, 7), "ca", $B23), [0]!data_range, 5, FALSE)</f>
        <v>#REF!</v>
      </c>
      <c r="L23" s="6" t="e">
        <f ca="1">VLOOKUP(CONCATENATE(LEFT(L$7, 7), "ca", $B23), [0]!data_range, 5, FALSE)</f>
        <v>#REF!</v>
      </c>
    </row>
    <row r="24" spans="2:12" ht="15" customHeight="1" x14ac:dyDescent="0.25">
      <c r="B24" s="64" t="s">
        <v>4</v>
      </c>
      <c r="C24" s="6" t="e">
        <f ca="1">VLOOKUP(CONCATENATE(LEFT(C$7, 7), "ca", $B24), [0]!data_range, 5, FALSE)</f>
        <v>#REF!</v>
      </c>
      <c r="D24" s="6" t="e">
        <f ca="1">VLOOKUP(CONCATENATE(LEFT(D$7, 7), "ca", $B24), [0]!data_range, 5, FALSE)</f>
        <v>#REF!</v>
      </c>
      <c r="E24" s="6" t="e">
        <f ca="1">VLOOKUP(CONCATENATE(LEFT(E$7, 7), "ca", $B24), [0]!data_range, 5, FALSE)</f>
        <v>#REF!</v>
      </c>
      <c r="F24" s="6" t="e">
        <f ca="1">VLOOKUP(CONCATENATE(LEFT(F$7, 7), "ca", $B24), [0]!data_range, 5, FALSE)</f>
        <v>#REF!</v>
      </c>
      <c r="G24" s="6" t="e">
        <f ca="1">VLOOKUP(CONCATENATE(LEFT(G$7, 7), "ca", $B24), [0]!data_range, 5, FALSE)</f>
        <v>#REF!</v>
      </c>
      <c r="H24" s="6" t="e">
        <f ca="1">VLOOKUP(CONCATENATE(LEFT(H$7, 7), "ca", $B24), [0]!data_range, 5, FALSE)</f>
        <v>#REF!</v>
      </c>
      <c r="I24" s="6" t="e">
        <f ca="1">VLOOKUP(CONCATENATE(LEFT(I$7, 7), "ca", $B24), [0]!data_range, 5, FALSE)</f>
        <v>#REF!</v>
      </c>
      <c r="J24" s="6" t="e">
        <f ca="1">VLOOKUP(CONCATENATE(LEFT(J$7, 7), "ca", $B24), [0]!data_range, 5, FALSE)</f>
        <v>#REF!</v>
      </c>
      <c r="K24" s="6" t="e">
        <f ca="1">VLOOKUP(CONCATENATE(LEFT(K$7, 7), "ca", $B24), [0]!data_range, 5, FALSE)</f>
        <v>#REF!</v>
      </c>
      <c r="L24" s="6" t="e">
        <f ca="1">VLOOKUP(CONCATENATE(LEFT(L$7, 7), "ca", $B24), [0]!data_range, 5, FALSE)</f>
        <v>#REF!</v>
      </c>
    </row>
    <row r="25" spans="2:12" ht="15" customHeight="1" x14ac:dyDescent="0.25">
      <c r="B25" s="64" t="s">
        <v>96</v>
      </c>
      <c r="C25" s="6" t="e">
        <f ca="1">VLOOKUP(CONCATENATE(LEFT(C$7, 7), "ca", $B25), [0]!data_range, 5, FALSE)</f>
        <v>#REF!</v>
      </c>
      <c r="D25" s="6" t="e">
        <f ca="1">VLOOKUP(CONCATENATE(LEFT(D$7, 7), "ca", $B25), [0]!data_range, 5, FALSE)</f>
        <v>#REF!</v>
      </c>
      <c r="E25" s="6" t="e">
        <f ca="1">VLOOKUP(CONCATENATE(LEFT(E$7, 7), "ca", $B25), [0]!data_range, 5, FALSE)</f>
        <v>#REF!</v>
      </c>
      <c r="F25" s="6" t="e">
        <f ca="1">VLOOKUP(CONCATENATE(LEFT(F$7, 7), "ca", $B25), [0]!data_range, 5, FALSE)</f>
        <v>#REF!</v>
      </c>
      <c r="G25" s="6" t="e">
        <f ca="1">VLOOKUP(CONCATENATE(LEFT(G$7, 7), "ca", $B25), [0]!data_range, 5, FALSE)</f>
        <v>#REF!</v>
      </c>
      <c r="H25" s="6" t="e">
        <f ca="1">VLOOKUP(CONCATENATE(LEFT(H$7, 7), "ca", $B25), [0]!data_range, 5, FALSE)</f>
        <v>#REF!</v>
      </c>
      <c r="I25" s="6" t="e">
        <f ca="1">VLOOKUP(CONCATENATE(LEFT(I$7, 7), "ca", $B25), [0]!data_range, 5, FALSE)</f>
        <v>#REF!</v>
      </c>
      <c r="J25" s="6" t="e">
        <f ca="1">VLOOKUP(CONCATENATE(LEFT(J$7, 7), "ca", $B25), [0]!data_range, 5, FALSE)</f>
        <v>#REF!</v>
      </c>
      <c r="K25" s="6" t="e">
        <f ca="1">VLOOKUP(CONCATENATE(LEFT(K$7, 7), "ca", $B25), [0]!data_range, 5, FALSE)</f>
        <v>#REF!</v>
      </c>
      <c r="L25" s="6" t="e">
        <f ca="1">VLOOKUP(CONCATENATE(LEFT(L$7, 7), "ca", $B25), [0]!data_range, 5, FALSE)</f>
        <v>#REF!</v>
      </c>
    </row>
    <row r="26" spans="2:12" ht="15" customHeight="1" x14ac:dyDescent="0.25">
      <c r="B26" s="64" t="s">
        <v>97</v>
      </c>
      <c r="C26" s="6" t="e">
        <f ca="1">VLOOKUP(CONCATENATE(LEFT(C$7, 7), "ca", $B26), [0]!data_range, 5, FALSE)</f>
        <v>#REF!</v>
      </c>
      <c r="D26" s="6" t="e">
        <f ca="1">VLOOKUP(CONCATENATE(LEFT(D$7, 7), "ca", $B26), [0]!data_range, 5, FALSE)</f>
        <v>#REF!</v>
      </c>
      <c r="E26" s="6" t="e">
        <f ca="1">VLOOKUP(CONCATENATE(LEFT(E$7, 7), "ca", $B26), [0]!data_range, 5, FALSE)</f>
        <v>#REF!</v>
      </c>
      <c r="F26" s="6" t="e">
        <f ca="1">VLOOKUP(CONCATENATE(LEFT(F$7, 7), "ca", $B26), [0]!data_range, 5, FALSE)</f>
        <v>#REF!</v>
      </c>
      <c r="G26" s="6" t="e">
        <f ca="1">VLOOKUP(CONCATENATE(LEFT(G$7, 7), "ca", $B26), [0]!data_range, 5, FALSE)</f>
        <v>#REF!</v>
      </c>
      <c r="H26" s="6" t="e">
        <f ca="1">VLOOKUP(CONCATENATE(LEFT(H$7, 7), "ca", $B26), [0]!data_range, 5, FALSE)</f>
        <v>#REF!</v>
      </c>
      <c r="I26" s="6" t="e">
        <f ca="1">VLOOKUP(CONCATENATE(LEFT(I$7, 7), "ca", $B26), [0]!data_range, 5, FALSE)</f>
        <v>#REF!</v>
      </c>
      <c r="J26" s="6" t="e">
        <f ca="1">VLOOKUP(CONCATENATE(LEFT(J$7, 7), "ca", $B26), [0]!data_range, 5, FALSE)</f>
        <v>#REF!</v>
      </c>
      <c r="K26" s="6" t="e">
        <f ca="1">VLOOKUP(CONCATENATE(LEFT(K$7, 7), "ca", $B26), [0]!data_range, 5, FALSE)</f>
        <v>#REF!</v>
      </c>
      <c r="L26" s="6" t="e">
        <f ca="1">VLOOKUP(CONCATENATE(LEFT(L$7, 7), "ca", $B26), [0]!data_range, 5, FALSE)</f>
        <v>#REF!</v>
      </c>
    </row>
    <row r="27" spans="2:12" ht="15" customHeight="1" x14ac:dyDescent="0.25">
      <c r="B27" s="64" t="s">
        <v>98</v>
      </c>
      <c r="C27" s="6" t="e">
        <f ca="1">VLOOKUP(CONCATENATE(LEFT(C$7, 7), "ca", $B27), [0]!data_range, 5, FALSE)</f>
        <v>#REF!</v>
      </c>
      <c r="D27" s="6" t="e">
        <f ca="1">VLOOKUP(CONCATENATE(LEFT(D$7, 7), "ca", $B27), [0]!data_range, 5, FALSE)</f>
        <v>#REF!</v>
      </c>
      <c r="E27" s="6" t="e">
        <f ca="1">VLOOKUP(CONCATENATE(LEFT(E$7, 7), "ca", $B27), [0]!data_range, 5, FALSE)</f>
        <v>#REF!</v>
      </c>
      <c r="F27" s="6" t="e">
        <f ca="1">VLOOKUP(CONCATENATE(LEFT(F$7, 7), "ca", $B27), [0]!data_range, 5, FALSE)</f>
        <v>#REF!</v>
      </c>
      <c r="G27" s="6" t="e">
        <f ca="1">VLOOKUP(CONCATENATE(LEFT(G$7, 7), "ca", $B27), [0]!data_range, 5, FALSE)</f>
        <v>#REF!</v>
      </c>
      <c r="H27" s="6" t="e">
        <f ca="1">VLOOKUP(CONCATENATE(LEFT(H$7, 7), "ca", $B27), [0]!data_range, 5, FALSE)</f>
        <v>#REF!</v>
      </c>
      <c r="I27" s="6" t="e">
        <f ca="1">VLOOKUP(CONCATENATE(LEFT(I$7, 7), "ca", $B27), [0]!data_range, 5, FALSE)</f>
        <v>#REF!</v>
      </c>
      <c r="J27" s="6" t="e">
        <f ca="1">VLOOKUP(CONCATENATE(LEFT(J$7, 7), "ca", $B27), [0]!data_range, 5, FALSE)</f>
        <v>#REF!</v>
      </c>
      <c r="K27" s="6" t="e">
        <f ca="1">VLOOKUP(CONCATENATE(LEFT(K$7, 7), "ca", $B27), [0]!data_range, 5, FALSE)</f>
        <v>#REF!</v>
      </c>
      <c r="L27" s="6" t="e">
        <f ca="1">VLOOKUP(CONCATENATE(LEFT(L$7, 7), "ca", $B27), [0]!data_range, 5, FALSE)</f>
        <v>#REF!</v>
      </c>
    </row>
    <row r="28" spans="2:12" ht="15" customHeight="1" x14ac:dyDescent="0.25">
      <c r="B28" s="64" t="s">
        <v>99</v>
      </c>
      <c r="C28" s="6" t="e">
        <f ca="1">VLOOKUP(CONCATENATE(LEFT(C$7, 7), "ca", $B28), [0]!data_range, 5, FALSE)</f>
        <v>#REF!</v>
      </c>
      <c r="D28" s="6" t="e">
        <f ca="1">VLOOKUP(CONCATENATE(LEFT(D$7, 7), "ca", $B28), [0]!data_range, 5, FALSE)</f>
        <v>#REF!</v>
      </c>
      <c r="E28" s="6" t="e">
        <f ca="1">VLOOKUP(CONCATENATE(LEFT(E$7, 7), "ca", $B28), [0]!data_range, 5, FALSE)</f>
        <v>#REF!</v>
      </c>
      <c r="F28" s="6" t="e">
        <f ca="1">VLOOKUP(CONCATENATE(LEFT(F$7, 7), "ca", $B28), [0]!data_range, 5, FALSE)</f>
        <v>#REF!</v>
      </c>
      <c r="G28" s="6" t="e">
        <f ca="1">VLOOKUP(CONCATENATE(LEFT(G$7, 7), "ca", $B28), [0]!data_range, 5, FALSE)</f>
        <v>#REF!</v>
      </c>
      <c r="H28" s="6" t="e">
        <f ca="1">VLOOKUP(CONCATENATE(LEFT(H$7, 7), "ca", $B28), [0]!data_range, 5, FALSE)</f>
        <v>#REF!</v>
      </c>
      <c r="I28" s="6" t="e">
        <f ca="1">VLOOKUP(CONCATENATE(LEFT(I$7, 7), "ca", $B28), [0]!data_range, 5, FALSE)</f>
        <v>#REF!</v>
      </c>
      <c r="J28" s="6" t="e">
        <f ca="1">VLOOKUP(CONCATENATE(LEFT(J$7, 7), "ca", $B28), [0]!data_range, 5, FALSE)</f>
        <v>#REF!</v>
      </c>
      <c r="K28" s="6" t="e">
        <f ca="1">VLOOKUP(CONCATENATE(LEFT(K$7, 7), "ca", $B28), [0]!data_range, 5, FALSE)</f>
        <v>#REF!</v>
      </c>
      <c r="L28" s="6" t="e">
        <f ca="1">VLOOKUP(CONCATENATE(LEFT(L$7, 7), "ca", $B28), [0]!data_range, 5, FALSE)</f>
        <v>#REF!</v>
      </c>
    </row>
    <row r="29" spans="2:12" ht="15" customHeight="1" x14ac:dyDescent="0.25">
      <c r="B29" s="64" t="s">
        <v>100</v>
      </c>
      <c r="C29" s="6" t="e">
        <f ca="1">VLOOKUP(CONCATENATE(LEFT(C$7, 7), "ca", $B29), [0]!data_range, 5, FALSE)</f>
        <v>#REF!</v>
      </c>
      <c r="D29" s="6" t="e">
        <f ca="1">VLOOKUP(CONCATENATE(LEFT(D$7, 7), "ca", $B29), [0]!data_range, 5, FALSE)</f>
        <v>#REF!</v>
      </c>
      <c r="E29" s="6" t="e">
        <f ca="1">VLOOKUP(CONCATENATE(LEFT(E$7, 7), "ca", $B29), [0]!data_range, 5, FALSE)</f>
        <v>#REF!</v>
      </c>
      <c r="F29" s="6" t="e">
        <f ca="1">VLOOKUP(CONCATENATE(LEFT(F$7, 7), "ca", $B29), [0]!data_range, 5, FALSE)</f>
        <v>#REF!</v>
      </c>
      <c r="G29" s="6" t="e">
        <f ca="1">VLOOKUP(CONCATENATE(LEFT(G$7, 7), "ca", $B29), [0]!data_range, 5, FALSE)</f>
        <v>#REF!</v>
      </c>
      <c r="H29" s="6" t="e">
        <f ca="1">VLOOKUP(CONCATENATE(LEFT(H$7, 7), "ca", $B29), [0]!data_range, 5, FALSE)</f>
        <v>#REF!</v>
      </c>
      <c r="I29" s="6" t="e">
        <f ca="1">VLOOKUP(CONCATENATE(LEFT(I$7, 7), "ca", $B29), [0]!data_range, 5, FALSE)</f>
        <v>#REF!</v>
      </c>
      <c r="J29" s="6" t="e">
        <f ca="1">VLOOKUP(CONCATENATE(LEFT(J$7, 7), "ca", $B29), [0]!data_range, 5, FALSE)</f>
        <v>#REF!</v>
      </c>
      <c r="K29" s="6" t="e">
        <f ca="1">VLOOKUP(CONCATENATE(LEFT(K$7, 7), "ca", $B29), [0]!data_range, 5, FALSE)</f>
        <v>#REF!</v>
      </c>
      <c r="L29" s="6" t="e">
        <f ca="1">VLOOKUP(CONCATENATE(LEFT(L$7, 7), "ca", $B29), [0]!data_range, 5, FALSE)</f>
        <v>#REF!</v>
      </c>
    </row>
    <row r="30" spans="2:12" ht="15" customHeight="1" x14ac:dyDescent="0.25">
      <c r="B30" s="64" t="s">
        <v>101</v>
      </c>
      <c r="C30" s="6" t="e">
        <f ca="1">VLOOKUP(CONCATENATE(LEFT(C$7, 7), "ca", $B30), [0]!data_range, 5, FALSE)</f>
        <v>#REF!</v>
      </c>
      <c r="D30" s="6" t="e">
        <f ca="1">VLOOKUP(CONCATENATE(LEFT(D$7, 7), "ca", $B30), [0]!data_range, 5, FALSE)</f>
        <v>#REF!</v>
      </c>
      <c r="E30" s="6" t="e">
        <f ca="1">VLOOKUP(CONCATENATE(LEFT(E$7, 7), "ca", $B30), [0]!data_range, 5, FALSE)</f>
        <v>#REF!</v>
      </c>
      <c r="F30" s="6" t="e">
        <f ca="1">VLOOKUP(CONCATENATE(LEFT(F$7, 7), "ca", $B30), [0]!data_range, 5, FALSE)</f>
        <v>#REF!</v>
      </c>
      <c r="G30" s="6" t="e">
        <f ca="1">VLOOKUP(CONCATENATE(LEFT(G$7, 7), "ca", $B30), [0]!data_range, 5, FALSE)</f>
        <v>#REF!</v>
      </c>
      <c r="H30" s="6" t="e">
        <f ca="1">VLOOKUP(CONCATENATE(LEFT(H$7, 7), "ca", $B30), [0]!data_range, 5, FALSE)</f>
        <v>#REF!</v>
      </c>
      <c r="I30" s="6" t="e">
        <f ca="1">VLOOKUP(CONCATENATE(LEFT(I$7, 7), "ca", $B30), [0]!data_range, 5, FALSE)</f>
        <v>#REF!</v>
      </c>
      <c r="J30" s="6" t="e">
        <f ca="1">VLOOKUP(CONCATENATE(LEFT(J$7, 7), "ca", $B30), [0]!data_range, 5, FALSE)</f>
        <v>#REF!</v>
      </c>
      <c r="K30" s="6" t="e">
        <f ca="1">VLOOKUP(CONCATENATE(LEFT(K$7, 7), "ca", $B30), [0]!data_range, 5, FALSE)</f>
        <v>#REF!</v>
      </c>
      <c r="L30" s="6" t="e">
        <f ca="1">VLOOKUP(CONCATENATE(LEFT(L$7, 7), "ca", $B30), [0]!data_range, 5, FALSE)</f>
        <v>#REF!</v>
      </c>
    </row>
    <row r="31" spans="2:12" ht="15" customHeight="1" x14ac:dyDescent="0.25">
      <c r="B31" s="64" t="s">
        <v>171</v>
      </c>
      <c r="C31" s="6" t="e">
        <f ca="1">VLOOKUP(CONCATENATE(LEFT(C$7, 7), "ca", $B31), [0]!data_range, 5, FALSE)</f>
        <v>#REF!</v>
      </c>
      <c r="D31" s="6" t="e">
        <f ca="1">VLOOKUP(CONCATENATE(LEFT(D$7, 7), "ca", $B31), [0]!data_range, 5, FALSE)</f>
        <v>#REF!</v>
      </c>
      <c r="E31" s="6" t="e">
        <f ca="1">VLOOKUP(CONCATENATE(LEFT(E$7, 7), "ca", $B31), [0]!data_range, 5, FALSE)</f>
        <v>#REF!</v>
      </c>
      <c r="F31" s="6" t="e">
        <f ca="1">VLOOKUP(CONCATENATE(LEFT(F$7, 7), "ca", $B31), [0]!data_range, 5, FALSE)</f>
        <v>#REF!</v>
      </c>
      <c r="G31" s="6" t="e">
        <f ca="1">VLOOKUP(CONCATENATE(LEFT(G$7, 7), "ca", $B31), [0]!data_range, 5, FALSE)</f>
        <v>#REF!</v>
      </c>
      <c r="H31" s="6" t="e">
        <f ca="1">VLOOKUP(CONCATENATE(LEFT(H$7, 7), "ca", $B31), [0]!data_range, 5, FALSE)</f>
        <v>#REF!</v>
      </c>
      <c r="I31" s="6" t="e">
        <f ca="1">VLOOKUP(CONCATENATE(LEFT(I$7, 7), "ca", $B31), [0]!data_range, 5, FALSE)</f>
        <v>#REF!</v>
      </c>
      <c r="J31" s="6" t="e">
        <f ca="1">VLOOKUP(CONCATENATE(LEFT(J$7, 7), "ca", $B31), [0]!data_range, 5, FALSE)</f>
        <v>#REF!</v>
      </c>
      <c r="K31" s="6" t="e">
        <f ca="1">VLOOKUP(CONCATENATE(LEFT(K$7, 7), "ca", $B31), [0]!data_range, 5, FALSE)</f>
        <v>#REF!</v>
      </c>
      <c r="L31" s="6" t="e">
        <f ca="1">VLOOKUP(CONCATENATE(LEFT(L$7, 7), "ca", $B31), [0]!data_range, 5, FALSE)</f>
        <v>#REF!</v>
      </c>
    </row>
    <row r="32" spans="2:12" ht="15" customHeight="1" x14ac:dyDescent="0.25">
      <c r="B32" s="64" t="s">
        <v>102</v>
      </c>
      <c r="C32" s="6" t="e">
        <f ca="1">VLOOKUP(CONCATENATE(LEFT(C$7, 7), "ca", $B32), [0]!data_range, 5, FALSE)</f>
        <v>#REF!</v>
      </c>
      <c r="D32" s="6" t="e">
        <f ca="1">VLOOKUP(CONCATENATE(LEFT(D$7, 7), "ca", $B32), [0]!data_range, 5, FALSE)</f>
        <v>#REF!</v>
      </c>
      <c r="E32" s="6" t="e">
        <f ca="1">VLOOKUP(CONCATENATE(LEFT(E$7, 7), "ca", $B32), [0]!data_range, 5, FALSE)</f>
        <v>#REF!</v>
      </c>
      <c r="F32" s="6" t="e">
        <f ca="1">VLOOKUP(CONCATENATE(LEFT(F$7, 7), "ca", $B32), [0]!data_range, 5, FALSE)</f>
        <v>#REF!</v>
      </c>
      <c r="G32" s="6" t="e">
        <f ca="1">VLOOKUP(CONCATENATE(LEFT(G$7, 7), "ca", $B32), [0]!data_range, 5, FALSE)</f>
        <v>#REF!</v>
      </c>
      <c r="H32" s="6" t="e">
        <f ca="1">VLOOKUP(CONCATENATE(LEFT(H$7, 7), "ca", $B32), [0]!data_range, 5, FALSE)</f>
        <v>#REF!</v>
      </c>
      <c r="I32" s="6" t="e">
        <f ca="1">VLOOKUP(CONCATENATE(LEFT(I$7, 7), "ca", $B32), [0]!data_range, 5, FALSE)</f>
        <v>#REF!</v>
      </c>
      <c r="J32" s="6" t="e">
        <f ca="1">VLOOKUP(CONCATENATE(LEFT(J$7, 7), "ca", $B32), [0]!data_range, 5, FALSE)</f>
        <v>#REF!</v>
      </c>
      <c r="K32" s="6" t="e">
        <f ca="1">VLOOKUP(CONCATENATE(LEFT(K$7, 7), "ca", $B32), [0]!data_range, 5, FALSE)</f>
        <v>#REF!</v>
      </c>
      <c r="L32" s="6" t="e">
        <f ca="1">VLOOKUP(CONCATENATE(LEFT(L$7, 7), "ca", $B32), [0]!data_range, 5, FALSE)</f>
        <v>#REF!</v>
      </c>
    </row>
    <row r="33" spans="2:12" ht="15" customHeight="1" x14ac:dyDescent="0.25">
      <c r="B33" s="64" t="s">
        <v>103</v>
      </c>
      <c r="C33" s="6" t="e">
        <f ca="1">VLOOKUP(CONCATENATE(LEFT(C$7, 7), "ca", $B33), [0]!data_range, 5, FALSE)</f>
        <v>#REF!</v>
      </c>
      <c r="D33" s="6" t="e">
        <f ca="1">VLOOKUP(CONCATENATE(LEFT(D$7, 7), "ca", $B33), [0]!data_range, 5, FALSE)</f>
        <v>#REF!</v>
      </c>
      <c r="E33" s="6" t="e">
        <f ca="1">VLOOKUP(CONCATENATE(LEFT(E$7, 7), "ca", $B33), [0]!data_range, 5, FALSE)</f>
        <v>#REF!</v>
      </c>
      <c r="F33" s="6" t="e">
        <f ca="1">VLOOKUP(CONCATENATE(LEFT(F$7, 7), "ca", $B33), [0]!data_range, 5, FALSE)</f>
        <v>#REF!</v>
      </c>
      <c r="G33" s="6" t="e">
        <f ca="1">VLOOKUP(CONCATENATE(LEFT(G$7, 7), "ca", $B33), [0]!data_range, 5, FALSE)</f>
        <v>#REF!</v>
      </c>
      <c r="H33" s="6" t="e">
        <f ca="1">VLOOKUP(CONCATENATE(LEFT(H$7, 7), "ca", $B33), [0]!data_range, 5, FALSE)</f>
        <v>#REF!</v>
      </c>
      <c r="I33" s="6" t="e">
        <f ca="1">VLOOKUP(CONCATENATE(LEFT(I$7, 7), "ca", $B33), [0]!data_range, 5, FALSE)</f>
        <v>#REF!</v>
      </c>
      <c r="J33" s="6" t="e">
        <f ca="1">VLOOKUP(CONCATENATE(LEFT(J$7, 7), "ca", $B33), [0]!data_range, 5, FALSE)</f>
        <v>#REF!</v>
      </c>
      <c r="K33" s="6" t="e">
        <f ca="1">VLOOKUP(CONCATENATE(LEFT(K$7, 7), "ca", $B33), [0]!data_range, 5, FALSE)</f>
        <v>#REF!</v>
      </c>
      <c r="L33" s="6" t="e">
        <f ca="1">VLOOKUP(CONCATENATE(LEFT(L$7, 7), "ca", $B33), [0]!data_range, 5, FALSE)</f>
        <v>#REF!</v>
      </c>
    </row>
    <row r="34" spans="2:12" ht="15" customHeight="1" x14ac:dyDescent="0.25">
      <c r="B34" s="64" t="s">
        <v>104</v>
      </c>
      <c r="C34" s="6" t="e">
        <f ca="1">VLOOKUP(CONCATENATE(LEFT(C$7, 7), "ca", $B34), [0]!data_range, 5, FALSE)</f>
        <v>#REF!</v>
      </c>
      <c r="D34" s="6" t="e">
        <f ca="1">VLOOKUP(CONCATENATE(LEFT(D$7, 7), "ca", $B34), [0]!data_range, 5, FALSE)</f>
        <v>#REF!</v>
      </c>
      <c r="E34" s="6" t="e">
        <f ca="1">VLOOKUP(CONCATENATE(LEFT(E$7, 7), "ca", $B34), [0]!data_range, 5, FALSE)</f>
        <v>#REF!</v>
      </c>
      <c r="F34" s="6" t="e">
        <f ca="1">VLOOKUP(CONCATENATE(LEFT(F$7, 7), "ca", $B34), [0]!data_range, 5, FALSE)</f>
        <v>#REF!</v>
      </c>
      <c r="G34" s="6" t="e">
        <f ca="1">VLOOKUP(CONCATENATE(LEFT(G$7, 7), "ca", $B34), [0]!data_range, 5, FALSE)</f>
        <v>#REF!</v>
      </c>
      <c r="H34" s="6" t="e">
        <f ca="1">VLOOKUP(CONCATENATE(LEFT(H$7, 7), "ca", $B34), [0]!data_range, 5, FALSE)</f>
        <v>#REF!</v>
      </c>
      <c r="I34" s="6" t="e">
        <f ca="1">VLOOKUP(CONCATENATE(LEFT(I$7, 7), "ca", $B34), [0]!data_range, 5, FALSE)</f>
        <v>#REF!</v>
      </c>
      <c r="J34" s="6" t="e">
        <f ca="1">VLOOKUP(CONCATENATE(LEFT(J$7, 7), "ca", $B34), [0]!data_range, 5, FALSE)</f>
        <v>#REF!</v>
      </c>
      <c r="K34" s="6" t="e">
        <f ca="1">VLOOKUP(CONCATENATE(LEFT(K$7, 7), "ca", $B34), [0]!data_range, 5, FALSE)</f>
        <v>#REF!</v>
      </c>
      <c r="L34" s="6" t="e">
        <f ca="1">VLOOKUP(CONCATENATE(LEFT(L$7, 7), "ca", $B34), [0]!data_range, 5, FALSE)</f>
        <v>#REF!</v>
      </c>
    </row>
    <row r="35" spans="2:12" ht="15" customHeight="1" x14ac:dyDescent="0.25">
      <c r="B35" s="64" t="s">
        <v>105</v>
      </c>
      <c r="C35" s="6" t="e">
        <f ca="1">VLOOKUP(CONCATENATE(LEFT(C$7, 7), "ca", $B35), [0]!data_range, 5, FALSE)</f>
        <v>#REF!</v>
      </c>
      <c r="D35" s="6" t="e">
        <f ca="1">VLOOKUP(CONCATENATE(LEFT(D$7, 7), "ca", $B35), [0]!data_range, 5, FALSE)</f>
        <v>#REF!</v>
      </c>
      <c r="E35" s="6" t="e">
        <f ca="1">VLOOKUP(CONCATENATE(LEFT(E$7, 7), "ca", $B35), [0]!data_range, 5, FALSE)</f>
        <v>#REF!</v>
      </c>
      <c r="F35" s="6" t="e">
        <f ca="1">VLOOKUP(CONCATENATE(LEFT(F$7, 7), "ca", $B35), [0]!data_range, 5, FALSE)</f>
        <v>#REF!</v>
      </c>
      <c r="G35" s="6" t="e">
        <f ca="1">VLOOKUP(CONCATENATE(LEFT(G$7, 7), "ca", $B35), [0]!data_range, 5, FALSE)</f>
        <v>#REF!</v>
      </c>
      <c r="H35" s="6" t="e">
        <f ca="1">VLOOKUP(CONCATENATE(LEFT(H$7, 7), "ca", $B35), [0]!data_range, 5, FALSE)</f>
        <v>#REF!</v>
      </c>
      <c r="I35" s="6" t="e">
        <f ca="1">VLOOKUP(CONCATENATE(LEFT(I$7, 7), "ca", $B35), [0]!data_range, 5, FALSE)</f>
        <v>#REF!</v>
      </c>
      <c r="J35" s="6" t="e">
        <f ca="1">VLOOKUP(CONCATENATE(LEFT(J$7, 7), "ca", $B35), [0]!data_range, 5, FALSE)</f>
        <v>#REF!</v>
      </c>
      <c r="K35" s="6" t="e">
        <f ca="1">VLOOKUP(CONCATENATE(LEFT(K$7, 7), "ca", $B35), [0]!data_range, 5, FALSE)</f>
        <v>#REF!</v>
      </c>
      <c r="L35" s="6" t="e">
        <f ca="1">VLOOKUP(CONCATENATE(LEFT(L$7, 7), "ca", $B35), [0]!data_range, 5, FALSE)</f>
        <v>#REF!</v>
      </c>
    </row>
    <row r="36" spans="2:12" ht="15" customHeight="1" x14ac:dyDescent="0.25">
      <c r="B36" s="64" t="s">
        <v>106</v>
      </c>
      <c r="C36" s="6" t="e">
        <f ca="1">VLOOKUP(CONCATENATE(LEFT(C$7, 7), "ca", $B36), [0]!data_range, 5, FALSE)</f>
        <v>#REF!</v>
      </c>
      <c r="D36" s="6" t="e">
        <f ca="1">VLOOKUP(CONCATENATE(LEFT(D$7, 7), "ca", $B36), [0]!data_range, 5, FALSE)</f>
        <v>#REF!</v>
      </c>
      <c r="E36" s="6" t="e">
        <f ca="1">VLOOKUP(CONCATENATE(LEFT(E$7, 7), "ca", $B36), [0]!data_range, 5, FALSE)</f>
        <v>#REF!</v>
      </c>
      <c r="F36" s="6" t="e">
        <f ca="1">VLOOKUP(CONCATENATE(LEFT(F$7, 7), "ca", $B36), [0]!data_range, 5, FALSE)</f>
        <v>#REF!</v>
      </c>
      <c r="G36" s="6" t="e">
        <f ca="1">VLOOKUP(CONCATENATE(LEFT(G$7, 7), "ca", $B36), [0]!data_range, 5, FALSE)</f>
        <v>#REF!</v>
      </c>
      <c r="H36" s="6" t="e">
        <f ca="1">VLOOKUP(CONCATENATE(LEFT(H$7, 7), "ca", $B36), [0]!data_range, 5, FALSE)</f>
        <v>#REF!</v>
      </c>
      <c r="I36" s="6" t="e">
        <f ca="1">VLOOKUP(CONCATENATE(LEFT(I$7, 7), "ca", $B36), [0]!data_range, 5, FALSE)</f>
        <v>#REF!</v>
      </c>
      <c r="J36" s="6" t="e">
        <f ca="1">VLOOKUP(CONCATENATE(LEFT(J$7, 7), "ca", $B36), [0]!data_range, 5, FALSE)</f>
        <v>#REF!</v>
      </c>
      <c r="K36" s="6" t="e">
        <f ca="1">VLOOKUP(CONCATENATE(LEFT(K$7, 7), "ca", $B36), [0]!data_range, 5, FALSE)</f>
        <v>#REF!</v>
      </c>
      <c r="L36" s="6" t="e">
        <f ca="1">VLOOKUP(CONCATENATE(LEFT(L$7, 7), "ca", $B36), [0]!data_range, 5, FALSE)</f>
        <v>#REF!</v>
      </c>
    </row>
    <row r="37" spans="2:12" ht="15" customHeight="1" x14ac:dyDescent="0.25">
      <c r="B37" s="64" t="s">
        <v>142</v>
      </c>
      <c r="C37" s="6" t="e">
        <f ca="1">VLOOKUP(CONCATENATE(LEFT(C$7, 7), "ca", $B37), [0]!data_range, 5, FALSE)</f>
        <v>#REF!</v>
      </c>
      <c r="D37" s="6" t="e">
        <f ca="1">VLOOKUP(CONCATENATE(LEFT(D$7, 7), "ca", $B37), [0]!data_range, 5, FALSE)</f>
        <v>#REF!</v>
      </c>
      <c r="E37" s="6" t="e">
        <f ca="1">VLOOKUP(CONCATENATE(LEFT(E$7, 7), "ca", $B37), [0]!data_range, 5, FALSE)</f>
        <v>#REF!</v>
      </c>
      <c r="F37" s="6" t="e">
        <f ca="1">VLOOKUP(CONCATENATE(LEFT(F$7, 7), "ca", $B37), [0]!data_range, 5, FALSE)</f>
        <v>#REF!</v>
      </c>
      <c r="G37" s="6" t="e">
        <f ca="1">VLOOKUP(CONCATENATE(LEFT(G$7, 7), "ca", $B37), [0]!data_range, 5, FALSE)</f>
        <v>#REF!</v>
      </c>
      <c r="H37" s="6" t="e">
        <f ca="1">VLOOKUP(CONCATENATE(LEFT(H$7, 7), "ca", $B37), [0]!data_range, 5, FALSE)</f>
        <v>#REF!</v>
      </c>
      <c r="I37" s="6" t="e">
        <f ca="1">VLOOKUP(CONCATENATE(LEFT(I$7, 7), "ca", $B37), [0]!data_range, 5, FALSE)</f>
        <v>#REF!</v>
      </c>
      <c r="J37" s="6" t="e">
        <f ca="1">VLOOKUP(CONCATENATE(LEFT(J$7, 7), "ca", $B37), [0]!data_range, 5, FALSE)</f>
        <v>#REF!</v>
      </c>
      <c r="K37" s="6" t="e">
        <f ca="1">VLOOKUP(CONCATENATE(LEFT(K$7, 7), "ca", $B37), [0]!data_range, 5, FALSE)</f>
        <v>#REF!</v>
      </c>
      <c r="L37" s="6" t="e">
        <f ca="1">VLOOKUP(CONCATENATE(LEFT(L$7, 7), "ca", $B37), [0]!data_range, 5, FALSE)</f>
        <v>#REF!</v>
      </c>
    </row>
    <row r="38" spans="2:12" ht="15" customHeight="1" x14ac:dyDescent="0.25">
      <c r="B38" s="64" t="s">
        <v>107</v>
      </c>
      <c r="C38" s="6" t="e">
        <f ca="1">VLOOKUP(CONCATENATE(LEFT(C$7, 7), "ca", $B38), [0]!data_range, 5, FALSE)</f>
        <v>#REF!</v>
      </c>
      <c r="D38" s="6" t="e">
        <f ca="1">VLOOKUP(CONCATENATE(LEFT(D$7, 7), "ca", $B38), [0]!data_range, 5, FALSE)</f>
        <v>#REF!</v>
      </c>
      <c r="E38" s="6" t="e">
        <f ca="1">VLOOKUP(CONCATENATE(LEFT(E$7, 7), "ca", $B38), [0]!data_range, 5, FALSE)</f>
        <v>#REF!</v>
      </c>
      <c r="F38" s="6" t="e">
        <f ca="1">VLOOKUP(CONCATENATE(LEFT(F$7, 7), "ca", $B38), [0]!data_range, 5, FALSE)</f>
        <v>#REF!</v>
      </c>
      <c r="G38" s="6" t="e">
        <f ca="1">VLOOKUP(CONCATENATE(LEFT(G$7, 7), "ca", $B38), [0]!data_range, 5, FALSE)</f>
        <v>#REF!</v>
      </c>
      <c r="H38" s="6" t="e">
        <f ca="1">VLOOKUP(CONCATENATE(LEFT(H$7, 7), "ca", $B38), [0]!data_range, 5, FALSE)</f>
        <v>#REF!</v>
      </c>
      <c r="I38" s="6" t="e">
        <f ca="1">VLOOKUP(CONCATENATE(LEFT(I$7, 7), "ca", $B38), [0]!data_range, 5, FALSE)</f>
        <v>#REF!</v>
      </c>
      <c r="J38" s="6" t="e">
        <f ca="1">VLOOKUP(CONCATENATE(LEFT(J$7, 7), "ca", $B38), [0]!data_range, 5, FALSE)</f>
        <v>#REF!</v>
      </c>
      <c r="K38" s="6" t="e">
        <f ca="1">VLOOKUP(CONCATENATE(LEFT(K$7, 7), "ca", $B38), [0]!data_range, 5, FALSE)</f>
        <v>#REF!</v>
      </c>
      <c r="L38" s="6" t="e">
        <f ca="1">VLOOKUP(CONCATENATE(LEFT(L$7, 7), "ca", $B38), [0]!data_range, 5, FALSE)</f>
        <v>#REF!</v>
      </c>
    </row>
    <row r="39" spans="2:12" ht="15" customHeight="1" x14ac:dyDescent="0.25">
      <c r="B39" s="64" t="s">
        <v>108</v>
      </c>
      <c r="C39" s="6" t="e">
        <f ca="1">VLOOKUP(CONCATENATE(LEFT(C$7, 7), "ca", $B39), [0]!data_range, 5, FALSE)</f>
        <v>#REF!</v>
      </c>
      <c r="D39" s="6" t="e">
        <f ca="1">VLOOKUP(CONCATENATE(LEFT(D$7, 7), "ca", $B39), [0]!data_range, 5, FALSE)</f>
        <v>#REF!</v>
      </c>
      <c r="E39" s="6" t="e">
        <f ca="1">VLOOKUP(CONCATENATE(LEFT(E$7, 7), "ca", $B39), [0]!data_range, 5, FALSE)</f>
        <v>#REF!</v>
      </c>
      <c r="F39" s="6" t="e">
        <f ca="1">VLOOKUP(CONCATENATE(LEFT(F$7, 7), "ca", $B39), [0]!data_range, 5, FALSE)</f>
        <v>#REF!</v>
      </c>
      <c r="G39" s="6" t="e">
        <f ca="1">VLOOKUP(CONCATENATE(LEFT(G$7, 7), "ca", $B39), [0]!data_range, 5, FALSE)</f>
        <v>#REF!</v>
      </c>
      <c r="H39" s="6" t="e">
        <f ca="1">VLOOKUP(CONCATENATE(LEFT(H$7, 7), "ca", $B39), [0]!data_range, 5, FALSE)</f>
        <v>#REF!</v>
      </c>
      <c r="I39" s="6" t="e">
        <f ca="1">VLOOKUP(CONCATENATE(LEFT(I$7, 7), "ca", $B39), [0]!data_range, 5, FALSE)</f>
        <v>#REF!</v>
      </c>
      <c r="J39" s="6" t="e">
        <f ca="1">VLOOKUP(CONCATENATE(LEFT(J$7, 7), "ca", $B39), [0]!data_range, 5, FALSE)</f>
        <v>#REF!</v>
      </c>
      <c r="K39" s="6" t="e">
        <f ca="1">VLOOKUP(CONCATENATE(LEFT(K$7, 7), "ca", $B39), [0]!data_range, 5, FALSE)</f>
        <v>#REF!</v>
      </c>
      <c r="L39" s="6" t="e">
        <f ca="1">VLOOKUP(CONCATENATE(LEFT(L$7, 7), "ca", $B39), [0]!data_range, 5, FALSE)</f>
        <v>#REF!</v>
      </c>
    </row>
    <row r="40" spans="2:12" ht="15" customHeight="1" x14ac:dyDescent="0.25">
      <c r="B40" s="10" t="s">
        <v>11</v>
      </c>
      <c r="C40" s="23" t="e">
        <f ca="1">VLOOKUP(CONCATENATE(LEFT(C$7, 7), "Scotland", $B40), [0]!data_range, 5, FALSE)</f>
        <v>#REF!</v>
      </c>
      <c r="D40" s="23" t="e">
        <f ca="1">VLOOKUP(CONCATENATE(LEFT(D$7, 7), "Scotland", $B40), [0]!data_range, 5, FALSE)</f>
        <v>#REF!</v>
      </c>
      <c r="E40" s="23" t="e">
        <f ca="1">VLOOKUP(CONCATENATE(LEFT(E$7, 7), "Scotland", $B40), [0]!data_range, 5, FALSE)</f>
        <v>#REF!</v>
      </c>
      <c r="F40" s="23" t="e">
        <f ca="1">VLOOKUP(CONCATENATE(LEFT(F$7, 7), "Scotland", $B40), [0]!data_range, 5, FALSE)</f>
        <v>#REF!</v>
      </c>
      <c r="G40" s="23" t="e">
        <f ca="1">VLOOKUP(CONCATENATE(LEFT(G$7, 7), "Scotland", $B40), [0]!data_range, 5, FALSE)</f>
        <v>#REF!</v>
      </c>
      <c r="H40" s="23" t="e">
        <f ca="1">VLOOKUP(CONCATENATE(LEFT(H$7, 7), "Scotland", $B40), [0]!data_range, 5, FALSE)</f>
        <v>#REF!</v>
      </c>
      <c r="I40" s="23" t="e">
        <f ca="1">VLOOKUP(CONCATENATE(LEFT(I$7, 7), "Scotland", $B40), [0]!data_range, 5, FALSE)</f>
        <v>#REF!</v>
      </c>
      <c r="J40" s="23" t="e">
        <f ca="1">VLOOKUP(CONCATENATE(LEFT(J$7, 7), "Scotland", $B40), [0]!data_range, 5, FALSE)</f>
        <v>#REF!</v>
      </c>
      <c r="K40" s="23" t="e">
        <f ca="1">VLOOKUP(CONCATENATE(LEFT(K$7, 7), "Scotland", $B40), [0]!data_range, 5, FALSE)</f>
        <v>#REF!</v>
      </c>
      <c r="L40" s="23" t="e">
        <f ca="1">VLOOKUP(CONCATENATE(LEFT(L$7, 7), "Scotland", $B40), [0]!data_range, 5, FALSE)</f>
        <v>#REF!</v>
      </c>
    </row>
    <row r="41" spans="2:12" ht="15" customHeight="1" x14ac:dyDescent="0.25">
      <c r="C41" s="6"/>
      <c r="J41" s="64"/>
      <c r="K41" s="64"/>
    </row>
    <row r="42" spans="2:12" ht="15" customHeight="1" x14ac:dyDescent="0.25">
      <c r="B42" s="66" t="s">
        <v>14</v>
      </c>
      <c r="J42" s="64"/>
      <c r="K42" s="64"/>
    </row>
    <row r="43" spans="2:12" ht="15" customHeight="1" x14ac:dyDescent="0.25">
      <c r="J43" s="64"/>
      <c r="K43" s="64"/>
    </row>
    <row r="44" spans="2:12" ht="15" customHeight="1" x14ac:dyDescent="0.25">
      <c r="B44" s="5" t="s">
        <v>208</v>
      </c>
      <c r="J44" s="64"/>
      <c r="K44" s="64"/>
    </row>
    <row r="45" spans="2:12" ht="15" customHeight="1" x14ac:dyDescent="0.25">
      <c r="B45" s="5" t="s">
        <v>200</v>
      </c>
      <c r="J45" s="64"/>
      <c r="K45" s="64"/>
    </row>
    <row r="46" spans="2:12" ht="15" customHeight="1" x14ac:dyDescent="0.25">
      <c r="B46" s="30" t="e">
        <f ca="1" xml:space="preserve"> "p. " &amp; calculation!$E$14</f>
        <v>#REF!</v>
      </c>
      <c r="J46" s="64"/>
      <c r="K46" s="64"/>
    </row>
    <row r="47" spans="2:12" ht="15" customHeight="1" x14ac:dyDescent="0.25">
      <c r="B47" s="5" t="str">
        <f>"1. " &amp; calculation!E17</f>
        <v>1. Figures in 2020/21 and 2021/22 are likely to have been affected by the impact of COVID-19 on hospital stays.</v>
      </c>
      <c r="J47" s="64"/>
      <c r="K47" s="64"/>
    </row>
    <row r="48" spans="2:12" ht="15" customHeight="1" x14ac:dyDescent="0.25">
      <c r="J48" s="64"/>
      <c r="K48" s="64"/>
    </row>
    <row r="49" spans="10:11" ht="15" customHeight="1" x14ac:dyDescent="0.25">
      <c r="J49" s="64"/>
      <c r="K49" s="64"/>
    </row>
    <row r="50" spans="10:11" ht="15" customHeight="1" x14ac:dyDescent="0.25">
      <c r="J50" s="64"/>
      <c r="K50" s="64"/>
    </row>
    <row r="51" spans="10:11" ht="15" customHeight="1" x14ac:dyDescent="0.25">
      <c r="J51" s="64"/>
      <c r="K51" s="64"/>
    </row>
    <row r="52" spans="10:11" ht="15" customHeight="1" x14ac:dyDescent="0.25">
      <c r="J52" s="64"/>
      <c r="K52" s="64"/>
    </row>
    <row r="53" spans="10:11" ht="15" customHeight="1" x14ac:dyDescent="0.25">
      <c r="J53" s="64"/>
      <c r="K53" s="64"/>
    </row>
    <row r="54" spans="10:11" ht="15" customHeight="1" x14ac:dyDescent="0.25">
      <c r="J54" s="64"/>
      <c r="K54" s="64"/>
    </row>
    <row r="55" spans="10:11" ht="15" customHeight="1" x14ac:dyDescent="0.25">
      <c r="J55" s="64"/>
      <c r="K55" s="64"/>
    </row>
    <row r="56" spans="10:11" ht="15" customHeight="1" x14ac:dyDescent="0.25">
      <c r="J56" s="64"/>
      <c r="K56" s="64"/>
    </row>
    <row r="57" spans="10:11" ht="15" customHeight="1" x14ac:dyDescent="0.25">
      <c r="J57" s="64"/>
      <c r="K57" s="64"/>
    </row>
    <row r="58" spans="10:11" ht="15" customHeight="1" x14ac:dyDescent="0.25">
      <c r="J58" s="64"/>
      <c r="K58" s="64"/>
    </row>
    <row r="59" spans="10:11" ht="15" customHeight="1" x14ac:dyDescent="0.25">
      <c r="J59" s="64"/>
      <c r="K59" s="64"/>
    </row>
    <row r="60" spans="10:11" ht="15" customHeight="1" x14ac:dyDescent="0.25">
      <c r="J60" s="64"/>
      <c r="K60" s="64"/>
    </row>
    <row r="61" spans="10:11" ht="15" customHeight="1" x14ac:dyDescent="0.25">
      <c r="J61" s="64"/>
      <c r="K61" s="64"/>
    </row>
    <row r="62" spans="10:11" ht="15" customHeight="1" x14ac:dyDescent="0.25">
      <c r="J62" s="64"/>
      <c r="K62" s="64"/>
    </row>
    <row r="63" spans="10:11" ht="15" customHeight="1" x14ac:dyDescent="0.25">
      <c r="J63" s="64"/>
      <c r="K63" s="64"/>
    </row>
    <row r="64" spans="10:11" ht="15" customHeight="1" x14ac:dyDescent="0.25">
      <c r="J64" s="64"/>
      <c r="K64" s="64"/>
    </row>
    <row r="65" spans="10:11" ht="15" customHeight="1" x14ac:dyDescent="0.25">
      <c r="J65" s="64"/>
      <c r="K65" s="64"/>
    </row>
    <row r="66" spans="10:11" ht="15" customHeight="1" x14ac:dyDescent="0.25">
      <c r="J66" s="64"/>
      <c r="K66" s="64"/>
    </row>
    <row r="67" spans="10:11" ht="15" customHeight="1" x14ac:dyDescent="0.25">
      <c r="J67" s="64"/>
      <c r="K67" s="64"/>
    </row>
    <row r="68" spans="10:11" ht="15" customHeight="1" x14ac:dyDescent="0.25">
      <c r="J68" s="64"/>
      <c r="K68" s="64"/>
    </row>
    <row r="69" spans="10:11" ht="15" customHeight="1" x14ac:dyDescent="0.25">
      <c r="J69" s="64"/>
      <c r="K69" s="64"/>
    </row>
    <row r="70" spans="10:11" ht="15" customHeight="1" x14ac:dyDescent="0.25">
      <c r="J70" s="64"/>
      <c r="K70" s="64"/>
    </row>
    <row r="71" spans="10:11" ht="15" customHeight="1" x14ac:dyDescent="0.25">
      <c r="J71" s="64"/>
      <c r="K71" s="64"/>
    </row>
    <row r="72" spans="10:11" ht="15" customHeight="1" x14ac:dyDescent="0.25">
      <c r="J72" s="64"/>
      <c r="K72" s="64"/>
    </row>
    <row r="73" spans="10:11" ht="15" customHeight="1" x14ac:dyDescent="0.25">
      <c r="J73" s="64"/>
      <c r="K73" s="64"/>
    </row>
    <row r="74" spans="10:11" ht="15" customHeight="1" x14ac:dyDescent="0.25">
      <c r="J74" s="64"/>
      <c r="K74" s="64"/>
    </row>
    <row r="75" spans="10:11" ht="15" customHeight="1" x14ac:dyDescent="0.25">
      <c r="J75" s="64"/>
      <c r="K75" s="64"/>
    </row>
    <row r="76" spans="10:11" ht="15" customHeight="1" x14ac:dyDescent="0.25">
      <c r="J76" s="64"/>
      <c r="K76" s="64"/>
    </row>
    <row r="77" spans="10:11" ht="15" customHeight="1" x14ac:dyDescent="0.25">
      <c r="J77" s="64"/>
      <c r="K77" s="64"/>
    </row>
    <row r="78" spans="10:11" ht="15" customHeight="1" x14ac:dyDescent="0.25">
      <c r="J78" s="64"/>
      <c r="K78" s="64"/>
    </row>
    <row r="79" spans="10:11" ht="15" customHeight="1" x14ac:dyDescent="0.25">
      <c r="J79" s="64"/>
      <c r="K79" s="64"/>
    </row>
    <row r="80" spans="10:11" ht="15" customHeight="1" x14ac:dyDescent="0.25">
      <c r="J80" s="64"/>
      <c r="K80" s="64"/>
    </row>
    <row r="81" spans="10:11" ht="15" customHeight="1" x14ac:dyDescent="0.25">
      <c r="J81" s="64"/>
      <c r="K81" s="64"/>
    </row>
    <row r="82" spans="10:11" ht="15" customHeight="1" x14ac:dyDescent="0.25">
      <c r="J82" s="64"/>
      <c r="K82" s="64"/>
    </row>
    <row r="83" spans="10:11" ht="15" customHeight="1" x14ac:dyDescent="0.25">
      <c r="J83" s="64"/>
      <c r="K83" s="64"/>
    </row>
    <row r="84" spans="10:11" ht="15" customHeight="1" x14ac:dyDescent="0.25">
      <c r="J84" s="64"/>
      <c r="K84" s="64"/>
    </row>
    <row r="85" spans="10:11" ht="15" customHeight="1" x14ac:dyDescent="0.25">
      <c r="J85" s="64"/>
      <c r="K85" s="64"/>
    </row>
    <row r="86" spans="10:11" ht="15" customHeight="1" x14ac:dyDescent="0.25">
      <c r="J86" s="64"/>
      <c r="K86" s="64"/>
    </row>
    <row r="87" spans="10:11" ht="15" customHeight="1" x14ac:dyDescent="0.25">
      <c r="J87" s="64"/>
      <c r="K87" s="64"/>
    </row>
    <row r="88" spans="10:11" ht="15" customHeight="1" x14ac:dyDescent="0.25">
      <c r="J88" s="64"/>
      <c r="K88" s="64"/>
    </row>
    <row r="89" spans="10:11" ht="15" customHeight="1" x14ac:dyDescent="0.25">
      <c r="J89" s="64"/>
      <c r="K89" s="64"/>
    </row>
    <row r="90" spans="10:11" ht="15" customHeight="1" x14ac:dyDescent="0.25">
      <c r="J90" s="64"/>
      <c r="K90" s="64"/>
    </row>
    <row r="91" spans="10:11" ht="15" customHeight="1" x14ac:dyDescent="0.25">
      <c r="J91" s="64"/>
      <c r="K91" s="64"/>
    </row>
    <row r="92" spans="10:11" ht="15" customHeight="1" x14ac:dyDescent="0.25">
      <c r="J92" s="64"/>
      <c r="K92" s="64"/>
    </row>
    <row r="93" spans="10:11" ht="15" customHeight="1" x14ac:dyDescent="0.25">
      <c r="J93" s="64"/>
      <c r="K93" s="64"/>
    </row>
    <row r="94" spans="10:11" ht="15" customHeight="1" x14ac:dyDescent="0.25">
      <c r="J94" s="64"/>
      <c r="K94" s="64"/>
    </row>
    <row r="95" spans="10:11" ht="15" customHeight="1" x14ac:dyDescent="0.25">
      <c r="J95" s="64"/>
      <c r="K95" s="64"/>
    </row>
    <row r="96" spans="10:11" ht="15" customHeight="1" x14ac:dyDescent="0.25">
      <c r="J96" s="64"/>
      <c r="K96" s="64"/>
    </row>
    <row r="97" spans="10:11" ht="15" customHeight="1" x14ac:dyDescent="0.25">
      <c r="J97" s="64"/>
      <c r="K97" s="64"/>
    </row>
    <row r="98" spans="10:11" ht="15" customHeight="1" x14ac:dyDescent="0.25">
      <c r="J98" s="64"/>
      <c r="K98" s="64"/>
    </row>
    <row r="99" spans="10:11" ht="15" customHeight="1" x14ac:dyDescent="0.25">
      <c r="J99" s="64"/>
      <c r="K99" s="64"/>
    </row>
    <row r="100" spans="10:11" ht="15" customHeight="1" x14ac:dyDescent="0.25">
      <c r="J100" s="64"/>
      <c r="K100" s="64"/>
    </row>
    <row r="101" spans="10:11" ht="15" customHeight="1" x14ac:dyDescent="0.25">
      <c r="J101" s="64"/>
      <c r="K101" s="64"/>
    </row>
    <row r="102" spans="10:11" ht="15" customHeight="1" x14ac:dyDescent="0.25">
      <c r="J102" s="64"/>
      <c r="K102" s="64"/>
    </row>
    <row r="103" spans="10:11" ht="15" customHeight="1" x14ac:dyDescent="0.25">
      <c r="J103" s="64"/>
      <c r="K103" s="64"/>
    </row>
    <row r="104" spans="10:11" ht="15" customHeight="1" x14ac:dyDescent="0.25">
      <c r="J104" s="64"/>
      <c r="K104" s="64"/>
    </row>
    <row r="105" spans="10:11" ht="15" customHeight="1" x14ac:dyDescent="0.25">
      <c r="J105" s="64"/>
      <c r="K105" s="64"/>
    </row>
    <row r="106" spans="10:11" ht="15" customHeight="1" x14ac:dyDescent="0.25">
      <c r="J106" s="64"/>
      <c r="K106" s="64"/>
    </row>
    <row r="107" spans="10:11" ht="15" customHeight="1" x14ac:dyDescent="0.25">
      <c r="J107" s="64"/>
      <c r="K107" s="64"/>
    </row>
    <row r="108" spans="10:11" ht="15" customHeight="1" x14ac:dyDescent="0.25">
      <c r="J108" s="64"/>
      <c r="K108" s="64"/>
    </row>
    <row r="109" spans="10:11" ht="15" customHeight="1" x14ac:dyDescent="0.25">
      <c r="J109" s="64"/>
      <c r="K109" s="64"/>
    </row>
    <row r="110" spans="10:11" ht="15" customHeight="1" x14ac:dyDescent="0.25">
      <c r="J110" s="64"/>
      <c r="K110" s="64"/>
    </row>
    <row r="111" spans="10:11" ht="15" customHeight="1" x14ac:dyDescent="0.25">
      <c r="J111" s="64"/>
      <c r="K111" s="64"/>
    </row>
    <row r="112" spans="10:11" ht="15" customHeight="1" x14ac:dyDescent="0.25">
      <c r="J112" s="64"/>
      <c r="K112" s="64"/>
    </row>
    <row r="113" spans="10:11" ht="15" customHeight="1" x14ac:dyDescent="0.25">
      <c r="J113" s="64"/>
      <c r="K113" s="64"/>
    </row>
    <row r="114" spans="10:11" ht="15" customHeight="1" x14ac:dyDescent="0.25">
      <c r="J114" s="64"/>
      <c r="K114" s="64"/>
    </row>
    <row r="115" spans="10:11" ht="15" customHeight="1" x14ac:dyDescent="0.25">
      <c r="J115" s="64"/>
      <c r="K115" s="64"/>
    </row>
    <row r="116" spans="10:11" ht="15" customHeight="1" x14ac:dyDescent="0.25">
      <c r="J116" s="64"/>
      <c r="K116" s="64"/>
    </row>
    <row r="117" spans="10:11" ht="15" customHeight="1" x14ac:dyDescent="0.25">
      <c r="J117" s="64"/>
      <c r="K117" s="64"/>
    </row>
    <row r="118" spans="10:11" ht="15" customHeight="1" x14ac:dyDescent="0.25">
      <c r="J118" s="64"/>
      <c r="K118" s="64"/>
    </row>
    <row r="119" spans="10:11" ht="15" customHeight="1" x14ac:dyDescent="0.25">
      <c r="J119" s="64"/>
      <c r="K119" s="64"/>
    </row>
    <row r="120" spans="10:11" ht="15" customHeight="1" x14ac:dyDescent="0.25">
      <c r="J120" s="64"/>
      <c r="K120" s="64"/>
    </row>
    <row r="121" spans="10:11" ht="15" customHeight="1" x14ac:dyDescent="0.25">
      <c r="J121" s="64"/>
      <c r="K121" s="64"/>
    </row>
    <row r="122" spans="10:11" ht="15" customHeight="1" x14ac:dyDescent="0.25">
      <c r="J122" s="64"/>
      <c r="K122" s="64"/>
    </row>
    <row r="123" spans="10:11" ht="15" customHeight="1" x14ac:dyDescent="0.25">
      <c r="J123" s="64"/>
      <c r="K123" s="64"/>
    </row>
    <row r="124" spans="10:11" ht="15" customHeight="1" x14ac:dyDescent="0.25">
      <c r="J124" s="64"/>
      <c r="K124" s="64"/>
    </row>
    <row r="125" spans="10:11" ht="15" customHeight="1" x14ac:dyDescent="0.25">
      <c r="J125" s="64"/>
      <c r="K125" s="64"/>
    </row>
    <row r="126" spans="10:11" ht="15" customHeight="1" x14ac:dyDescent="0.25">
      <c r="J126" s="64"/>
      <c r="K126" s="64"/>
    </row>
    <row r="127" spans="10:11" ht="15" customHeight="1" x14ac:dyDescent="0.25">
      <c r="J127" s="64"/>
      <c r="K127" s="64"/>
    </row>
    <row r="128" spans="10:11" ht="15" customHeight="1" x14ac:dyDescent="0.25">
      <c r="J128" s="64"/>
      <c r="K128" s="64"/>
    </row>
    <row r="129" spans="10:11" ht="15" customHeight="1" x14ac:dyDescent="0.25">
      <c r="J129" s="64"/>
      <c r="K129" s="64"/>
    </row>
    <row r="130" spans="10:11" ht="15" customHeight="1" x14ac:dyDescent="0.25">
      <c r="J130" s="64"/>
      <c r="K130" s="64"/>
    </row>
    <row r="131" spans="10:11" ht="15" customHeight="1" x14ac:dyDescent="0.25">
      <c r="J131" s="64"/>
      <c r="K131" s="64"/>
    </row>
    <row r="132" spans="10:11" ht="15" customHeight="1" x14ac:dyDescent="0.25">
      <c r="J132" s="64"/>
      <c r="K132" s="64"/>
    </row>
    <row r="133" spans="10:11" ht="15" customHeight="1" x14ac:dyDescent="0.25">
      <c r="J133" s="64"/>
      <c r="K133" s="64"/>
    </row>
    <row r="134" spans="10:11" ht="15" customHeight="1" x14ac:dyDescent="0.25">
      <c r="J134" s="64"/>
      <c r="K134" s="64"/>
    </row>
    <row r="135" spans="10:11" ht="15" customHeight="1" x14ac:dyDescent="0.25">
      <c r="J135" s="64"/>
      <c r="K135" s="64"/>
    </row>
    <row r="136" spans="10:11" ht="15" customHeight="1" x14ac:dyDescent="0.25">
      <c r="J136" s="64"/>
      <c r="K136" s="64"/>
    </row>
    <row r="137" spans="10:11" ht="15" customHeight="1" x14ac:dyDescent="0.25">
      <c r="J137" s="64"/>
      <c r="K137" s="64"/>
    </row>
    <row r="138" spans="10:11" ht="15" customHeight="1" x14ac:dyDescent="0.25">
      <c r="J138" s="64"/>
      <c r="K138" s="64"/>
    </row>
    <row r="139" spans="10:11" ht="15" customHeight="1" x14ac:dyDescent="0.25">
      <c r="J139" s="64"/>
      <c r="K139" s="64"/>
    </row>
    <row r="140" spans="10:11" ht="15" customHeight="1" x14ac:dyDescent="0.25">
      <c r="J140" s="64"/>
      <c r="K140" s="64"/>
    </row>
    <row r="141" spans="10:11" ht="15" customHeight="1" x14ac:dyDescent="0.25">
      <c r="J141" s="64"/>
      <c r="K141" s="64"/>
    </row>
    <row r="142" spans="10:11" ht="15" customHeight="1" x14ac:dyDescent="0.25">
      <c r="J142" s="64"/>
      <c r="K142" s="64"/>
    </row>
    <row r="143" spans="10:11" ht="15" customHeight="1" x14ac:dyDescent="0.25">
      <c r="J143" s="64"/>
      <c r="K143" s="64"/>
    </row>
    <row r="144" spans="10:11" ht="15" customHeight="1" x14ac:dyDescent="0.25">
      <c r="J144" s="64"/>
      <c r="K144" s="64"/>
    </row>
    <row r="145" spans="10:11" ht="15" customHeight="1" x14ac:dyDescent="0.25">
      <c r="J145" s="64"/>
      <c r="K145" s="64"/>
    </row>
    <row r="146" spans="10:11" ht="15" customHeight="1" x14ac:dyDescent="0.25">
      <c r="J146" s="64"/>
      <c r="K146" s="64"/>
    </row>
    <row r="147" spans="10:11" ht="15" customHeight="1" x14ac:dyDescent="0.25">
      <c r="J147" s="64"/>
      <c r="K147" s="64"/>
    </row>
    <row r="148" spans="10:11" ht="15" customHeight="1" x14ac:dyDescent="0.25">
      <c r="J148" s="64"/>
      <c r="K148" s="64"/>
    </row>
    <row r="149" spans="10:11" ht="15" customHeight="1" x14ac:dyDescent="0.25">
      <c r="J149" s="64"/>
      <c r="K149" s="64"/>
    </row>
    <row r="150" spans="10:11" ht="15" customHeight="1" x14ac:dyDescent="0.25">
      <c r="J150" s="64"/>
      <c r="K150" s="64"/>
    </row>
    <row r="151" spans="10:11" ht="15" customHeight="1" x14ac:dyDescent="0.25">
      <c r="J151" s="64"/>
      <c r="K151" s="64"/>
    </row>
    <row r="152" spans="10:11" ht="15" customHeight="1" x14ac:dyDescent="0.25">
      <c r="J152" s="64"/>
      <c r="K152" s="64"/>
    </row>
    <row r="153" spans="10:11" ht="15" customHeight="1" x14ac:dyDescent="0.25">
      <c r="J153" s="64"/>
      <c r="K153" s="64"/>
    </row>
    <row r="154" spans="10:11" ht="15" customHeight="1" x14ac:dyDescent="0.25">
      <c r="J154" s="64"/>
      <c r="K154" s="64"/>
    </row>
    <row r="155" spans="10:11" ht="15" customHeight="1" x14ac:dyDescent="0.25">
      <c r="J155" s="64"/>
      <c r="K155" s="64"/>
    </row>
    <row r="157" spans="10:11" ht="15" customHeight="1" x14ac:dyDescent="0.25">
      <c r="J157" s="64"/>
      <c r="K157" s="64"/>
    </row>
    <row r="158" spans="10:11" ht="15" customHeight="1" x14ac:dyDescent="0.25">
      <c r="J158" s="64"/>
      <c r="K158" s="64"/>
    </row>
    <row r="159" spans="10:11" ht="15" customHeight="1" x14ac:dyDescent="0.25">
      <c r="J159" s="64"/>
      <c r="K159" s="64"/>
    </row>
    <row r="160" spans="10:11" ht="15" customHeight="1" x14ac:dyDescent="0.25">
      <c r="J160" s="64"/>
      <c r="K160" s="64"/>
    </row>
    <row r="161" spans="10:11" ht="15" customHeight="1" x14ac:dyDescent="0.25">
      <c r="J161" s="64"/>
      <c r="K161" s="64"/>
    </row>
    <row r="162" spans="10:11" ht="15" customHeight="1" x14ac:dyDescent="0.25">
      <c r="J162" s="64"/>
      <c r="K162" s="64"/>
    </row>
    <row r="163" spans="10:11" ht="15" customHeight="1" x14ac:dyDescent="0.25">
      <c r="J163" s="64"/>
      <c r="K163" s="64"/>
    </row>
    <row r="164" spans="10:11" ht="15" customHeight="1" x14ac:dyDescent="0.25">
      <c r="J164" s="64"/>
      <c r="K164" s="64"/>
    </row>
    <row r="165" spans="10:11" ht="15" customHeight="1" x14ac:dyDescent="0.25">
      <c r="J165" s="64"/>
      <c r="K165" s="64"/>
    </row>
    <row r="166" spans="10:11" ht="15" customHeight="1" x14ac:dyDescent="0.25">
      <c r="J166" s="64"/>
      <c r="K166" s="64"/>
    </row>
    <row r="167" spans="10:11" ht="15" customHeight="1" x14ac:dyDescent="0.25">
      <c r="J167" s="64"/>
      <c r="K167" s="64"/>
    </row>
    <row r="168" spans="10:11" ht="15" customHeight="1" x14ac:dyDescent="0.25">
      <c r="J168" s="64"/>
      <c r="K168" s="64"/>
    </row>
    <row r="169" spans="10:11" ht="15" customHeight="1" x14ac:dyDescent="0.25">
      <c r="J169" s="64"/>
      <c r="K169" s="64"/>
    </row>
    <row r="170" spans="10:11" ht="15" customHeight="1" x14ac:dyDescent="0.25">
      <c r="J170" s="64"/>
      <c r="K170" s="64"/>
    </row>
    <row r="171" spans="10:11" ht="15" customHeight="1" x14ac:dyDescent="0.25">
      <c r="J171" s="64"/>
      <c r="K171" s="64"/>
    </row>
    <row r="172" spans="10:11" ht="15" customHeight="1" x14ac:dyDescent="0.25">
      <c r="J172" s="64"/>
      <c r="K172" s="64"/>
    </row>
    <row r="173" spans="10:11" ht="15" customHeight="1" x14ac:dyDescent="0.25">
      <c r="J173" s="64"/>
      <c r="K173" s="64"/>
    </row>
    <row r="174" spans="10:11" ht="15" customHeight="1" x14ac:dyDescent="0.25">
      <c r="J174" s="64"/>
      <c r="K174" s="64"/>
    </row>
    <row r="175" spans="10:11" ht="15" customHeight="1" x14ac:dyDescent="0.25">
      <c r="J175" s="64"/>
      <c r="K175" s="64"/>
    </row>
    <row r="176" spans="10:11" ht="15" customHeight="1" x14ac:dyDescent="0.25">
      <c r="J176" s="64"/>
      <c r="K176" s="64"/>
    </row>
    <row r="177" spans="10:11" ht="15" customHeight="1" x14ac:dyDescent="0.25">
      <c r="J177" s="64"/>
      <c r="K177" s="64"/>
    </row>
    <row r="178" spans="10:11" ht="15" customHeight="1" x14ac:dyDescent="0.25">
      <c r="J178" s="64"/>
      <c r="K178" s="64"/>
    </row>
    <row r="179" spans="10:11" ht="15" customHeight="1" x14ac:dyDescent="0.25">
      <c r="J179" s="64"/>
      <c r="K179" s="64"/>
    </row>
    <row r="180" spans="10:11" ht="15" customHeight="1" x14ac:dyDescent="0.25">
      <c r="J180" s="64"/>
      <c r="K180" s="64"/>
    </row>
    <row r="181" spans="10:11" ht="15" customHeight="1" x14ac:dyDescent="0.25">
      <c r="J181" s="64"/>
      <c r="K181" s="64"/>
    </row>
    <row r="182" spans="10:11" ht="15" customHeight="1" x14ac:dyDescent="0.25">
      <c r="J182" s="64"/>
      <c r="K182" s="64"/>
    </row>
    <row r="183" spans="10:11" ht="15" customHeight="1" x14ac:dyDescent="0.25">
      <c r="J183" s="64"/>
      <c r="K183" s="64"/>
    </row>
    <row r="184" spans="10:11" ht="15" customHeight="1" x14ac:dyDescent="0.25">
      <c r="J184" s="64"/>
      <c r="K184" s="64"/>
    </row>
    <row r="185" spans="10:11" ht="15" customHeight="1" x14ac:dyDescent="0.25">
      <c r="J185" s="64"/>
      <c r="K185" s="64"/>
    </row>
    <row r="186" spans="10:11" ht="15" customHeight="1" x14ac:dyDescent="0.25">
      <c r="J186" s="64"/>
      <c r="K186" s="64"/>
    </row>
    <row r="187" spans="10:11" ht="15" customHeight="1" x14ac:dyDescent="0.25">
      <c r="J187" s="64"/>
      <c r="K187" s="64"/>
    </row>
    <row r="188" spans="10:11" ht="15" customHeight="1" x14ac:dyDescent="0.25">
      <c r="J188" s="64"/>
      <c r="K188" s="64"/>
    </row>
  </sheetData>
  <mergeCells count="1">
    <mergeCell ref="B1:J1"/>
  </mergeCells>
  <hyperlinks>
    <hyperlink ref="B42" location="'External Causes of Deaths'!A1" display="External causes of death excluded from analysis" xr:uid="{00000000-0004-0000-0A00-000000000000}"/>
  </hyperlinks>
  <pageMargins left="0.74803149606299213" right="0.74803149606299213" top="0.98425196850393704" bottom="0.98425196850393704" header="0.51181102362204722" footer="0.51181102362204722"/>
  <pageSetup paperSize="9" scale="63"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2:AM164"/>
  <sheetViews>
    <sheetView showGridLines="0" workbookViewId="0"/>
  </sheetViews>
  <sheetFormatPr defaultRowHeight="15" customHeight="1" x14ac:dyDescent="0.25"/>
  <cols>
    <col min="1" max="1" width="2.33203125" style="77" customWidth="1"/>
    <col min="2" max="2" width="20.109375" style="80" customWidth="1"/>
    <col min="3" max="3" width="92.109375" style="80" customWidth="1"/>
    <col min="4" max="4" width="8.33203125" style="80" customWidth="1"/>
    <col min="5" max="5" width="3.5546875" style="80" customWidth="1"/>
    <col min="6" max="11" width="9.109375" style="80"/>
    <col min="12" max="39" width="9.109375" style="58"/>
    <col min="40" max="256" width="9.109375" style="80"/>
    <col min="257" max="257" width="2.33203125" style="80" customWidth="1"/>
    <col min="258" max="258" width="20.109375" style="80" customWidth="1"/>
    <col min="259" max="259" width="92.109375" style="80" customWidth="1"/>
    <col min="260" max="260" width="8.33203125" style="80" customWidth="1"/>
    <col min="261" max="261" width="3.5546875" style="80" customWidth="1"/>
    <col min="262" max="512" width="9.109375" style="80"/>
    <col min="513" max="513" width="2.33203125" style="80" customWidth="1"/>
    <col min="514" max="514" width="20.109375" style="80" customWidth="1"/>
    <col min="515" max="515" width="92.109375" style="80" customWidth="1"/>
    <col min="516" max="516" width="8.33203125" style="80" customWidth="1"/>
    <col min="517" max="517" width="3.5546875" style="80" customWidth="1"/>
    <col min="518" max="768" width="9.109375" style="80"/>
    <col min="769" max="769" width="2.33203125" style="80" customWidth="1"/>
    <col min="770" max="770" width="20.109375" style="80" customWidth="1"/>
    <col min="771" max="771" width="92.109375" style="80" customWidth="1"/>
    <col min="772" max="772" width="8.33203125" style="80" customWidth="1"/>
    <col min="773" max="773" width="3.5546875" style="80" customWidth="1"/>
    <col min="774" max="1024" width="9.109375" style="80"/>
    <col min="1025" max="1025" width="2.33203125" style="80" customWidth="1"/>
    <col min="1026" max="1026" width="20.109375" style="80" customWidth="1"/>
    <col min="1027" max="1027" width="92.109375" style="80" customWidth="1"/>
    <col min="1028" max="1028" width="8.33203125" style="80" customWidth="1"/>
    <col min="1029" max="1029" width="3.5546875" style="80" customWidth="1"/>
    <col min="1030" max="1280" width="9.109375" style="80"/>
    <col min="1281" max="1281" width="2.33203125" style="80" customWidth="1"/>
    <col min="1282" max="1282" width="20.109375" style="80" customWidth="1"/>
    <col min="1283" max="1283" width="92.109375" style="80" customWidth="1"/>
    <col min="1284" max="1284" width="8.33203125" style="80" customWidth="1"/>
    <col min="1285" max="1285" width="3.5546875" style="80" customWidth="1"/>
    <col min="1286" max="1536" width="9.109375" style="80"/>
    <col min="1537" max="1537" width="2.33203125" style="80" customWidth="1"/>
    <col min="1538" max="1538" width="20.109375" style="80" customWidth="1"/>
    <col min="1539" max="1539" width="92.109375" style="80" customWidth="1"/>
    <col min="1540" max="1540" width="8.33203125" style="80" customWidth="1"/>
    <col min="1541" max="1541" width="3.5546875" style="80" customWidth="1"/>
    <col min="1542" max="1792" width="9.109375" style="80"/>
    <col min="1793" max="1793" width="2.33203125" style="80" customWidth="1"/>
    <col min="1794" max="1794" width="20.109375" style="80" customWidth="1"/>
    <col min="1795" max="1795" width="92.109375" style="80" customWidth="1"/>
    <col min="1796" max="1796" width="8.33203125" style="80" customWidth="1"/>
    <col min="1797" max="1797" width="3.5546875" style="80" customWidth="1"/>
    <col min="1798" max="2048" width="9.109375" style="80"/>
    <col min="2049" max="2049" width="2.33203125" style="80" customWidth="1"/>
    <col min="2050" max="2050" width="20.109375" style="80" customWidth="1"/>
    <col min="2051" max="2051" width="92.109375" style="80" customWidth="1"/>
    <col min="2052" max="2052" width="8.33203125" style="80" customWidth="1"/>
    <col min="2053" max="2053" width="3.5546875" style="80" customWidth="1"/>
    <col min="2054" max="2304" width="9.109375" style="80"/>
    <col min="2305" max="2305" width="2.33203125" style="80" customWidth="1"/>
    <col min="2306" max="2306" width="20.109375" style="80" customWidth="1"/>
    <col min="2307" max="2307" width="92.109375" style="80" customWidth="1"/>
    <col min="2308" max="2308" width="8.33203125" style="80" customWidth="1"/>
    <col min="2309" max="2309" width="3.5546875" style="80" customWidth="1"/>
    <col min="2310" max="2560" width="9.109375" style="80"/>
    <col min="2561" max="2561" width="2.33203125" style="80" customWidth="1"/>
    <col min="2562" max="2562" width="20.109375" style="80" customWidth="1"/>
    <col min="2563" max="2563" width="92.109375" style="80" customWidth="1"/>
    <col min="2564" max="2564" width="8.33203125" style="80" customWidth="1"/>
    <col min="2565" max="2565" width="3.5546875" style="80" customWidth="1"/>
    <col min="2566" max="2816" width="9.109375" style="80"/>
    <col min="2817" max="2817" width="2.33203125" style="80" customWidth="1"/>
    <col min="2818" max="2818" width="20.109375" style="80" customWidth="1"/>
    <col min="2819" max="2819" width="92.109375" style="80" customWidth="1"/>
    <col min="2820" max="2820" width="8.33203125" style="80" customWidth="1"/>
    <col min="2821" max="2821" width="3.5546875" style="80" customWidth="1"/>
    <col min="2822" max="3072" width="9.109375" style="80"/>
    <col min="3073" max="3073" width="2.33203125" style="80" customWidth="1"/>
    <col min="3074" max="3074" width="20.109375" style="80" customWidth="1"/>
    <col min="3075" max="3075" width="92.109375" style="80" customWidth="1"/>
    <col min="3076" max="3076" width="8.33203125" style="80" customWidth="1"/>
    <col min="3077" max="3077" width="3.5546875" style="80" customWidth="1"/>
    <col min="3078" max="3328" width="9.109375" style="80"/>
    <col min="3329" max="3329" width="2.33203125" style="80" customWidth="1"/>
    <col min="3330" max="3330" width="20.109375" style="80" customWidth="1"/>
    <col min="3331" max="3331" width="92.109375" style="80" customWidth="1"/>
    <col min="3332" max="3332" width="8.33203125" style="80" customWidth="1"/>
    <col min="3333" max="3333" width="3.5546875" style="80" customWidth="1"/>
    <col min="3334" max="3584" width="9.109375" style="80"/>
    <col min="3585" max="3585" width="2.33203125" style="80" customWidth="1"/>
    <col min="3586" max="3586" width="20.109375" style="80" customWidth="1"/>
    <col min="3587" max="3587" width="92.109375" style="80" customWidth="1"/>
    <col min="3588" max="3588" width="8.33203125" style="80" customWidth="1"/>
    <col min="3589" max="3589" width="3.5546875" style="80" customWidth="1"/>
    <col min="3590" max="3840" width="9.109375" style="80"/>
    <col min="3841" max="3841" width="2.33203125" style="80" customWidth="1"/>
    <col min="3842" max="3842" width="20.109375" style="80" customWidth="1"/>
    <col min="3843" max="3843" width="92.109375" style="80" customWidth="1"/>
    <col min="3844" max="3844" width="8.33203125" style="80" customWidth="1"/>
    <col min="3845" max="3845" width="3.5546875" style="80" customWidth="1"/>
    <col min="3846" max="4096" width="9.109375" style="80"/>
    <col min="4097" max="4097" width="2.33203125" style="80" customWidth="1"/>
    <col min="4098" max="4098" width="20.109375" style="80" customWidth="1"/>
    <col min="4099" max="4099" width="92.109375" style="80" customWidth="1"/>
    <col min="4100" max="4100" width="8.33203125" style="80" customWidth="1"/>
    <col min="4101" max="4101" width="3.5546875" style="80" customWidth="1"/>
    <col min="4102" max="4352" width="9.109375" style="80"/>
    <col min="4353" max="4353" width="2.33203125" style="80" customWidth="1"/>
    <col min="4354" max="4354" width="20.109375" style="80" customWidth="1"/>
    <col min="4355" max="4355" width="92.109375" style="80" customWidth="1"/>
    <col min="4356" max="4356" width="8.33203125" style="80" customWidth="1"/>
    <col min="4357" max="4357" width="3.5546875" style="80" customWidth="1"/>
    <col min="4358" max="4608" width="9.109375" style="80"/>
    <col min="4609" max="4609" width="2.33203125" style="80" customWidth="1"/>
    <col min="4610" max="4610" width="20.109375" style="80" customWidth="1"/>
    <col min="4611" max="4611" width="92.109375" style="80" customWidth="1"/>
    <col min="4612" max="4612" width="8.33203125" style="80" customWidth="1"/>
    <col min="4613" max="4613" width="3.5546875" style="80" customWidth="1"/>
    <col min="4614" max="4864" width="9.109375" style="80"/>
    <col min="4865" max="4865" width="2.33203125" style="80" customWidth="1"/>
    <col min="4866" max="4866" width="20.109375" style="80" customWidth="1"/>
    <col min="4867" max="4867" width="92.109375" style="80" customWidth="1"/>
    <col min="4868" max="4868" width="8.33203125" style="80" customWidth="1"/>
    <col min="4869" max="4869" width="3.5546875" style="80" customWidth="1"/>
    <col min="4870" max="5120" width="9.109375" style="80"/>
    <col min="5121" max="5121" width="2.33203125" style="80" customWidth="1"/>
    <col min="5122" max="5122" width="20.109375" style="80" customWidth="1"/>
    <col min="5123" max="5123" width="92.109375" style="80" customWidth="1"/>
    <col min="5124" max="5124" width="8.33203125" style="80" customWidth="1"/>
    <col min="5125" max="5125" width="3.5546875" style="80" customWidth="1"/>
    <col min="5126" max="5376" width="9.109375" style="80"/>
    <col min="5377" max="5377" width="2.33203125" style="80" customWidth="1"/>
    <col min="5378" max="5378" width="20.109375" style="80" customWidth="1"/>
    <col min="5379" max="5379" width="92.109375" style="80" customWidth="1"/>
    <col min="5380" max="5380" width="8.33203125" style="80" customWidth="1"/>
    <col min="5381" max="5381" width="3.5546875" style="80" customWidth="1"/>
    <col min="5382" max="5632" width="9.109375" style="80"/>
    <col min="5633" max="5633" width="2.33203125" style="80" customWidth="1"/>
    <col min="5634" max="5634" width="20.109375" style="80" customWidth="1"/>
    <col min="5635" max="5635" width="92.109375" style="80" customWidth="1"/>
    <col min="5636" max="5636" width="8.33203125" style="80" customWidth="1"/>
    <col min="5637" max="5637" width="3.5546875" style="80" customWidth="1"/>
    <col min="5638" max="5888" width="9.109375" style="80"/>
    <col min="5889" max="5889" width="2.33203125" style="80" customWidth="1"/>
    <col min="5890" max="5890" width="20.109375" style="80" customWidth="1"/>
    <col min="5891" max="5891" width="92.109375" style="80" customWidth="1"/>
    <col min="5892" max="5892" width="8.33203125" style="80" customWidth="1"/>
    <col min="5893" max="5893" width="3.5546875" style="80" customWidth="1"/>
    <col min="5894" max="6144" width="9.109375" style="80"/>
    <col min="6145" max="6145" width="2.33203125" style="80" customWidth="1"/>
    <col min="6146" max="6146" width="20.109375" style="80" customWidth="1"/>
    <col min="6147" max="6147" width="92.109375" style="80" customWidth="1"/>
    <col min="6148" max="6148" width="8.33203125" style="80" customWidth="1"/>
    <col min="6149" max="6149" width="3.5546875" style="80" customWidth="1"/>
    <col min="6150" max="6400" width="9.109375" style="80"/>
    <col min="6401" max="6401" width="2.33203125" style="80" customWidth="1"/>
    <col min="6402" max="6402" width="20.109375" style="80" customWidth="1"/>
    <col min="6403" max="6403" width="92.109375" style="80" customWidth="1"/>
    <col min="6404" max="6404" width="8.33203125" style="80" customWidth="1"/>
    <col min="6405" max="6405" width="3.5546875" style="80" customWidth="1"/>
    <col min="6406" max="6656" width="9.109375" style="80"/>
    <col min="6657" max="6657" width="2.33203125" style="80" customWidth="1"/>
    <col min="6658" max="6658" width="20.109375" style="80" customWidth="1"/>
    <col min="6659" max="6659" width="92.109375" style="80" customWidth="1"/>
    <col min="6660" max="6660" width="8.33203125" style="80" customWidth="1"/>
    <col min="6661" max="6661" width="3.5546875" style="80" customWidth="1"/>
    <col min="6662" max="6912" width="9.109375" style="80"/>
    <col min="6913" max="6913" width="2.33203125" style="80" customWidth="1"/>
    <col min="6914" max="6914" width="20.109375" style="80" customWidth="1"/>
    <col min="6915" max="6915" width="92.109375" style="80" customWidth="1"/>
    <col min="6916" max="6916" width="8.33203125" style="80" customWidth="1"/>
    <col min="6917" max="6917" width="3.5546875" style="80" customWidth="1"/>
    <col min="6918" max="7168" width="9.109375" style="80"/>
    <col min="7169" max="7169" width="2.33203125" style="80" customWidth="1"/>
    <col min="7170" max="7170" width="20.109375" style="80" customWidth="1"/>
    <col min="7171" max="7171" width="92.109375" style="80" customWidth="1"/>
    <col min="7172" max="7172" width="8.33203125" style="80" customWidth="1"/>
    <col min="7173" max="7173" width="3.5546875" style="80" customWidth="1"/>
    <col min="7174" max="7424" width="9.109375" style="80"/>
    <col min="7425" max="7425" width="2.33203125" style="80" customWidth="1"/>
    <col min="7426" max="7426" width="20.109375" style="80" customWidth="1"/>
    <col min="7427" max="7427" width="92.109375" style="80" customWidth="1"/>
    <col min="7428" max="7428" width="8.33203125" style="80" customWidth="1"/>
    <col min="7429" max="7429" width="3.5546875" style="80" customWidth="1"/>
    <col min="7430" max="7680" width="9.109375" style="80"/>
    <col min="7681" max="7681" width="2.33203125" style="80" customWidth="1"/>
    <col min="7682" max="7682" width="20.109375" style="80" customWidth="1"/>
    <col min="7683" max="7683" width="92.109375" style="80" customWidth="1"/>
    <col min="7684" max="7684" width="8.33203125" style="80" customWidth="1"/>
    <col min="7685" max="7685" width="3.5546875" style="80" customWidth="1"/>
    <col min="7686" max="7936" width="9.109375" style="80"/>
    <col min="7937" max="7937" width="2.33203125" style="80" customWidth="1"/>
    <col min="7938" max="7938" width="20.109375" style="80" customWidth="1"/>
    <col min="7939" max="7939" width="92.109375" style="80" customWidth="1"/>
    <col min="7940" max="7940" width="8.33203125" style="80" customWidth="1"/>
    <col min="7941" max="7941" width="3.5546875" style="80" customWidth="1"/>
    <col min="7942" max="8192" width="9.109375" style="80"/>
    <col min="8193" max="8193" width="2.33203125" style="80" customWidth="1"/>
    <col min="8194" max="8194" width="20.109375" style="80" customWidth="1"/>
    <col min="8195" max="8195" width="92.109375" style="80" customWidth="1"/>
    <col min="8196" max="8196" width="8.33203125" style="80" customWidth="1"/>
    <col min="8197" max="8197" width="3.5546875" style="80" customWidth="1"/>
    <col min="8198" max="8448" width="9.109375" style="80"/>
    <col min="8449" max="8449" width="2.33203125" style="80" customWidth="1"/>
    <col min="8450" max="8450" width="20.109375" style="80" customWidth="1"/>
    <col min="8451" max="8451" width="92.109375" style="80" customWidth="1"/>
    <col min="8452" max="8452" width="8.33203125" style="80" customWidth="1"/>
    <col min="8453" max="8453" width="3.5546875" style="80" customWidth="1"/>
    <col min="8454" max="8704" width="9.109375" style="80"/>
    <col min="8705" max="8705" width="2.33203125" style="80" customWidth="1"/>
    <col min="8706" max="8706" width="20.109375" style="80" customWidth="1"/>
    <col min="8707" max="8707" width="92.109375" style="80" customWidth="1"/>
    <col min="8708" max="8708" width="8.33203125" style="80" customWidth="1"/>
    <col min="8709" max="8709" width="3.5546875" style="80" customWidth="1"/>
    <col min="8710" max="8960" width="9.109375" style="80"/>
    <col min="8961" max="8961" width="2.33203125" style="80" customWidth="1"/>
    <col min="8962" max="8962" width="20.109375" style="80" customWidth="1"/>
    <col min="8963" max="8963" width="92.109375" style="80" customWidth="1"/>
    <col min="8964" max="8964" width="8.33203125" style="80" customWidth="1"/>
    <col min="8965" max="8965" width="3.5546875" style="80" customWidth="1"/>
    <col min="8966" max="9216" width="9.109375" style="80"/>
    <col min="9217" max="9217" width="2.33203125" style="80" customWidth="1"/>
    <col min="9218" max="9218" width="20.109375" style="80" customWidth="1"/>
    <col min="9219" max="9219" width="92.109375" style="80" customWidth="1"/>
    <col min="9220" max="9220" width="8.33203125" style="80" customWidth="1"/>
    <col min="9221" max="9221" width="3.5546875" style="80" customWidth="1"/>
    <col min="9222" max="9472" width="9.109375" style="80"/>
    <col min="9473" max="9473" width="2.33203125" style="80" customWidth="1"/>
    <col min="9474" max="9474" width="20.109375" style="80" customWidth="1"/>
    <col min="9475" max="9475" width="92.109375" style="80" customWidth="1"/>
    <col min="9476" max="9476" width="8.33203125" style="80" customWidth="1"/>
    <col min="9477" max="9477" width="3.5546875" style="80" customWidth="1"/>
    <col min="9478" max="9728" width="9.109375" style="80"/>
    <col min="9729" max="9729" width="2.33203125" style="80" customWidth="1"/>
    <col min="9730" max="9730" width="20.109375" style="80" customWidth="1"/>
    <col min="9731" max="9731" width="92.109375" style="80" customWidth="1"/>
    <col min="9732" max="9732" width="8.33203125" style="80" customWidth="1"/>
    <col min="9733" max="9733" width="3.5546875" style="80" customWidth="1"/>
    <col min="9734" max="9984" width="9.109375" style="80"/>
    <col min="9985" max="9985" width="2.33203125" style="80" customWidth="1"/>
    <col min="9986" max="9986" width="20.109375" style="80" customWidth="1"/>
    <col min="9987" max="9987" width="92.109375" style="80" customWidth="1"/>
    <col min="9988" max="9988" width="8.33203125" style="80" customWidth="1"/>
    <col min="9989" max="9989" width="3.5546875" style="80" customWidth="1"/>
    <col min="9990" max="10240" width="9.109375" style="80"/>
    <col min="10241" max="10241" width="2.33203125" style="80" customWidth="1"/>
    <col min="10242" max="10242" width="20.109375" style="80" customWidth="1"/>
    <col min="10243" max="10243" width="92.109375" style="80" customWidth="1"/>
    <col min="10244" max="10244" width="8.33203125" style="80" customWidth="1"/>
    <col min="10245" max="10245" width="3.5546875" style="80" customWidth="1"/>
    <col min="10246" max="10496" width="9.109375" style="80"/>
    <col min="10497" max="10497" width="2.33203125" style="80" customWidth="1"/>
    <col min="10498" max="10498" width="20.109375" style="80" customWidth="1"/>
    <col min="10499" max="10499" width="92.109375" style="80" customWidth="1"/>
    <col min="10500" max="10500" width="8.33203125" style="80" customWidth="1"/>
    <col min="10501" max="10501" width="3.5546875" style="80" customWidth="1"/>
    <col min="10502" max="10752" width="9.109375" style="80"/>
    <col min="10753" max="10753" width="2.33203125" style="80" customWidth="1"/>
    <col min="10754" max="10754" width="20.109375" style="80" customWidth="1"/>
    <col min="10755" max="10755" width="92.109375" style="80" customWidth="1"/>
    <col min="10756" max="10756" width="8.33203125" style="80" customWidth="1"/>
    <col min="10757" max="10757" width="3.5546875" style="80" customWidth="1"/>
    <col min="10758" max="11008" width="9.109375" style="80"/>
    <col min="11009" max="11009" width="2.33203125" style="80" customWidth="1"/>
    <col min="11010" max="11010" width="20.109375" style="80" customWidth="1"/>
    <col min="11011" max="11011" width="92.109375" style="80" customWidth="1"/>
    <col min="11012" max="11012" width="8.33203125" style="80" customWidth="1"/>
    <col min="11013" max="11013" width="3.5546875" style="80" customWidth="1"/>
    <col min="11014" max="11264" width="9.109375" style="80"/>
    <col min="11265" max="11265" width="2.33203125" style="80" customWidth="1"/>
    <col min="11266" max="11266" width="20.109375" style="80" customWidth="1"/>
    <col min="11267" max="11267" width="92.109375" style="80" customWidth="1"/>
    <col min="11268" max="11268" width="8.33203125" style="80" customWidth="1"/>
    <col min="11269" max="11269" width="3.5546875" style="80" customWidth="1"/>
    <col min="11270" max="11520" width="9.109375" style="80"/>
    <col min="11521" max="11521" width="2.33203125" style="80" customWidth="1"/>
    <col min="11522" max="11522" width="20.109375" style="80" customWidth="1"/>
    <col min="11523" max="11523" width="92.109375" style="80" customWidth="1"/>
    <col min="11524" max="11524" width="8.33203125" style="80" customWidth="1"/>
    <col min="11525" max="11525" width="3.5546875" style="80" customWidth="1"/>
    <col min="11526" max="11776" width="9.109375" style="80"/>
    <col min="11777" max="11777" width="2.33203125" style="80" customWidth="1"/>
    <col min="11778" max="11778" width="20.109375" style="80" customWidth="1"/>
    <col min="11779" max="11779" width="92.109375" style="80" customWidth="1"/>
    <col min="11780" max="11780" width="8.33203125" style="80" customWidth="1"/>
    <col min="11781" max="11781" width="3.5546875" style="80" customWidth="1"/>
    <col min="11782" max="12032" width="9.109375" style="80"/>
    <col min="12033" max="12033" width="2.33203125" style="80" customWidth="1"/>
    <col min="12034" max="12034" width="20.109375" style="80" customWidth="1"/>
    <col min="12035" max="12035" width="92.109375" style="80" customWidth="1"/>
    <col min="12036" max="12036" width="8.33203125" style="80" customWidth="1"/>
    <col min="12037" max="12037" width="3.5546875" style="80" customWidth="1"/>
    <col min="12038" max="12288" width="9.109375" style="80"/>
    <col min="12289" max="12289" width="2.33203125" style="80" customWidth="1"/>
    <col min="12290" max="12290" width="20.109375" style="80" customWidth="1"/>
    <col min="12291" max="12291" width="92.109375" style="80" customWidth="1"/>
    <col min="12292" max="12292" width="8.33203125" style="80" customWidth="1"/>
    <col min="12293" max="12293" width="3.5546875" style="80" customWidth="1"/>
    <col min="12294" max="12544" width="9.109375" style="80"/>
    <col min="12545" max="12545" width="2.33203125" style="80" customWidth="1"/>
    <col min="12546" max="12546" width="20.109375" style="80" customWidth="1"/>
    <col min="12547" max="12547" width="92.109375" style="80" customWidth="1"/>
    <col min="12548" max="12548" width="8.33203125" style="80" customWidth="1"/>
    <col min="12549" max="12549" width="3.5546875" style="80" customWidth="1"/>
    <col min="12550" max="12800" width="9.109375" style="80"/>
    <col min="12801" max="12801" width="2.33203125" style="80" customWidth="1"/>
    <col min="12802" max="12802" width="20.109375" style="80" customWidth="1"/>
    <col min="12803" max="12803" width="92.109375" style="80" customWidth="1"/>
    <col min="12804" max="12804" width="8.33203125" style="80" customWidth="1"/>
    <col min="12805" max="12805" width="3.5546875" style="80" customWidth="1"/>
    <col min="12806" max="13056" width="9.109375" style="80"/>
    <col min="13057" max="13057" width="2.33203125" style="80" customWidth="1"/>
    <col min="13058" max="13058" width="20.109375" style="80" customWidth="1"/>
    <col min="13059" max="13059" width="92.109375" style="80" customWidth="1"/>
    <col min="13060" max="13060" width="8.33203125" style="80" customWidth="1"/>
    <col min="13061" max="13061" width="3.5546875" style="80" customWidth="1"/>
    <col min="13062" max="13312" width="9.109375" style="80"/>
    <col min="13313" max="13313" width="2.33203125" style="80" customWidth="1"/>
    <col min="13314" max="13314" width="20.109375" style="80" customWidth="1"/>
    <col min="13315" max="13315" width="92.109375" style="80" customWidth="1"/>
    <col min="13316" max="13316" width="8.33203125" style="80" customWidth="1"/>
    <col min="13317" max="13317" width="3.5546875" style="80" customWidth="1"/>
    <col min="13318" max="13568" width="9.109375" style="80"/>
    <col min="13569" max="13569" width="2.33203125" style="80" customWidth="1"/>
    <col min="13570" max="13570" width="20.109375" style="80" customWidth="1"/>
    <col min="13571" max="13571" width="92.109375" style="80" customWidth="1"/>
    <col min="13572" max="13572" width="8.33203125" style="80" customWidth="1"/>
    <col min="13573" max="13573" width="3.5546875" style="80" customWidth="1"/>
    <col min="13574" max="13824" width="9.109375" style="80"/>
    <col min="13825" max="13825" width="2.33203125" style="80" customWidth="1"/>
    <col min="13826" max="13826" width="20.109375" style="80" customWidth="1"/>
    <col min="13827" max="13827" width="92.109375" style="80" customWidth="1"/>
    <col min="13828" max="13828" width="8.33203125" style="80" customWidth="1"/>
    <col min="13829" max="13829" width="3.5546875" style="80" customWidth="1"/>
    <col min="13830" max="14080" width="9.109375" style="80"/>
    <col min="14081" max="14081" width="2.33203125" style="80" customWidth="1"/>
    <col min="14082" max="14082" width="20.109375" style="80" customWidth="1"/>
    <col min="14083" max="14083" width="92.109375" style="80" customWidth="1"/>
    <col min="14084" max="14084" width="8.33203125" style="80" customWidth="1"/>
    <col min="14085" max="14085" width="3.5546875" style="80" customWidth="1"/>
    <col min="14086" max="14336" width="9.109375" style="80"/>
    <col min="14337" max="14337" width="2.33203125" style="80" customWidth="1"/>
    <col min="14338" max="14338" width="20.109375" style="80" customWidth="1"/>
    <col min="14339" max="14339" width="92.109375" style="80" customWidth="1"/>
    <col min="14340" max="14340" width="8.33203125" style="80" customWidth="1"/>
    <col min="14341" max="14341" width="3.5546875" style="80" customWidth="1"/>
    <col min="14342" max="14592" width="9.109375" style="80"/>
    <col min="14593" max="14593" width="2.33203125" style="80" customWidth="1"/>
    <col min="14594" max="14594" width="20.109375" style="80" customWidth="1"/>
    <col min="14595" max="14595" width="92.109375" style="80" customWidth="1"/>
    <col min="14596" max="14596" width="8.33203125" style="80" customWidth="1"/>
    <col min="14597" max="14597" width="3.5546875" style="80" customWidth="1"/>
    <col min="14598" max="14848" width="9.109375" style="80"/>
    <col min="14849" max="14849" width="2.33203125" style="80" customWidth="1"/>
    <col min="14850" max="14850" width="20.109375" style="80" customWidth="1"/>
    <col min="14851" max="14851" width="92.109375" style="80" customWidth="1"/>
    <col min="14852" max="14852" width="8.33203125" style="80" customWidth="1"/>
    <col min="14853" max="14853" width="3.5546875" style="80" customWidth="1"/>
    <col min="14854" max="15104" width="9.109375" style="80"/>
    <col min="15105" max="15105" width="2.33203125" style="80" customWidth="1"/>
    <col min="15106" max="15106" width="20.109375" style="80" customWidth="1"/>
    <col min="15107" max="15107" width="92.109375" style="80" customWidth="1"/>
    <col min="15108" max="15108" width="8.33203125" style="80" customWidth="1"/>
    <col min="15109" max="15109" width="3.5546875" style="80" customWidth="1"/>
    <col min="15110" max="15360" width="9.109375" style="80"/>
    <col min="15361" max="15361" width="2.33203125" style="80" customWidth="1"/>
    <col min="15362" max="15362" width="20.109375" style="80" customWidth="1"/>
    <col min="15363" max="15363" width="92.109375" style="80" customWidth="1"/>
    <col min="15364" max="15364" width="8.33203125" style="80" customWidth="1"/>
    <col min="15365" max="15365" width="3.5546875" style="80" customWidth="1"/>
    <col min="15366" max="15616" width="9.109375" style="80"/>
    <col min="15617" max="15617" width="2.33203125" style="80" customWidth="1"/>
    <col min="15618" max="15618" width="20.109375" style="80" customWidth="1"/>
    <col min="15619" max="15619" width="92.109375" style="80" customWidth="1"/>
    <col min="15620" max="15620" width="8.33203125" style="80" customWidth="1"/>
    <col min="15621" max="15621" width="3.5546875" style="80" customWidth="1"/>
    <col min="15622" max="15872" width="9.109375" style="80"/>
    <col min="15873" max="15873" width="2.33203125" style="80" customWidth="1"/>
    <col min="15874" max="15874" width="20.109375" style="80" customWidth="1"/>
    <col min="15875" max="15875" width="92.109375" style="80" customWidth="1"/>
    <col min="15876" max="15876" width="8.33203125" style="80" customWidth="1"/>
    <col min="15877" max="15877" width="3.5546875" style="80" customWidth="1"/>
    <col min="15878" max="16128" width="9.109375" style="80"/>
    <col min="16129" max="16129" width="2.33203125" style="80" customWidth="1"/>
    <col min="16130" max="16130" width="20.109375" style="80" customWidth="1"/>
    <col min="16131" max="16131" width="92.109375" style="80" customWidth="1"/>
    <col min="16132" max="16132" width="8.33203125" style="80" customWidth="1"/>
    <col min="16133" max="16133" width="3.5546875" style="80" customWidth="1"/>
    <col min="16134" max="16384" width="9.109375" style="80"/>
  </cols>
  <sheetData>
    <row r="2" spans="1:3" s="58" customFormat="1" ht="15.6" x14ac:dyDescent="0.3">
      <c r="A2" s="77"/>
      <c r="B2" s="87" t="s">
        <v>14</v>
      </c>
    </row>
    <row r="3" spans="1:3" s="58" customFormat="1" ht="15" customHeight="1" x14ac:dyDescent="0.25">
      <c r="A3" s="77"/>
    </row>
    <row r="4" spans="1:3" s="58" customFormat="1" ht="15" customHeight="1" x14ac:dyDescent="0.25">
      <c r="A4" s="77"/>
      <c r="B4" s="56" t="s">
        <v>15</v>
      </c>
      <c r="C4" s="56" t="s">
        <v>16</v>
      </c>
    </row>
    <row r="5" spans="1:3" s="58" customFormat="1" ht="15" customHeight="1" x14ac:dyDescent="0.25">
      <c r="A5" s="77"/>
      <c r="B5" s="57"/>
    </row>
    <row r="6" spans="1:3" s="58" customFormat="1" ht="15" customHeight="1" x14ac:dyDescent="0.25">
      <c r="A6" s="77"/>
      <c r="B6" s="59" t="s">
        <v>17</v>
      </c>
    </row>
    <row r="7" spans="1:3" s="58" customFormat="1" ht="15" customHeight="1" x14ac:dyDescent="0.25">
      <c r="A7" s="77"/>
      <c r="B7" s="60" t="s">
        <v>18</v>
      </c>
      <c r="C7" s="61" t="s">
        <v>19</v>
      </c>
    </row>
    <row r="8" spans="1:3" s="58" customFormat="1" ht="15" customHeight="1" x14ac:dyDescent="0.25">
      <c r="A8" s="77"/>
      <c r="B8" s="60" t="s">
        <v>20</v>
      </c>
      <c r="C8" s="61" t="s">
        <v>21</v>
      </c>
    </row>
    <row r="9" spans="1:3" s="58" customFormat="1" ht="15" customHeight="1" x14ac:dyDescent="0.25">
      <c r="A9" s="77"/>
      <c r="B9" s="60" t="s">
        <v>22</v>
      </c>
      <c r="C9" s="61" t="s">
        <v>23</v>
      </c>
    </row>
    <row r="10" spans="1:3" s="58" customFormat="1" ht="15" customHeight="1" x14ac:dyDescent="0.25">
      <c r="A10" s="77"/>
      <c r="B10" s="60" t="s">
        <v>24</v>
      </c>
      <c r="C10" s="61" t="s">
        <v>25</v>
      </c>
    </row>
    <row r="11" spans="1:3" s="58" customFormat="1" ht="15" customHeight="1" x14ac:dyDescent="0.25">
      <c r="A11" s="77"/>
      <c r="B11" s="60" t="s">
        <v>26</v>
      </c>
      <c r="C11" s="61" t="s">
        <v>27</v>
      </c>
    </row>
    <row r="12" spans="1:3" s="58" customFormat="1" ht="15" customHeight="1" x14ac:dyDescent="0.25">
      <c r="A12" s="77"/>
      <c r="B12" s="60" t="s">
        <v>28</v>
      </c>
      <c r="C12" s="61" t="s">
        <v>29</v>
      </c>
    </row>
    <row r="13" spans="1:3" s="58" customFormat="1" ht="15" customHeight="1" x14ac:dyDescent="0.25">
      <c r="A13" s="77"/>
      <c r="B13" s="60" t="s">
        <v>30</v>
      </c>
      <c r="C13" s="61" t="s">
        <v>31</v>
      </c>
    </row>
    <row r="14" spans="1:3" s="58" customFormat="1" ht="15" customHeight="1" x14ac:dyDescent="0.25">
      <c r="A14" s="77"/>
      <c r="B14" s="60" t="s">
        <v>32</v>
      </c>
      <c r="C14" s="61" t="s">
        <v>33</v>
      </c>
    </row>
    <row r="15" spans="1:3" s="58" customFormat="1" ht="15" customHeight="1" x14ac:dyDescent="0.25">
      <c r="A15" s="77"/>
      <c r="B15" s="60" t="s">
        <v>34</v>
      </c>
      <c r="C15" s="61" t="s">
        <v>35</v>
      </c>
    </row>
    <row r="16" spans="1:3" s="58" customFormat="1" ht="15" customHeight="1" x14ac:dyDescent="0.25">
      <c r="A16" s="77"/>
      <c r="B16" s="60" t="s">
        <v>36</v>
      </c>
      <c r="C16" s="61" t="s">
        <v>37</v>
      </c>
    </row>
    <row r="17" spans="1:3" s="58" customFormat="1" ht="15" customHeight="1" x14ac:dyDescent="0.25">
      <c r="A17" s="77"/>
      <c r="B17" s="60" t="s">
        <v>38</v>
      </c>
      <c r="C17" s="61" t="s">
        <v>39</v>
      </c>
    </row>
    <row r="18" spans="1:3" s="58" customFormat="1" ht="15" customHeight="1" x14ac:dyDescent="0.25">
      <c r="A18" s="77"/>
      <c r="B18" s="60" t="s">
        <v>40</v>
      </c>
      <c r="C18" s="61" t="s">
        <v>41</v>
      </c>
    </row>
    <row r="19" spans="1:3" s="58" customFormat="1" ht="15" customHeight="1" x14ac:dyDescent="0.25">
      <c r="A19" s="77"/>
    </row>
    <row r="20" spans="1:3" s="58" customFormat="1" ht="15" customHeight="1" x14ac:dyDescent="0.25">
      <c r="A20" s="77"/>
      <c r="B20" s="101" t="s">
        <v>42</v>
      </c>
      <c r="C20" s="101"/>
    </row>
    <row r="21" spans="1:3" s="58" customFormat="1" ht="15" customHeight="1" x14ac:dyDescent="0.25">
      <c r="A21" s="77"/>
      <c r="B21" s="60" t="s">
        <v>43</v>
      </c>
      <c r="C21" s="61" t="s">
        <v>44</v>
      </c>
    </row>
    <row r="22" spans="1:3" s="58" customFormat="1" ht="15" customHeight="1" x14ac:dyDescent="0.25">
      <c r="A22" s="77"/>
      <c r="B22" s="60" t="s">
        <v>45</v>
      </c>
      <c r="C22" s="61" t="s">
        <v>46</v>
      </c>
    </row>
    <row r="23" spans="1:3" s="58" customFormat="1" ht="15" customHeight="1" x14ac:dyDescent="0.25">
      <c r="A23" s="77"/>
      <c r="B23" s="60" t="s">
        <v>47</v>
      </c>
      <c r="C23" s="61" t="s">
        <v>48</v>
      </c>
    </row>
    <row r="24" spans="1:3" s="58" customFormat="1" ht="15" customHeight="1" x14ac:dyDescent="0.25">
      <c r="A24" s="77"/>
      <c r="B24" s="60" t="s">
        <v>49</v>
      </c>
      <c r="C24" s="61" t="s">
        <v>50</v>
      </c>
    </row>
    <row r="25" spans="1:3" s="58" customFormat="1" ht="15" customHeight="1" x14ac:dyDescent="0.25">
      <c r="A25" s="77"/>
      <c r="B25" s="60" t="s">
        <v>51</v>
      </c>
      <c r="C25" s="61" t="s">
        <v>52</v>
      </c>
    </row>
    <row r="26" spans="1:3" s="58" customFormat="1" ht="15" customHeight="1" x14ac:dyDescent="0.25">
      <c r="A26" s="77"/>
      <c r="B26" s="60" t="s">
        <v>53</v>
      </c>
      <c r="C26" s="61" t="s">
        <v>54</v>
      </c>
    </row>
    <row r="27" spans="1:3" s="58" customFormat="1" ht="15" customHeight="1" x14ac:dyDescent="0.25">
      <c r="A27" s="77"/>
      <c r="B27" s="60" t="s">
        <v>55</v>
      </c>
      <c r="C27" s="61" t="s">
        <v>56</v>
      </c>
    </row>
    <row r="28" spans="1:3" s="58" customFormat="1" ht="15" customHeight="1" x14ac:dyDescent="0.25">
      <c r="A28" s="77"/>
      <c r="B28" s="60" t="s">
        <v>57</v>
      </c>
      <c r="C28" s="61" t="s">
        <v>58</v>
      </c>
    </row>
    <row r="29" spans="1:3" s="58" customFormat="1" ht="15" customHeight="1" x14ac:dyDescent="0.25">
      <c r="A29" s="77"/>
      <c r="B29" s="60" t="s">
        <v>59</v>
      </c>
      <c r="C29" s="61" t="s">
        <v>60</v>
      </c>
    </row>
    <row r="30" spans="1:3" s="58" customFormat="1" ht="15" customHeight="1" x14ac:dyDescent="0.25">
      <c r="A30" s="77"/>
      <c r="B30" s="60" t="s">
        <v>61</v>
      </c>
      <c r="C30" s="61" t="s">
        <v>62</v>
      </c>
    </row>
    <row r="31" spans="1:3" s="58" customFormat="1" ht="15" customHeight="1" x14ac:dyDescent="0.25">
      <c r="A31" s="77"/>
      <c r="B31" s="60" t="s">
        <v>63</v>
      </c>
      <c r="C31" s="61" t="s">
        <v>64</v>
      </c>
    </row>
    <row r="32" spans="1:3" s="58" customFormat="1" ht="15" customHeight="1" x14ac:dyDescent="0.25">
      <c r="A32" s="77"/>
      <c r="B32" s="60" t="s">
        <v>65</v>
      </c>
      <c r="C32" s="61" t="s">
        <v>66</v>
      </c>
    </row>
    <row r="33" spans="1:3" s="58" customFormat="1" ht="15" customHeight="1" x14ac:dyDescent="0.25">
      <c r="A33" s="77"/>
      <c r="B33" s="60" t="s">
        <v>67</v>
      </c>
      <c r="C33" s="61" t="s">
        <v>68</v>
      </c>
    </row>
    <row r="34" spans="1:3" s="58" customFormat="1" ht="15" customHeight="1" x14ac:dyDescent="0.25">
      <c r="A34" s="77"/>
      <c r="B34" s="60" t="s">
        <v>69</v>
      </c>
      <c r="C34" s="61" t="s">
        <v>70</v>
      </c>
    </row>
    <row r="35" spans="1:3" s="58" customFormat="1" ht="15" customHeight="1" x14ac:dyDescent="0.25">
      <c r="A35" s="77"/>
      <c r="B35" s="60" t="s">
        <v>71</v>
      </c>
      <c r="C35" s="61" t="s">
        <v>72</v>
      </c>
    </row>
    <row r="36" spans="1:3" s="58" customFormat="1" ht="15" customHeight="1" x14ac:dyDescent="0.25">
      <c r="A36" s="77"/>
      <c r="B36" s="60" t="s">
        <v>73</v>
      </c>
      <c r="C36" s="61" t="s">
        <v>74</v>
      </c>
    </row>
    <row r="37" spans="1:3" s="58" customFormat="1" ht="15" customHeight="1" x14ac:dyDescent="0.25">
      <c r="A37" s="77"/>
      <c r="B37" s="102"/>
      <c r="C37" s="102"/>
    </row>
    <row r="38" spans="1:3" s="58" customFormat="1" ht="15" customHeight="1" x14ac:dyDescent="0.25">
      <c r="A38" s="77"/>
      <c r="B38" s="101" t="s">
        <v>75</v>
      </c>
      <c r="C38" s="101"/>
    </row>
    <row r="39" spans="1:3" s="58" customFormat="1" ht="15" customHeight="1" x14ac:dyDescent="0.25">
      <c r="A39" s="77"/>
      <c r="B39" s="60" t="s">
        <v>76</v>
      </c>
      <c r="C39" s="61" t="s">
        <v>77</v>
      </c>
    </row>
    <row r="40" spans="1:3" s="58" customFormat="1" ht="15" customHeight="1" x14ac:dyDescent="0.25">
      <c r="A40" s="77"/>
      <c r="B40" s="60" t="s">
        <v>78</v>
      </c>
      <c r="C40" s="61" t="s">
        <v>79</v>
      </c>
    </row>
    <row r="41" spans="1:3" s="58" customFormat="1" ht="15" customHeight="1" x14ac:dyDescent="0.25">
      <c r="A41" s="77"/>
      <c r="B41" s="60" t="s">
        <v>80</v>
      </c>
      <c r="C41" s="61" t="s">
        <v>81</v>
      </c>
    </row>
    <row r="42" spans="1:3" s="58" customFormat="1" ht="15" customHeight="1" x14ac:dyDescent="0.25">
      <c r="A42" s="77"/>
      <c r="B42" s="60" t="s">
        <v>82</v>
      </c>
      <c r="C42" s="61" t="s">
        <v>83</v>
      </c>
    </row>
    <row r="43" spans="1:3" s="58" customFormat="1" ht="15" customHeight="1" x14ac:dyDescent="0.25">
      <c r="A43" s="77"/>
    </row>
    <row r="44" spans="1:3" s="58" customFormat="1" ht="15" customHeight="1" x14ac:dyDescent="0.25">
      <c r="A44" s="77"/>
      <c r="B44" s="62" t="s">
        <v>209</v>
      </c>
    </row>
    <row r="45" spans="1:3" s="58" customFormat="1" ht="15" customHeight="1" x14ac:dyDescent="0.25">
      <c r="A45" s="77"/>
    </row>
    <row r="46" spans="1:3" s="58" customFormat="1" ht="15" customHeight="1" x14ac:dyDescent="0.25">
      <c r="A46" s="77"/>
      <c r="B46" s="63" t="s">
        <v>84</v>
      </c>
    </row>
    <row r="47" spans="1:3" s="58" customFormat="1" ht="15" customHeight="1" x14ac:dyDescent="0.25">
      <c r="A47" s="77"/>
      <c r="B47" s="78" t="s">
        <v>180</v>
      </c>
      <c r="C47" s="79"/>
    </row>
    <row r="48" spans="1:3" s="58" customFormat="1" ht="15" customHeight="1" x14ac:dyDescent="0.25">
      <c r="A48" s="77"/>
    </row>
    <row r="49" spans="1:1" s="58" customFormat="1" ht="15" customHeight="1" x14ac:dyDescent="0.25">
      <c r="A49" s="77"/>
    </row>
    <row r="50" spans="1:1" s="58" customFormat="1" ht="15" customHeight="1" x14ac:dyDescent="0.25">
      <c r="A50" s="77"/>
    </row>
    <row r="51" spans="1:1" s="58" customFormat="1" ht="15" customHeight="1" x14ac:dyDescent="0.25">
      <c r="A51" s="77"/>
    </row>
    <row r="52" spans="1:1" s="58" customFormat="1" ht="15" customHeight="1" x14ac:dyDescent="0.25">
      <c r="A52" s="77"/>
    </row>
    <row r="53" spans="1:1" s="58" customFormat="1" ht="15" customHeight="1" x14ac:dyDescent="0.25">
      <c r="A53" s="77"/>
    </row>
    <row r="54" spans="1:1" s="58" customFormat="1" ht="15" customHeight="1" x14ac:dyDescent="0.25">
      <c r="A54" s="77"/>
    </row>
    <row r="55" spans="1:1" s="58" customFormat="1" ht="15" customHeight="1" x14ac:dyDescent="0.25">
      <c r="A55" s="77"/>
    </row>
    <row r="56" spans="1:1" s="58" customFormat="1" ht="15" customHeight="1" x14ac:dyDescent="0.25">
      <c r="A56" s="77"/>
    </row>
    <row r="57" spans="1:1" s="58" customFormat="1" ht="15" customHeight="1" x14ac:dyDescent="0.25">
      <c r="A57" s="77"/>
    </row>
    <row r="58" spans="1:1" s="58" customFormat="1" ht="15" customHeight="1" x14ac:dyDescent="0.25">
      <c r="A58" s="77"/>
    </row>
    <row r="59" spans="1:1" s="58" customFormat="1" ht="15" customHeight="1" x14ac:dyDescent="0.25">
      <c r="A59" s="77"/>
    </row>
    <row r="60" spans="1:1" s="58" customFormat="1" ht="15" customHeight="1" x14ac:dyDescent="0.25">
      <c r="A60" s="77"/>
    </row>
    <row r="61" spans="1:1" s="58" customFormat="1" ht="15" customHeight="1" x14ac:dyDescent="0.25">
      <c r="A61" s="77"/>
    </row>
    <row r="62" spans="1:1" s="58" customFormat="1" ht="15" customHeight="1" x14ac:dyDescent="0.25">
      <c r="A62" s="77"/>
    </row>
    <row r="63" spans="1:1" s="58" customFormat="1" ht="15" customHeight="1" x14ac:dyDescent="0.25">
      <c r="A63" s="77"/>
    </row>
    <row r="64" spans="1:1" s="58" customFormat="1" ht="15" customHeight="1" x14ac:dyDescent="0.25">
      <c r="A64" s="77"/>
    </row>
    <row r="65" spans="1:1" s="58" customFormat="1" ht="15" customHeight="1" x14ac:dyDescent="0.25">
      <c r="A65" s="77"/>
    </row>
    <row r="66" spans="1:1" s="58" customFormat="1" ht="15" customHeight="1" x14ac:dyDescent="0.25">
      <c r="A66" s="77"/>
    </row>
    <row r="67" spans="1:1" s="58" customFormat="1" ht="15" customHeight="1" x14ac:dyDescent="0.25">
      <c r="A67" s="77"/>
    </row>
    <row r="68" spans="1:1" s="58" customFormat="1" ht="15" customHeight="1" x14ac:dyDescent="0.25">
      <c r="A68" s="77"/>
    </row>
    <row r="69" spans="1:1" s="58" customFormat="1" ht="15" customHeight="1" x14ac:dyDescent="0.25">
      <c r="A69" s="77"/>
    </row>
    <row r="70" spans="1:1" s="58" customFormat="1" ht="15" customHeight="1" x14ac:dyDescent="0.25">
      <c r="A70" s="77"/>
    </row>
    <row r="71" spans="1:1" s="58" customFormat="1" ht="15" customHeight="1" x14ac:dyDescent="0.25">
      <c r="A71" s="77"/>
    </row>
    <row r="72" spans="1:1" s="58" customFormat="1" ht="15" customHeight="1" x14ac:dyDescent="0.25">
      <c r="A72" s="77"/>
    </row>
    <row r="73" spans="1:1" s="58" customFormat="1" ht="15" customHeight="1" x14ac:dyDescent="0.25">
      <c r="A73" s="77"/>
    </row>
    <row r="74" spans="1:1" s="58" customFormat="1" ht="15" customHeight="1" x14ac:dyDescent="0.25">
      <c r="A74" s="77"/>
    </row>
    <row r="75" spans="1:1" s="58" customFormat="1" ht="15" customHeight="1" x14ac:dyDescent="0.25">
      <c r="A75" s="77"/>
    </row>
    <row r="76" spans="1:1" s="58" customFormat="1" ht="15" customHeight="1" x14ac:dyDescent="0.25">
      <c r="A76" s="77"/>
    </row>
    <row r="77" spans="1:1" s="58" customFormat="1" ht="15" customHeight="1" x14ac:dyDescent="0.25">
      <c r="A77" s="77"/>
    </row>
    <row r="78" spans="1:1" s="58" customFormat="1" ht="15" customHeight="1" x14ac:dyDescent="0.25">
      <c r="A78" s="77"/>
    </row>
    <row r="79" spans="1:1" s="58" customFormat="1" ht="15" customHeight="1" x14ac:dyDescent="0.25">
      <c r="A79" s="77"/>
    </row>
    <row r="80" spans="1:1" s="58" customFormat="1" ht="15" customHeight="1" x14ac:dyDescent="0.25">
      <c r="A80" s="77"/>
    </row>
    <row r="81" spans="1:1" s="58" customFormat="1" ht="15" customHeight="1" x14ac:dyDescent="0.25">
      <c r="A81" s="77"/>
    </row>
    <row r="82" spans="1:1" s="58" customFormat="1" ht="15" customHeight="1" x14ac:dyDescent="0.25">
      <c r="A82" s="77"/>
    </row>
    <row r="83" spans="1:1" s="58" customFormat="1" ht="15" customHeight="1" x14ac:dyDescent="0.25">
      <c r="A83" s="77"/>
    </row>
    <row r="84" spans="1:1" s="58" customFormat="1" ht="15" customHeight="1" x14ac:dyDescent="0.25">
      <c r="A84" s="77"/>
    </row>
    <row r="85" spans="1:1" s="58" customFormat="1" ht="15" customHeight="1" x14ac:dyDescent="0.25">
      <c r="A85" s="77"/>
    </row>
    <row r="86" spans="1:1" s="58" customFormat="1" ht="15" customHeight="1" x14ac:dyDescent="0.25">
      <c r="A86" s="77"/>
    </row>
    <row r="87" spans="1:1" s="58" customFormat="1" ht="15" customHeight="1" x14ac:dyDescent="0.25">
      <c r="A87" s="77"/>
    </row>
    <row r="88" spans="1:1" s="58" customFormat="1" ht="15" customHeight="1" x14ac:dyDescent="0.25">
      <c r="A88" s="77"/>
    </row>
    <row r="89" spans="1:1" s="58" customFormat="1" ht="15" customHeight="1" x14ac:dyDescent="0.25">
      <c r="A89" s="77"/>
    </row>
    <row r="90" spans="1:1" s="58" customFormat="1" ht="15" customHeight="1" x14ac:dyDescent="0.25">
      <c r="A90" s="77"/>
    </row>
    <row r="91" spans="1:1" s="58" customFormat="1" ht="15" customHeight="1" x14ac:dyDescent="0.25">
      <c r="A91" s="77"/>
    </row>
    <row r="92" spans="1:1" s="58" customFormat="1" ht="15" customHeight="1" x14ac:dyDescent="0.25">
      <c r="A92" s="77"/>
    </row>
    <row r="93" spans="1:1" s="58" customFormat="1" ht="15" customHeight="1" x14ac:dyDescent="0.25">
      <c r="A93" s="77"/>
    </row>
    <row r="94" spans="1:1" s="58" customFormat="1" ht="15" customHeight="1" x14ac:dyDescent="0.25">
      <c r="A94" s="77"/>
    </row>
    <row r="95" spans="1:1" s="58" customFormat="1" ht="15" customHeight="1" x14ac:dyDescent="0.25">
      <c r="A95" s="77"/>
    </row>
    <row r="96" spans="1:1" s="58" customFormat="1" ht="15" customHeight="1" x14ac:dyDescent="0.25">
      <c r="A96" s="77"/>
    </row>
    <row r="97" spans="1:1" s="58" customFormat="1" ht="15" customHeight="1" x14ac:dyDescent="0.25">
      <c r="A97" s="77"/>
    </row>
    <row r="98" spans="1:1" s="58" customFormat="1" ht="15" customHeight="1" x14ac:dyDescent="0.25">
      <c r="A98" s="77"/>
    </row>
    <row r="99" spans="1:1" s="58" customFormat="1" ht="15" customHeight="1" x14ac:dyDescent="0.25">
      <c r="A99" s="77"/>
    </row>
    <row r="100" spans="1:1" s="58" customFormat="1" ht="15" customHeight="1" x14ac:dyDescent="0.25">
      <c r="A100" s="77"/>
    </row>
    <row r="101" spans="1:1" s="58" customFormat="1" ht="15" customHeight="1" x14ac:dyDescent="0.25">
      <c r="A101" s="77"/>
    </row>
    <row r="102" spans="1:1" s="58" customFormat="1" ht="15" customHeight="1" x14ac:dyDescent="0.25">
      <c r="A102" s="77"/>
    </row>
    <row r="103" spans="1:1" s="58" customFormat="1" ht="15" customHeight="1" x14ac:dyDescent="0.25">
      <c r="A103" s="77"/>
    </row>
    <row r="104" spans="1:1" s="58" customFormat="1" ht="15" customHeight="1" x14ac:dyDescent="0.25">
      <c r="A104" s="77"/>
    </row>
    <row r="105" spans="1:1" s="58" customFormat="1" ht="15" customHeight="1" x14ac:dyDescent="0.25">
      <c r="A105" s="77"/>
    </row>
    <row r="106" spans="1:1" s="58" customFormat="1" ht="15" customHeight="1" x14ac:dyDescent="0.25">
      <c r="A106" s="77"/>
    </row>
    <row r="107" spans="1:1" s="58" customFormat="1" ht="15" customHeight="1" x14ac:dyDescent="0.25">
      <c r="A107" s="77"/>
    </row>
    <row r="108" spans="1:1" s="58" customFormat="1" ht="15" customHeight="1" x14ac:dyDescent="0.25">
      <c r="A108" s="77"/>
    </row>
    <row r="109" spans="1:1" s="58" customFormat="1" ht="15" customHeight="1" x14ac:dyDescent="0.25">
      <c r="A109" s="77"/>
    </row>
    <row r="110" spans="1:1" s="58" customFormat="1" ht="15" customHeight="1" x14ac:dyDescent="0.25">
      <c r="A110" s="77"/>
    </row>
    <row r="111" spans="1:1" s="58" customFormat="1" ht="15" customHeight="1" x14ac:dyDescent="0.25">
      <c r="A111" s="77"/>
    </row>
    <row r="112" spans="1:1" s="58" customFormat="1" ht="15" customHeight="1" x14ac:dyDescent="0.25">
      <c r="A112" s="77"/>
    </row>
    <row r="113" spans="1:1" s="58" customFormat="1" ht="15" customHeight="1" x14ac:dyDescent="0.25">
      <c r="A113" s="77"/>
    </row>
    <row r="114" spans="1:1" s="58" customFormat="1" ht="15" customHeight="1" x14ac:dyDescent="0.25">
      <c r="A114" s="77"/>
    </row>
    <row r="115" spans="1:1" s="58" customFormat="1" ht="15" customHeight="1" x14ac:dyDescent="0.25">
      <c r="A115" s="77"/>
    </row>
    <row r="116" spans="1:1" s="58" customFormat="1" ht="15" customHeight="1" x14ac:dyDescent="0.25">
      <c r="A116" s="77"/>
    </row>
    <row r="117" spans="1:1" s="58" customFormat="1" ht="15" customHeight="1" x14ac:dyDescent="0.25">
      <c r="A117" s="77"/>
    </row>
    <row r="118" spans="1:1" s="58" customFormat="1" ht="15" customHeight="1" x14ac:dyDescent="0.25">
      <c r="A118" s="77"/>
    </row>
    <row r="119" spans="1:1" s="58" customFormat="1" ht="15" customHeight="1" x14ac:dyDescent="0.25">
      <c r="A119" s="77"/>
    </row>
    <row r="120" spans="1:1" s="58" customFormat="1" ht="15" customHeight="1" x14ac:dyDescent="0.25">
      <c r="A120" s="77"/>
    </row>
    <row r="121" spans="1:1" s="58" customFormat="1" ht="15" customHeight="1" x14ac:dyDescent="0.25">
      <c r="A121" s="77"/>
    </row>
    <row r="122" spans="1:1" s="58" customFormat="1" ht="15" customHeight="1" x14ac:dyDescent="0.25">
      <c r="A122" s="77"/>
    </row>
    <row r="123" spans="1:1" s="58" customFormat="1" ht="15" customHeight="1" x14ac:dyDescent="0.25">
      <c r="A123" s="77"/>
    </row>
    <row r="124" spans="1:1" s="58" customFormat="1" ht="15" customHeight="1" x14ac:dyDescent="0.25">
      <c r="A124" s="77"/>
    </row>
    <row r="125" spans="1:1" s="58" customFormat="1" ht="15" customHeight="1" x14ac:dyDescent="0.25">
      <c r="A125" s="77"/>
    </row>
    <row r="126" spans="1:1" s="58" customFormat="1" ht="15" customHeight="1" x14ac:dyDescent="0.25">
      <c r="A126" s="77"/>
    </row>
    <row r="127" spans="1:1" s="58" customFormat="1" ht="15" customHeight="1" x14ac:dyDescent="0.25">
      <c r="A127" s="77"/>
    </row>
    <row r="128" spans="1:1" s="58" customFormat="1" ht="15" customHeight="1" x14ac:dyDescent="0.25">
      <c r="A128" s="77"/>
    </row>
    <row r="129" spans="1:1" s="58" customFormat="1" ht="15" customHeight="1" x14ac:dyDescent="0.25">
      <c r="A129" s="77"/>
    </row>
    <row r="130" spans="1:1" s="58" customFormat="1" ht="15" customHeight="1" x14ac:dyDescent="0.25">
      <c r="A130" s="77"/>
    </row>
    <row r="131" spans="1:1" s="58" customFormat="1" ht="15" customHeight="1" x14ac:dyDescent="0.25">
      <c r="A131" s="77"/>
    </row>
    <row r="132" spans="1:1" s="58" customFormat="1" ht="15" customHeight="1" x14ac:dyDescent="0.25">
      <c r="A132" s="77"/>
    </row>
    <row r="133" spans="1:1" s="58" customFormat="1" ht="15" customHeight="1" x14ac:dyDescent="0.25">
      <c r="A133" s="77"/>
    </row>
    <row r="134" spans="1:1" s="58" customFormat="1" ht="15" customHeight="1" x14ac:dyDescent="0.25">
      <c r="A134" s="77"/>
    </row>
    <row r="135" spans="1:1" s="58" customFormat="1" ht="15" customHeight="1" x14ac:dyDescent="0.25">
      <c r="A135" s="77"/>
    </row>
    <row r="136" spans="1:1" s="58" customFormat="1" ht="15" customHeight="1" x14ac:dyDescent="0.25">
      <c r="A136" s="77"/>
    </row>
    <row r="137" spans="1:1" s="58" customFormat="1" ht="15" customHeight="1" x14ac:dyDescent="0.25">
      <c r="A137" s="77"/>
    </row>
    <row r="138" spans="1:1" s="58" customFormat="1" ht="15" customHeight="1" x14ac:dyDescent="0.25">
      <c r="A138" s="77"/>
    </row>
    <row r="139" spans="1:1" s="58" customFormat="1" ht="15" customHeight="1" x14ac:dyDescent="0.25">
      <c r="A139" s="77"/>
    </row>
    <row r="140" spans="1:1" s="58" customFormat="1" ht="15" customHeight="1" x14ac:dyDescent="0.25">
      <c r="A140" s="77"/>
    </row>
    <row r="141" spans="1:1" s="58" customFormat="1" ht="15" customHeight="1" x14ac:dyDescent="0.25">
      <c r="A141" s="77"/>
    </row>
    <row r="142" spans="1:1" s="58" customFormat="1" ht="15" customHeight="1" x14ac:dyDescent="0.25">
      <c r="A142" s="77"/>
    </row>
    <row r="143" spans="1:1" s="58" customFormat="1" ht="15" customHeight="1" x14ac:dyDescent="0.25">
      <c r="A143" s="77"/>
    </row>
    <row r="144" spans="1:1" s="58" customFormat="1" ht="15" customHeight="1" x14ac:dyDescent="0.25">
      <c r="A144" s="77"/>
    </row>
    <row r="145" spans="1:1" s="58" customFormat="1" ht="15" customHeight="1" x14ac:dyDescent="0.25">
      <c r="A145" s="77"/>
    </row>
    <row r="146" spans="1:1" s="58" customFormat="1" ht="15" customHeight="1" x14ac:dyDescent="0.25">
      <c r="A146" s="77"/>
    </row>
    <row r="147" spans="1:1" s="58" customFormat="1" ht="15" customHeight="1" x14ac:dyDescent="0.25">
      <c r="A147" s="77"/>
    </row>
    <row r="148" spans="1:1" s="58" customFormat="1" ht="15" customHeight="1" x14ac:dyDescent="0.25">
      <c r="A148" s="77"/>
    </row>
    <row r="149" spans="1:1" s="58" customFormat="1" ht="15" customHeight="1" x14ac:dyDescent="0.25">
      <c r="A149" s="77"/>
    </row>
    <row r="150" spans="1:1" s="58" customFormat="1" ht="15" customHeight="1" x14ac:dyDescent="0.25">
      <c r="A150" s="77"/>
    </row>
    <row r="151" spans="1:1" s="58" customFormat="1" ht="15" customHeight="1" x14ac:dyDescent="0.25">
      <c r="A151" s="77"/>
    </row>
    <row r="152" spans="1:1" s="58" customFormat="1" ht="15" customHeight="1" x14ac:dyDescent="0.25">
      <c r="A152" s="77"/>
    </row>
    <row r="153" spans="1:1" s="58" customFormat="1" ht="15" customHeight="1" x14ac:dyDescent="0.25">
      <c r="A153" s="77"/>
    </row>
    <row r="154" spans="1:1" s="58" customFormat="1" ht="15" customHeight="1" x14ac:dyDescent="0.25">
      <c r="A154" s="77"/>
    </row>
    <row r="155" spans="1:1" s="58" customFormat="1" ht="15" customHeight="1" x14ac:dyDescent="0.25">
      <c r="A155" s="77"/>
    </row>
    <row r="156" spans="1:1" s="58" customFormat="1" ht="15" customHeight="1" x14ac:dyDescent="0.25">
      <c r="A156" s="77"/>
    </row>
    <row r="157" spans="1:1" s="58" customFormat="1" ht="15" customHeight="1" x14ac:dyDescent="0.25">
      <c r="A157" s="77"/>
    </row>
    <row r="158" spans="1:1" s="58" customFormat="1" ht="15" customHeight="1" x14ac:dyDescent="0.25">
      <c r="A158" s="77"/>
    </row>
    <row r="159" spans="1:1" s="58" customFormat="1" ht="15" customHeight="1" x14ac:dyDescent="0.25">
      <c r="A159" s="77"/>
    </row>
    <row r="160" spans="1:1" s="58" customFormat="1" ht="15" customHeight="1" x14ac:dyDescent="0.25">
      <c r="A160" s="77"/>
    </row>
    <row r="161" spans="1:1" s="58" customFormat="1" ht="15" customHeight="1" x14ac:dyDescent="0.25">
      <c r="A161" s="77"/>
    </row>
    <row r="162" spans="1:1" s="58" customFormat="1" ht="15" customHeight="1" x14ac:dyDescent="0.25">
      <c r="A162" s="77"/>
    </row>
    <row r="163" spans="1:1" s="58" customFormat="1" ht="15" customHeight="1" x14ac:dyDescent="0.25">
      <c r="A163" s="77"/>
    </row>
    <row r="164" spans="1:1" s="58" customFormat="1" ht="15" customHeight="1" x14ac:dyDescent="0.25">
      <c r="A164" s="77"/>
    </row>
  </sheetData>
  <mergeCells count="3">
    <mergeCell ref="B20:C20"/>
    <mergeCell ref="B37:C37"/>
    <mergeCell ref="B38:C38"/>
  </mergeCells>
  <hyperlinks>
    <hyperlink ref="B47" r:id="rId1" xr:uid="{00000000-0004-0000-0B00-000000000000}"/>
    <hyperlink ref="B47:C47" r:id="rId2" display=" http://www.who.int/classifications/icd/en/" xr:uid="{00000000-0004-0000-0B00-000001000000}"/>
  </hyperlinks>
  <pageMargins left="0.74803149606299213" right="0.74803149606299213" top="0.98425196850393704" bottom="0.98425196850393704" header="0.51181102362204722" footer="0.51181102362204722"/>
  <pageSetup paperSize="9" scale="68" orientation="portrait" r:id="rId3"/>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8"/>
  <dimension ref="A1:H2500"/>
  <sheetViews>
    <sheetView zoomScaleNormal="100" workbookViewId="0"/>
  </sheetViews>
  <sheetFormatPr defaultColWidth="9.109375" defaultRowHeight="13.2" x14ac:dyDescent="0.25"/>
  <cols>
    <col min="1" max="1" width="40.6640625" bestFit="1" customWidth="1"/>
    <col min="3" max="3" width="11.44140625" bestFit="1" customWidth="1"/>
    <col min="4" max="4" width="26.6640625" bestFit="1" customWidth="1"/>
  </cols>
  <sheetData>
    <row r="1" spans="1:8" x14ac:dyDescent="0.25">
      <c r="A1" s="1" t="s">
        <v>162</v>
      </c>
      <c r="B1" t="s">
        <v>145</v>
      </c>
      <c r="C1" t="s">
        <v>146</v>
      </c>
      <c r="D1" t="s">
        <v>147</v>
      </c>
      <c r="E1" t="s">
        <v>148</v>
      </c>
    </row>
    <row r="2" spans="1:8" x14ac:dyDescent="0.25">
      <c r="A2" t="str">
        <f t="shared" ref="A2:A65" si="0">CONCATENATE(B2, C2, D2)</f>
        <v/>
      </c>
      <c r="B2" s="46"/>
      <c r="E2" s="47"/>
    </row>
    <row r="3" spans="1:8" x14ac:dyDescent="0.25">
      <c r="A3" t="str">
        <f t="shared" si="0"/>
        <v/>
      </c>
      <c r="B3" s="46"/>
      <c r="E3" s="47"/>
    </row>
    <row r="4" spans="1:8" x14ac:dyDescent="0.25">
      <c r="A4" t="str">
        <f t="shared" si="0"/>
        <v/>
      </c>
      <c r="B4" s="46"/>
      <c r="E4" s="47"/>
      <c r="H4" s="7"/>
    </row>
    <row r="5" spans="1:8" x14ac:dyDescent="0.25">
      <c r="A5" t="str">
        <f t="shared" si="0"/>
        <v/>
      </c>
      <c r="B5" s="46"/>
      <c r="E5" s="47"/>
    </row>
    <row r="6" spans="1:8" x14ac:dyDescent="0.25">
      <c r="A6" t="str">
        <f t="shared" si="0"/>
        <v/>
      </c>
      <c r="B6" s="46"/>
      <c r="E6" s="47"/>
    </row>
    <row r="7" spans="1:8" x14ac:dyDescent="0.25">
      <c r="A7" t="str">
        <f t="shared" si="0"/>
        <v/>
      </c>
      <c r="B7" s="46"/>
      <c r="E7" s="47"/>
    </row>
    <row r="8" spans="1:8" x14ac:dyDescent="0.25">
      <c r="A8" t="str">
        <f t="shared" si="0"/>
        <v/>
      </c>
      <c r="B8" s="46"/>
      <c r="E8" s="47"/>
    </row>
    <row r="9" spans="1:8" x14ac:dyDescent="0.25">
      <c r="A9" t="str">
        <f t="shared" si="0"/>
        <v/>
      </c>
      <c r="B9" s="46"/>
      <c r="E9" s="47"/>
    </row>
    <row r="10" spans="1:8" x14ac:dyDescent="0.25">
      <c r="A10" t="str">
        <f t="shared" si="0"/>
        <v/>
      </c>
      <c r="B10" s="46"/>
      <c r="E10" s="47"/>
    </row>
    <row r="11" spans="1:8" x14ac:dyDescent="0.25">
      <c r="A11" t="str">
        <f t="shared" si="0"/>
        <v/>
      </c>
      <c r="B11" s="46"/>
      <c r="E11" s="47"/>
    </row>
    <row r="12" spans="1:8" x14ac:dyDescent="0.25">
      <c r="A12" t="str">
        <f t="shared" si="0"/>
        <v/>
      </c>
      <c r="B12" s="46"/>
      <c r="E12" s="47"/>
    </row>
    <row r="13" spans="1:8" x14ac:dyDescent="0.25">
      <c r="A13" t="str">
        <f t="shared" si="0"/>
        <v/>
      </c>
      <c r="B13" s="46"/>
      <c r="E13" s="47"/>
    </row>
    <row r="14" spans="1:8" x14ac:dyDescent="0.25">
      <c r="A14" t="str">
        <f t="shared" si="0"/>
        <v/>
      </c>
      <c r="B14" s="46"/>
      <c r="E14" s="47"/>
    </row>
    <row r="15" spans="1:8" x14ac:dyDescent="0.25">
      <c r="A15" t="str">
        <f t="shared" si="0"/>
        <v/>
      </c>
      <c r="B15" s="46"/>
      <c r="E15" s="47"/>
    </row>
    <row r="16" spans="1:8" x14ac:dyDescent="0.25">
      <c r="A16" t="str">
        <f t="shared" si="0"/>
        <v/>
      </c>
      <c r="B16" s="46"/>
      <c r="E16" s="47"/>
    </row>
    <row r="17" spans="1:5" x14ac:dyDescent="0.25">
      <c r="A17" t="str">
        <f t="shared" si="0"/>
        <v/>
      </c>
      <c r="B17" s="48"/>
      <c r="C17" s="48"/>
      <c r="D17" s="49"/>
      <c r="E17" s="50"/>
    </row>
    <row r="18" spans="1:5" x14ac:dyDescent="0.25">
      <c r="A18" t="str">
        <f t="shared" si="0"/>
        <v/>
      </c>
      <c r="B18" s="48"/>
      <c r="C18" s="48"/>
      <c r="D18" s="49"/>
      <c r="E18" s="50"/>
    </row>
    <row r="19" spans="1:5" x14ac:dyDescent="0.25">
      <c r="A19" t="str">
        <f t="shared" si="0"/>
        <v/>
      </c>
      <c r="B19" s="48"/>
      <c r="C19" s="48"/>
      <c r="D19" s="49"/>
      <c r="E19" s="50"/>
    </row>
    <row r="20" spans="1:5" x14ac:dyDescent="0.25">
      <c r="A20" t="str">
        <f t="shared" si="0"/>
        <v/>
      </c>
      <c r="B20" s="48"/>
      <c r="C20" s="48"/>
      <c r="D20" s="49"/>
      <c r="E20" s="50"/>
    </row>
    <row r="21" spans="1:5" x14ac:dyDescent="0.25">
      <c r="A21" t="str">
        <f t="shared" si="0"/>
        <v/>
      </c>
      <c r="B21" s="48"/>
      <c r="C21" s="48"/>
      <c r="D21" s="49"/>
      <c r="E21" s="50"/>
    </row>
    <row r="22" spans="1:5" x14ac:dyDescent="0.25">
      <c r="A22" t="str">
        <f t="shared" si="0"/>
        <v/>
      </c>
      <c r="B22" s="48"/>
      <c r="C22" s="48"/>
      <c r="D22" s="49"/>
      <c r="E22" s="50"/>
    </row>
    <row r="23" spans="1:5" x14ac:dyDescent="0.25">
      <c r="A23" t="str">
        <f t="shared" si="0"/>
        <v/>
      </c>
      <c r="B23" s="48"/>
      <c r="C23" s="48"/>
      <c r="D23" s="49"/>
      <c r="E23" s="50"/>
    </row>
    <row r="24" spans="1:5" x14ac:dyDescent="0.25">
      <c r="A24" t="str">
        <f t="shared" si="0"/>
        <v/>
      </c>
      <c r="B24" s="48"/>
      <c r="C24" s="48"/>
      <c r="D24" s="49"/>
      <c r="E24" s="50"/>
    </row>
    <row r="25" spans="1:5" x14ac:dyDescent="0.25">
      <c r="A25" t="str">
        <f t="shared" si="0"/>
        <v/>
      </c>
      <c r="B25" s="48"/>
      <c r="C25" s="48"/>
      <c r="D25" s="49"/>
      <c r="E25" s="50"/>
    </row>
    <row r="26" spans="1:5" x14ac:dyDescent="0.25">
      <c r="A26" t="str">
        <f t="shared" si="0"/>
        <v/>
      </c>
      <c r="B26" s="48"/>
      <c r="C26" s="48"/>
      <c r="D26" s="49"/>
      <c r="E26" s="50"/>
    </row>
    <row r="27" spans="1:5" x14ac:dyDescent="0.25">
      <c r="A27" t="str">
        <f t="shared" si="0"/>
        <v/>
      </c>
      <c r="B27" s="48"/>
      <c r="C27" s="48"/>
      <c r="D27" s="49"/>
      <c r="E27" s="50"/>
    </row>
    <row r="28" spans="1:5" x14ac:dyDescent="0.25">
      <c r="A28" t="str">
        <f t="shared" si="0"/>
        <v/>
      </c>
      <c r="B28" s="48"/>
      <c r="C28" s="48"/>
      <c r="D28" s="49"/>
      <c r="E28" s="50"/>
    </row>
    <row r="29" spans="1:5" x14ac:dyDescent="0.25">
      <c r="A29" t="str">
        <f t="shared" si="0"/>
        <v/>
      </c>
      <c r="B29" s="48"/>
      <c r="C29" s="48"/>
      <c r="D29" s="49"/>
      <c r="E29" s="50"/>
    </row>
    <row r="30" spans="1:5" x14ac:dyDescent="0.25">
      <c r="A30" t="str">
        <f t="shared" si="0"/>
        <v/>
      </c>
      <c r="B30" s="48"/>
      <c r="C30" s="48"/>
      <c r="D30" s="49"/>
      <c r="E30" s="50"/>
    </row>
    <row r="31" spans="1:5" x14ac:dyDescent="0.25">
      <c r="A31" t="str">
        <f t="shared" si="0"/>
        <v/>
      </c>
      <c r="B31" s="48"/>
      <c r="C31" s="48"/>
      <c r="D31" s="49"/>
      <c r="E31" s="50"/>
    </row>
    <row r="32" spans="1:5" x14ac:dyDescent="0.25">
      <c r="A32" t="str">
        <f t="shared" si="0"/>
        <v/>
      </c>
      <c r="B32" s="48"/>
      <c r="C32" s="48"/>
      <c r="D32" s="49"/>
      <c r="E32" s="50"/>
    </row>
    <row r="33" spans="1:5" x14ac:dyDescent="0.25">
      <c r="A33" t="str">
        <f t="shared" si="0"/>
        <v/>
      </c>
      <c r="B33" s="48"/>
      <c r="C33" s="48"/>
      <c r="D33" s="49"/>
      <c r="E33" s="50"/>
    </row>
    <row r="34" spans="1:5" x14ac:dyDescent="0.25">
      <c r="A34" t="str">
        <f t="shared" si="0"/>
        <v/>
      </c>
      <c r="B34" s="48"/>
      <c r="C34" s="48"/>
      <c r="D34" s="49"/>
      <c r="E34" s="50"/>
    </row>
    <row r="35" spans="1:5" x14ac:dyDescent="0.25">
      <c r="A35" t="str">
        <f t="shared" si="0"/>
        <v/>
      </c>
      <c r="B35" s="48"/>
      <c r="C35" s="48"/>
      <c r="D35" s="49"/>
      <c r="E35" s="50"/>
    </row>
    <row r="36" spans="1:5" x14ac:dyDescent="0.25">
      <c r="A36" t="str">
        <f t="shared" si="0"/>
        <v/>
      </c>
      <c r="B36" s="48"/>
      <c r="C36" s="48"/>
      <c r="D36" s="49"/>
      <c r="E36" s="50"/>
    </row>
    <row r="37" spans="1:5" x14ac:dyDescent="0.25">
      <c r="A37" t="str">
        <f t="shared" si="0"/>
        <v/>
      </c>
      <c r="B37" s="48"/>
      <c r="C37" s="48"/>
      <c r="D37" s="49"/>
      <c r="E37" s="50"/>
    </row>
    <row r="38" spans="1:5" x14ac:dyDescent="0.25">
      <c r="A38" t="str">
        <f t="shared" si="0"/>
        <v/>
      </c>
      <c r="B38" s="48"/>
      <c r="C38" s="48"/>
      <c r="D38" s="49"/>
      <c r="E38" s="50"/>
    </row>
    <row r="39" spans="1:5" x14ac:dyDescent="0.25">
      <c r="A39" t="str">
        <f t="shared" si="0"/>
        <v/>
      </c>
      <c r="B39" s="48"/>
      <c r="C39" s="48"/>
      <c r="D39" s="49"/>
      <c r="E39" s="50"/>
    </row>
    <row r="40" spans="1:5" x14ac:dyDescent="0.25">
      <c r="A40" t="str">
        <f t="shared" si="0"/>
        <v/>
      </c>
      <c r="B40" s="48"/>
      <c r="C40" s="48"/>
      <c r="D40" s="49"/>
      <c r="E40" s="50"/>
    </row>
    <row r="41" spans="1:5" x14ac:dyDescent="0.25">
      <c r="A41" t="str">
        <f t="shared" si="0"/>
        <v/>
      </c>
      <c r="B41" s="48"/>
      <c r="C41" s="48"/>
      <c r="D41" s="49"/>
      <c r="E41" s="50"/>
    </row>
    <row r="42" spans="1:5" x14ac:dyDescent="0.25">
      <c r="A42" t="str">
        <f t="shared" si="0"/>
        <v/>
      </c>
      <c r="B42" s="48"/>
      <c r="C42" s="48"/>
      <c r="D42" s="49"/>
      <c r="E42" s="50"/>
    </row>
    <row r="43" spans="1:5" x14ac:dyDescent="0.25">
      <c r="A43" t="str">
        <f t="shared" si="0"/>
        <v/>
      </c>
      <c r="B43" s="48"/>
      <c r="C43" s="48"/>
      <c r="D43" s="49"/>
      <c r="E43" s="50"/>
    </row>
    <row r="44" spans="1:5" x14ac:dyDescent="0.25">
      <c r="A44" t="str">
        <f t="shared" si="0"/>
        <v/>
      </c>
      <c r="B44" s="48"/>
      <c r="C44" s="48"/>
      <c r="D44" s="49"/>
      <c r="E44" s="50"/>
    </row>
    <row r="45" spans="1:5" x14ac:dyDescent="0.25">
      <c r="A45" t="str">
        <f t="shared" si="0"/>
        <v/>
      </c>
      <c r="B45" s="48"/>
      <c r="C45" s="48"/>
      <c r="D45" s="49"/>
      <c r="E45" s="50"/>
    </row>
    <row r="46" spans="1:5" x14ac:dyDescent="0.25">
      <c r="A46" t="str">
        <f t="shared" si="0"/>
        <v/>
      </c>
      <c r="B46" s="48"/>
      <c r="C46" s="48"/>
      <c r="D46" s="49"/>
      <c r="E46" s="50"/>
    </row>
    <row r="47" spans="1:5" x14ac:dyDescent="0.25">
      <c r="A47" t="str">
        <f t="shared" si="0"/>
        <v/>
      </c>
      <c r="B47" s="48"/>
      <c r="C47" s="48"/>
      <c r="D47" s="49"/>
      <c r="E47" s="50"/>
    </row>
    <row r="48" spans="1:5" x14ac:dyDescent="0.25">
      <c r="A48" t="str">
        <f t="shared" si="0"/>
        <v/>
      </c>
      <c r="B48" s="48"/>
      <c r="C48" s="48"/>
      <c r="D48" s="49"/>
      <c r="E48" s="50"/>
    </row>
    <row r="49" spans="1:5" x14ac:dyDescent="0.25">
      <c r="A49" t="str">
        <f t="shared" si="0"/>
        <v/>
      </c>
      <c r="B49" s="48"/>
      <c r="C49" s="48"/>
      <c r="D49" s="49"/>
      <c r="E49" s="50"/>
    </row>
    <row r="50" spans="1:5" x14ac:dyDescent="0.25">
      <c r="A50" t="str">
        <f t="shared" si="0"/>
        <v/>
      </c>
      <c r="B50" s="48"/>
      <c r="C50" s="48"/>
      <c r="D50" s="49"/>
      <c r="E50" s="50"/>
    </row>
    <row r="51" spans="1:5" x14ac:dyDescent="0.25">
      <c r="A51" t="str">
        <f t="shared" si="0"/>
        <v/>
      </c>
      <c r="B51" s="48"/>
      <c r="C51" s="48"/>
      <c r="D51" s="49"/>
      <c r="E51" s="50"/>
    </row>
    <row r="52" spans="1:5" x14ac:dyDescent="0.25">
      <c r="A52" t="str">
        <f t="shared" si="0"/>
        <v/>
      </c>
      <c r="B52" s="48"/>
      <c r="C52" s="48"/>
      <c r="D52" s="49"/>
      <c r="E52" s="50"/>
    </row>
    <row r="53" spans="1:5" x14ac:dyDescent="0.25">
      <c r="A53" t="str">
        <f t="shared" si="0"/>
        <v/>
      </c>
      <c r="B53" s="48"/>
      <c r="C53" s="48"/>
      <c r="D53" s="49"/>
      <c r="E53" s="50"/>
    </row>
    <row r="54" spans="1:5" x14ac:dyDescent="0.25">
      <c r="A54" t="str">
        <f t="shared" si="0"/>
        <v/>
      </c>
      <c r="B54" s="48"/>
      <c r="C54" s="48"/>
      <c r="D54" s="49"/>
      <c r="E54" s="50"/>
    </row>
    <row r="55" spans="1:5" x14ac:dyDescent="0.25">
      <c r="A55" t="str">
        <f t="shared" si="0"/>
        <v/>
      </c>
      <c r="B55" s="48"/>
      <c r="C55" s="48"/>
      <c r="D55" s="49"/>
      <c r="E55" s="50"/>
    </row>
    <row r="56" spans="1:5" x14ac:dyDescent="0.25">
      <c r="A56" t="str">
        <f t="shared" si="0"/>
        <v/>
      </c>
      <c r="B56" s="48"/>
      <c r="C56" s="48"/>
      <c r="D56" s="49"/>
      <c r="E56" s="50"/>
    </row>
    <row r="57" spans="1:5" x14ac:dyDescent="0.25">
      <c r="A57" t="str">
        <f t="shared" si="0"/>
        <v/>
      </c>
      <c r="B57" s="48"/>
      <c r="C57" s="48"/>
      <c r="D57" s="49"/>
      <c r="E57" s="50"/>
    </row>
    <row r="58" spans="1:5" x14ac:dyDescent="0.25">
      <c r="A58" t="str">
        <f t="shared" si="0"/>
        <v/>
      </c>
      <c r="B58" s="48"/>
      <c r="C58" s="48"/>
      <c r="D58" s="49"/>
      <c r="E58" s="50"/>
    </row>
    <row r="59" spans="1:5" x14ac:dyDescent="0.25">
      <c r="A59" t="str">
        <f t="shared" si="0"/>
        <v/>
      </c>
      <c r="B59" s="48"/>
      <c r="C59" s="48"/>
      <c r="D59" s="49"/>
      <c r="E59" s="50"/>
    </row>
    <row r="60" spans="1:5" x14ac:dyDescent="0.25">
      <c r="A60" t="str">
        <f t="shared" si="0"/>
        <v/>
      </c>
      <c r="B60" s="48"/>
      <c r="C60" s="48"/>
      <c r="D60" s="49"/>
      <c r="E60" s="50"/>
    </row>
    <row r="61" spans="1:5" x14ac:dyDescent="0.25">
      <c r="A61" t="str">
        <f t="shared" si="0"/>
        <v/>
      </c>
      <c r="B61" s="48"/>
      <c r="C61" s="48"/>
      <c r="D61" s="49"/>
      <c r="E61" s="50"/>
    </row>
    <row r="62" spans="1:5" x14ac:dyDescent="0.25">
      <c r="A62" t="str">
        <f t="shared" si="0"/>
        <v/>
      </c>
      <c r="B62" s="48"/>
      <c r="C62" s="48"/>
      <c r="D62" s="49"/>
      <c r="E62" s="50"/>
    </row>
    <row r="63" spans="1:5" x14ac:dyDescent="0.25">
      <c r="A63" t="str">
        <f t="shared" si="0"/>
        <v/>
      </c>
      <c r="B63" s="48"/>
      <c r="C63" s="48"/>
      <c r="D63" s="49"/>
      <c r="E63" s="50"/>
    </row>
    <row r="64" spans="1:5" x14ac:dyDescent="0.25">
      <c r="A64" t="str">
        <f t="shared" si="0"/>
        <v/>
      </c>
      <c r="B64" s="48"/>
      <c r="C64" s="48"/>
      <c r="D64" s="49"/>
      <c r="E64" s="50"/>
    </row>
    <row r="65" spans="1:5" x14ac:dyDescent="0.25">
      <c r="A65" t="str">
        <f t="shared" si="0"/>
        <v/>
      </c>
      <c r="B65" s="48"/>
      <c r="C65" s="48"/>
      <c r="D65" s="49"/>
      <c r="E65" s="50"/>
    </row>
    <row r="66" spans="1:5" x14ac:dyDescent="0.25">
      <c r="A66" t="str">
        <f t="shared" ref="A66:A129" si="1">CONCATENATE(B66, C66, D66)</f>
        <v/>
      </c>
      <c r="B66" s="48"/>
      <c r="C66" s="48"/>
      <c r="D66" s="49"/>
      <c r="E66" s="50"/>
    </row>
    <row r="67" spans="1:5" x14ac:dyDescent="0.25">
      <c r="A67" t="str">
        <f t="shared" si="1"/>
        <v/>
      </c>
      <c r="B67" s="48"/>
      <c r="C67" s="48"/>
      <c r="D67" s="49"/>
      <c r="E67" s="50"/>
    </row>
    <row r="68" spans="1:5" x14ac:dyDescent="0.25">
      <c r="A68" t="str">
        <f t="shared" si="1"/>
        <v/>
      </c>
      <c r="B68" s="48"/>
      <c r="C68" s="48"/>
      <c r="D68" s="49"/>
      <c r="E68" s="50"/>
    </row>
    <row r="69" spans="1:5" x14ac:dyDescent="0.25">
      <c r="A69" t="str">
        <f t="shared" si="1"/>
        <v/>
      </c>
      <c r="B69" s="48"/>
      <c r="C69" s="48"/>
      <c r="D69" s="49"/>
      <c r="E69" s="50"/>
    </row>
    <row r="70" spans="1:5" x14ac:dyDescent="0.25">
      <c r="A70" t="str">
        <f t="shared" si="1"/>
        <v/>
      </c>
      <c r="B70" s="48"/>
      <c r="C70" s="48"/>
      <c r="D70" s="49"/>
      <c r="E70" s="50"/>
    </row>
    <row r="71" spans="1:5" x14ac:dyDescent="0.25">
      <c r="A71" t="str">
        <f t="shared" si="1"/>
        <v/>
      </c>
      <c r="B71" s="48"/>
      <c r="C71" s="48"/>
      <c r="D71" s="49"/>
      <c r="E71" s="50"/>
    </row>
    <row r="72" spans="1:5" x14ac:dyDescent="0.25">
      <c r="A72" t="str">
        <f t="shared" si="1"/>
        <v/>
      </c>
      <c r="B72" s="48"/>
      <c r="C72" s="48"/>
      <c r="D72" s="49"/>
      <c r="E72" s="50"/>
    </row>
    <row r="73" spans="1:5" x14ac:dyDescent="0.25">
      <c r="A73" t="str">
        <f t="shared" si="1"/>
        <v/>
      </c>
      <c r="B73" s="48"/>
      <c r="C73" s="48"/>
      <c r="D73" s="49"/>
      <c r="E73" s="50"/>
    </row>
    <row r="74" spans="1:5" x14ac:dyDescent="0.25">
      <c r="A74" t="str">
        <f t="shared" si="1"/>
        <v/>
      </c>
      <c r="B74" s="48"/>
      <c r="C74" s="48"/>
      <c r="D74" s="49"/>
      <c r="E74" s="50"/>
    </row>
    <row r="75" spans="1:5" x14ac:dyDescent="0.25">
      <c r="A75" t="str">
        <f t="shared" si="1"/>
        <v/>
      </c>
      <c r="B75" s="48"/>
      <c r="C75" s="48"/>
      <c r="D75" s="49"/>
      <c r="E75" s="50"/>
    </row>
    <row r="76" spans="1:5" x14ac:dyDescent="0.25">
      <c r="A76" t="str">
        <f t="shared" si="1"/>
        <v/>
      </c>
      <c r="B76" s="48"/>
      <c r="C76" s="48"/>
      <c r="D76" s="49"/>
      <c r="E76" s="50"/>
    </row>
    <row r="77" spans="1:5" x14ac:dyDescent="0.25">
      <c r="A77" t="str">
        <f t="shared" si="1"/>
        <v/>
      </c>
      <c r="B77" s="48"/>
      <c r="C77" s="48"/>
      <c r="D77" s="49"/>
      <c r="E77" s="50"/>
    </row>
    <row r="78" spans="1:5" x14ac:dyDescent="0.25">
      <c r="A78" t="str">
        <f t="shared" si="1"/>
        <v/>
      </c>
      <c r="B78" s="48"/>
      <c r="C78" s="48"/>
      <c r="D78" s="49"/>
      <c r="E78" s="50"/>
    </row>
    <row r="79" spans="1:5" x14ac:dyDescent="0.25">
      <c r="A79" t="str">
        <f t="shared" si="1"/>
        <v/>
      </c>
      <c r="B79" s="48"/>
      <c r="C79" s="48"/>
      <c r="D79" s="49"/>
      <c r="E79" s="50"/>
    </row>
    <row r="80" spans="1:5" x14ac:dyDescent="0.25">
      <c r="A80" t="str">
        <f t="shared" si="1"/>
        <v/>
      </c>
      <c r="B80" s="48"/>
      <c r="C80" s="48"/>
      <c r="D80" s="49"/>
      <c r="E80" s="50"/>
    </row>
    <row r="81" spans="1:5" x14ac:dyDescent="0.25">
      <c r="A81" t="str">
        <f t="shared" si="1"/>
        <v/>
      </c>
      <c r="B81" s="48"/>
      <c r="C81" s="48"/>
      <c r="D81" s="51"/>
      <c r="E81" s="50"/>
    </row>
    <row r="82" spans="1:5" x14ac:dyDescent="0.25">
      <c r="A82" t="str">
        <f t="shared" si="1"/>
        <v/>
      </c>
      <c r="B82" s="48"/>
      <c r="C82" s="48"/>
      <c r="D82" s="51"/>
      <c r="E82" s="50"/>
    </row>
    <row r="83" spans="1:5" x14ac:dyDescent="0.25">
      <c r="A83" t="str">
        <f t="shared" si="1"/>
        <v/>
      </c>
      <c r="B83" s="48"/>
      <c r="C83" s="48"/>
      <c r="D83" s="49"/>
      <c r="E83" s="50"/>
    </row>
    <row r="84" spans="1:5" x14ac:dyDescent="0.25">
      <c r="A84" t="str">
        <f t="shared" si="1"/>
        <v/>
      </c>
      <c r="B84" s="48"/>
      <c r="C84" s="48"/>
      <c r="D84" s="49"/>
      <c r="E84" s="50"/>
    </row>
    <row r="85" spans="1:5" x14ac:dyDescent="0.25">
      <c r="A85" t="str">
        <f t="shared" si="1"/>
        <v/>
      </c>
      <c r="B85" s="48"/>
      <c r="C85" s="48"/>
      <c r="D85" s="51"/>
      <c r="E85" s="50"/>
    </row>
    <row r="86" spans="1:5" x14ac:dyDescent="0.25">
      <c r="A86" t="str">
        <f t="shared" si="1"/>
        <v/>
      </c>
      <c r="B86" s="48"/>
      <c r="C86" s="48"/>
      <c r="D86" s="49"/>
      <c r="E86" s="50"/>
    </row>
    <row r="87" spans="1:5" x14ac:dyDescent="0.25">
      <c r="A87" t="str">
        <f t="shared" si="1"/>
        <v/>
      </c>
      <c r="B87" s="48"/>
      <c r="C87" s="48"/>
      <c r="D87" s="49"/>
      <c r="E87" s="50"/>
    </row>
    <row r="88" spans="1:5" x14ac:dyDescent="0.25">
      <c r="A88" t="str">
        <f t="shared" si="1"/>
        <v/>
      </c>
      <c r="B88" s="48"/>
      <c r="C88" s="48"/>
      <c r="D88" s="51"/>
      <c r="E88" s="50"/>
    </row>
    <row r="89" spans="1:5" x14ac:dyDescent="0.25">
      <c r="A89" t="str">
        <f t="shared" si="1"/>
        <v/>
      </c>
      <c r="B89" s="48"/>
      <c r="C89" s="48"/>
      <c r="D89" s="49"/>
      <c r="E89" s="50"/>
    </row>
    <row r="90" spans="1:5" x14ac:dyDescent="0.25">
      <c r="A90" t="str">
        <f t="shared" si="1"/>
        <v/>
      </c>
      <c r="B90" s="48"/>
      <c r="C90" s="48"/>
      <c r="D90" s="49"/>
      <c r="E90" s="50"/>
    </row>
    <row r="91" spans="1:5" x14ac:dyDescent="0.25">
      <c r="A91" t="str">
        <f t="shared" si="1"/>
        <v/>
      </c>
      <c r="B91" s="48"/>
      <c r="C91" s="48"/>
      <c r="D91" s="49"/>
      <c r="E91" s="50"/>
    </row>
    <row r="92" spans="1:5" x14ac:dyDescent="0.25">
      <c r="A92" t="str">
        <f t="shared" si="1"/>
        <v/>
      </c>
      <c r="B92" s="48"/>
      <c r="C92" s="48"/>
      <c r="D92" s="49"/>
      <c r="E92" s="50"/>
    </row>
    <row r="93" spans="1:5" x14ac:dyDescent="0.25">
      <c r="A93" t="str">
        <f t="shared" si="1"/>
        <v/>
      </c>
      <c r="B93" s="48"/>
      <c r="C93" s="48"/>
      <c r="D93" s="49"/>
      <c r="E93" s="50"/>
    </row>
    <row r="94" spans="1:5" x14ac:dyDescent="0.25">
      <c r="A94" t="str">
        <f t="shared" si="1"/>
        <v/>
      </c>
      <c r="B94" s="48"/>
      <c r="C94" s="48"/>
      <c r="D94" s="51"/>
      <c r="E94" s="50"/>
    </row>
    <row r="95" spans="1:5" x14ac:dyDescent="0.25">
      <c r="A95" t="str">
        <f t="shared" si="1"/>
        <v/>
      </c>
      <c r="B95" s="48"/>
      <c r="C95" s="48"/>
      <c r="D95" s="49"/>
      <c r="E95" s="50"/>
    </row>
    <row r="96" spans="1:5" x14ac:dyDescent="0.25">
      <c r="A96" t="str">
        <f t="shared" si="1"/>
        <v/>
      </c>
      <c r="B96" s="48"/>
      <c r="C96" s="48"/>
      <c r="D96" s="49"/>
      <c r="E96" s="50"/>
    </row>
    <row r="97" spans="1:5" x14ac:dyDescent="0.25">
      <c r="A97" t="str">
        <f t="shared" si="1"/>
        <v/>
      </c>
      <c r="B97" s="48"/>
      <c r="C97" s="48"/>
      <c r="D97" s="49"/>
      <c r="E97" s="50"/>
    </row>
    <row r="98" spans="1:5" x14ac:dyDescent="0.25">
      <c r="A98" t="str">
        <f t="shared" si="1"/>
        <v/>
      </c>
      <c r="B98" s="48"/>
      <c r="C98" s="48"/>
      <c r="D98" s="48"/>
      <c r="E98" s="50"/>
    </row>
    <row r="99" spans="1:5" x14ac:dyDescent="0.25">
      <c r="A99" t="str">
        <f t="shared" si="1"/>
        <v/>
      </c>
      <c r="B99" s="48"/>
      <c r="C99" s="48"/>
      <c r="D99" s="49"/>
      <c r="E99" s="50"/>
    </row>
    <row r="100" spans="1:5" x14ac:dyDescent="0.25">
      <c r="A100" t="str">
        <f t="shared" si="1"/>
        <v/>
      </c>
      <c r="B100" s="48"/>
      <c r="C100" s="48"/>
      <c r="D100" s="49"/>
      <c r="E100" s="50"/>
    </row>
    <row r="101" spans="1:5" x14ac:dyDescent="0.25">
      <c r="A101" t="str">
        <f t="shared" si="1"/>
        <v/>
      </c>
      <c r="B101" s="48"/>
      <c r="C101" s="48"/>
      <c r="D101" s="48"/>
      <c r="E101" s="50"/>
    </row>
    <row r="102" spans="1:5" x14ac:dyDescent="0.25">
      <c r="A102" t="str">
        <f t="shared" si="1"/>
        <v/>
      </c>
      <c r="B102" s="48"/>
      <c r="C102" s="48"/>
      <c r="D102" s="48"/>
      <c r="E102" s="50"/>
    </row>
    <row r="103" spans="1:5" x14ac:dyDescent="0.25">
      <c r="A103" t="str">
        <f t="shared" si="1"/>
        <v/>
      </c>
      <c r="B103" s="48"/>
      <c r="C103" s="48"/>
      <c r="D103" s="48"/>
      <c r="E103" s="50"/>
    </row>
    <row r="104" spans="1:5" x14ac:dyDescent="0.25">
      <c r="A104" t="str">
        <f t="shared" si="1"/>
        <v/>
      </c>
      <c r="B104" s="48"/>
      <c r="C104" s="48"/>
      <c r="E104" s="50"/>
    </row>
    <row r="105" spans="1:5" x14ac:dyDescent="0.25">
      <c r="A105" t="str">
        <f t="shared" si="1"/>
        <v/>
      </c>
      <c r="C105" s="48"/>
      <c r="D105" s="50"/>
      <c r="E105" s="50"/>
    </row>
    <row r="106" spans="1:5" x14ac:dyDescent="0.25">
      <c r="A106" t="str">
        <f t="shared" si="1"/>
        <v/>
      </c>
      <c r="C106" s="48"/>
      <c r="D106" s="50"/>
      <c r="E106" s="50"/>
    </row>
    <row r="107" spans="1:5" x14ac:dyDescent="0.25">
      <c r="A107" t="str">
        <f t="shared" si="1"/>
        <v/>
      </c>
      <c r="C107" s="48"/>
      <c r="D107" s="50"/>
      <c r="E107" s="50"/>
    </row>
    <row r="108" spans="1:5" x14ac:dyDescent="0.25">
      <c r="A108" t="str">
        <f t="shared" si="1"/>
        <v/>
      </c>
      <c r="C108" s="48"/>
      <c r="D108" s="50"/>
      <c r="E108" s="50"/>
    </row>
    <row r="109" spans="1:5" x14ac:dyDescent="0.25">
      <c r="A109" t="str">
        <f t="shared" si="1"/>
        <v/>
      </c>
      <c r="C109" s="48"/>
      <c r="D109" s="50"/>
      <c r="E109" s="50"/>
    </row>
    <row r="110" spans="1:5" x14ac:dyDescent="0.25">
      <c r="A110" t="str">
        <f t="shared" si="1"/>
        <v/>
      </c>
      <c r="C110" s="48"/>
      <c r="D110" s="50"/>
      <c r="E110" s="50"/>
    </row>
    <row r="111" spans="1:5" x14ac:dyDescent="0.25">
      <c r="A111" t="str">
        <f t="shared" si="1"/>
        <v/>
      </c>
      <c r="B111" s="48"/>
      <c r="C111" s="48"/>
      <c r="E111" s="50"/>
    </row>
    <row r="112" spans="1:5" x14ac:dyDescent="0.25">
      <c r="A112" t="str">
        <f t="shared" si="1"/>
        <v/>
      </c>
      <c r="B112" s="48"/>
      <c r="C112" s="48"/>
      <c r="E112" s="50"/>
    </row>
    <row r="113" spans="1:5" x14ac:dyDescent="0.25">
      <c r="A113" t="str">
        <f t="shared" si="1"/>
        <v/>
      </c>
    </row>
    <row r="114" spans="1:5" x14ac:dyDescent="0.25">
      <c r="A114" t="str">
        <f t="shared" si="1"/>
        <v/>
      </c>
      <c r="B114" s="46"/>
      <c r="E114" s="47"/>
    </row>
    <row r="115" spans="1:5" x14ac:dyDescent="0.25">
      <c r="A115" t="str">
        <f t="shared" si="1"/>
        <v/>
      </c>
      <c r="B115" s="46"/>
      <c r="E115" s="47"/>
    </row>
    <row r="116" spans="1:5" x14ac:dyDescent="0.25">
      <c r="A116" t="str">
        <f t="shared" si="1"/>
        <v/>
      </c>
      <c r="B116" s="46"/>
      <c r="E116" s="47"/>
    </row>
    <row r="117" spans="1:5" x14ac:dyDescent="0.25">
      <c r="A117" t="str">
        <f t="shared" si="1"/>
        <v/>
      </c>
      <c r="B117" s="46"/>
      <c r="E117" s="47"/>
    </row>
    <row r="118" spans="1:5" x14ac:dyDescent="0.25">
      <c r="A118" t="str">
        <f t="shared" si="1"/>
        <v/>
      </c>
      <c r="B118" s="46"/>
      <c r="E118" s="47"/>
    </row>
    <row r="119" spans="1:5" x14ac:dyDescent="0.25">
      <c r="A119" t="str">
        <f t="shared" si="1"/>
        <v/>
      </c>
      <c r="B119" s="46"/>
      <c r="E119" s="47"/>
    </row>
    <row r="120" spans="1:5" x14ac:dyDescent="0.25">
      <c r="A120" t="str">
        <f t="shared" si="1"/>
        <v/>
      </c>
      <c r="B120" s="46"/>
      <c r="E120" s="47"/>
    </row>
    <row r="121" spans="1:5" x14ac:dyDescent="0.25">
      <c r="A121" t="str">
        <f t="shared" si="1"/>
        <v/>
      </c>
      <c r="B121" s="46"/>
      <c r="E121" s="47"/>
    </row>
    <row r="122" spans="1:5" x14ac:dyDescent="0.25">
      <c r="A122" t="str">
        <f t="shared" si="1"/>
        <v/>
      </c>
      <c r="B122" s="48"/>
      <c r="E122" s="47"/>
    </row>
    <row r="123" spans="1:5" x14ac:dyDescent="0.25">
      <c r="A123" t="str">
        <f t="shared" si="1"/>
        <v/>
      </c>
      <c r="B123" s="48"/>
      <c r="E123" s="47"/>
    </row>
    <row r="124" spans="1:5" x14ac:dyDescent="0.25">
      <c r="A124" t="str">
        <f t="shared" si="1"/>
        <v/>
      </c>
      <c r="B124" s="48"/>
      <c r="E124" s="47"/>
    </row>
    <row r="125" spans="1:5" x14ac:dyDescent="0.25">
      <c r="A125" t="str">
        <f t="shared" si="1"/>
        <v/>
      </c>
      <c r="B125" s="48"/>
      <c r="E125" s="47"/>
    </row>
    <row r="126" spans="1:5" x14ac:dyDescent="0.25">
      <c r="A126" t="str">
        <f t="shared" si="1"/>
        <v/>
      </c>
      <c r="B126" s="48"/>
      <c r="E126" s="47"/>
    </row>
    <row r="127" spans="1:5" x14ac:dyDescent="0.25">
      <c r="A127" t="str">
        <f t="shared" si="1"/>
        <v/>
      </c>
      <c r="B127" s="48"/>
      <c r="E127" s="47"/>
    </row>
    <row r="128" spans="1:5" x14ac:dyDescent="0.25">
      <c r="A128" t="str">
        <f t="shared" si="1"/>
        <v/>
      </c>
      <c r="B128" s="48"/>
      <c r="E128" s="47"/>
    </row>
    <row r="129" spans="1:5" x14ac:dyDescent="0.25">
      <c r="A129" t="str">
        <f t="shared" si="1"/>
        <v/>
      </c>
      <c r="B129" s="48"/>
      <c r="C129" s="48"/>
      <c r="D129" s="49"/>
      <c r="E129" s="50"/>
    </row>
    <row r="130" spans="1:5" x14ac:dyDescent="0.25">
      <c r="A130" t="str">
        <f t="shared" ref="A130:A193" si="2">CONCATENATE(B130, C130, D130)</f>
        <v/>
      </c>
      <c r="B130" s="48"/>
      <c r="C130" s="48"/>
      <c r="D130" s="49"/>
      <c r="E130" s="50"/>
    </row>
    <row r="131" spans="1:5" x14ac:dyDescent="0.25">
      <c r="A131" t="str">
        <f t="shared" si="2"/>
        <v/>
      </c>
      <c r="B131" s="48"/>
      <c r="C131" s="48"/>
      <c r="D131" s="49"/>
      <c r="E131" s="50"/>
    </row>
    <row r="132" spans="1:5" x14ac:dyDescent="0.25">
      <c r="A132" t="str">
        <f t="shared" si="2"/>
        <v/>
      </c>
      <c r="B132" s="48"/>
      <c r="C132" s="48"/>
      <c r="D132" s="49"/>
      <c r="E132" s="50"/>
    </row>
    <row r="133" spans="1:5" x14ac:dyDescent="0.25">
      <c r="A133" t="str">
        <f t="shared" si="2"/>
        <v/>
      </c>
      <c r="B133" s="48"/>
      <c r="C133" s="48"/>
      <c r="D133" s="49"/>
      <c r="E133" s="50"/>
    </row>
    <row r="134" spans="1:5" x14ac:dyDescent="0.25">
      <c r="A134" t="str">
        <f t="shared" si="2"/>
        <v/>
      </c>
      <c r="B134" s="48"/>
      <c r="C134" s="48"/>
      <c r="D134" s="49"/>
      <c r="E134" s="50"/>
    </row>
    <row r="135" spans="1:5" x14ac:dyDescent="0.25">
      <c r="A135" t="str">
        <f t="shared" si="2"/>
        <v/>
      </c>
      <c r="B135" s="48"/>
      <c r="C135" s="48"/>
      <c r="D135" s="49"/>
      <c r="E135" s="50"/>
    </row>
    <row r="136" spans="1:5" x14ac:dyDescent="0.25">
      <c r="A136" t="str">
        <f t="shared" si="2"/>
        <v/>
      </c>
      <c r="B136" s="48"/>
      <c r="C136" s="48"/>
      <c r="D136" s="49"/>
      <c r="E136" s="50"/>
    </row>
    <row r="137" spans="1:5" x14ac:dyDescent="0.25">
      <c r="A137" t="str">
        <f t="shared" si="2"/>
        <v/>
      </c>
      <c r="B137" s="48"/>
      <c r="C137" s="48"/>
      <c r="D137" s="49"/>
      <c r="E137" s="50"/>
    </row>
    <row r="138" spans="1:5" x14ac:dyDescent="0.25">
      <c r="A138" t="str">
        <f t="shared" si="2"/>
        <v/>
      </c>
      <c r="B138" s="48"/>
      <c r="C138" s="48"/>
      <c r="D138" s="49"/>
      <c r="E138" s="50"/>
    </row>
    <row r="139" spans="1:5" x14ac:dyDescent="0.25">
      <c r="A139" t="str">
        <f t="shared" si="2"/>
        <v/>
      </c>
      <c r="B139" s="48"/>
      <c r="C139" s="48"/>
      <c r="D139" s="49"/>
      <c r="E139" s="50"/>
    </row>
    <row r="140" spans="1:5" x14ac:dyDescent="0.25">
      <c r="A140" t="str">
        <f t="shared" si="2"/>
        <v/>
      </c>
      <c r="B140" s="48"/>
      <c r="C140" s="48"/>
      <c r="D140" s="49"/>
      <c r="E140" s="50"/>
    </row>
    <row r="141" spans="1:5" x14ac:dyDescent="0.25">
      <c r="A141" t="str">
        <f t="shared" si="2"/>
        <v/>
      </c>
      <c r="B141" s="48"/>
      <c r="C141" s="48"/>
      <c r="D141" s="49"/>
      <c r="E141" s="50"/>
    </row>
    <row r="142" spans="1:5" x14ac:dyDescent="0.25">
      <c r="A142" t="str">
        <f t="shared" si="2"/>
        <v/>
      </c>
      <c r="B142" s="48"/>
      <c r="C142" s="48"/>
      <c r="D142" s="49"/>
      <c r="E142" s="50"/>
    </row>
    <row r="143" spans="1:5" x14ac:dyDescent="0.25">
      <c r="A143" t="str">
        <f t="shared" si="2"/>
        <v/>
      </c>
      <c r="B143" s="48"/>
      <c r="C143" s="48"/>
      <c r="D143" s="49"/>
      <c r="E143" s="50"/>
    </row>
    <row r="144" spans="1:5" x14ac:dyDescent="0.25">
      <c r="A144" t="str">
        <f t="shared" si="2"/>
        <v/>
      </c>
      <c r="B144" s="48"/>
      <c r="C144" s="48"/>
      <c r="D144" s="49"/>
      <c r="E144" s="50"/>
    </row>
    <row r="145" spans="1:5" x14ac:dyDescent="0.25">
      <c r="A145" t="str">
        <f t="shared" si="2"/>
        <v/>
      </c>
      <c r="B145" s="48"/>
      <c r="C145" s="48"/>
      <c r="D145" s="49"/>
      <c r="E145" s="50"/>
    </row>
    <row r="146" spans="1:5" x14ac:dyDescent="0.25">
      <c r="A146" t="str">
        <f t="shared" si="2"/>
        <v/>
      </c>
      <c r="B146" s="48"/>
      <c r="C146" s="48"/>
      <c r="D146" s="49"/>
      <c r="E146" s="50"/>
    </row>
    <row r="147" spans="1:5" x14ac:dyDescent="0.25">
      <c r="A147" t="str">
        <f t="shared" si="2"/>
        <v/>
      </c>
      <c r="B147" s="48"/>
      <c r="C147" s="48"/>
      <c r="D147" s="49"/>
      <c r="E147" s="50"/>
    </row>
    <row r="148" spans="1:5" x14ac:dyDescent="0.25">
      <c r="A148" t="str">
        <f t="shared" si="2"/>
        <v/>
      </c>
      <c r="B148" s="48"/>
      <c r="C148" s="48"/>
      <c r="D148" s="49"/>
      <c r="E148" s="50"/>
    </row>
    <row r="149" spans="1:5" x14ac:dyDescent="0.25">
      <c r="A149" t="str">
        <f t="shared" si="2"/>
        <v/>
      </c>
      <c r="B149" s="48"/>
      <c r="C149" s="48"/>
      <c r="D149" s="49"/>
      <c r="E149" s="50"/>
    </row>
    <row r="150" spans="1:5" x14ac:dyDescent="0.25">
      <c r="A150" t="str">
        <f t="shared" si="2"/>
        <v/>
      </c>
      <c r="B150" s="48"/>
      <c r="C150" s="48"/>
      <c r="D150" s="49"/>
      <c r="E150" s="50"/>
    </row>
    <row r="151" spans="1:5" x14ac:dyDescent="0.25">
      <c r="A151" t="str">
        <f t="shared" si="2"/>
        <v/>
      </c>
      <c r="B151" s="48"/>
      <c r="C151" s="48"/>
      <c r="D151" s="49"/>
      <c r="E151" s="50"/>
    </row>
    <row r="152" spans="1:5" x14ac:dyDescent="0.25">
      <c r="A152" t="str">
        <f t="shared" si="2"/>
        <v/>
      </c>
      <c r="B152" s="48"/>
      <c r="C152" s="48"/>
      <c r="D152" s="49"/>
      <c r="E152" s="50"/>
    </row>
    <row r="153" spans="1:5" x14ac:dyDescent="0.25">
      <c r="A153" t="str">
        <f t="shared" si="2"/>
        <v/>
      </c>
      <c r="B153" s="48"/>
      <c r="C153" s="48"/>
      <c r="D153" s="49"/>
      <c r="E153" s="50"/>
    </row>
    <row r="154" spans="1:5" x14ac:dyDescent="0.25">
      <c r="A154" t="str">
        <f t="shared" si="2"/>
        <v/>
      </c>
      <c r="B154" s="48"/>
      <c r="C154" s="48"/>
      <c r="D154" s="49"/>
      <c r="E154" s="50"/>
    </row>
    <row r="155" spans="1:5" x14ac:dyDescent="0.25">
      <c r="A155" t="str">
        <f t="shared" si="2"/>
        <v/>
      </c>
      <c r="B155" s="48"/>
      <c r="C155" s="48"/>
      <c r="D155" s="49"/>
      <c r="E155" s="50"/>
    </row>
    <row r="156" spans="1:5" x14ac:dyDescent="0.25">
      <c r="A156" t="str">
        <f t="shared" si="2"/>
        <v/>
      </c>
      <c r="B156" s="48"/>
      <c r="C156" s="48"/>
      <c r="D156" s="49"/>
      <c r="E156" s="50"/>
    </row>
    <row r="157" spans="1:5" x14ac:dyDescent="0.25">
      <c r="A157" t="str">
        <f t="shared" si="2"/>
        <v/>
      </c>
      <c r="B157" s="48"/>
      <c r="C157" s="48"/>
      <c r="D157" s="49"/>
      <c r="E157" s="50"/>
    </row>
    <row r="158" spans="1:5" x14ac:dyDescent="0.25">
      <c r="A158" t="str">
        <f t="shared" si="2"/>
        <v/>
      </c>
      <c r="B158" s="48"/>
      <c r="C158" s="48"/>
      <c r="D158" s="49"/>
      <c r="E158" s="50"/>
    </row>
    <row r="159" spans="1:5" x14ac:dyDescent="0.25">
      <c r="A159" t="str">
        <f t="shared" si="2"/>
        <v/>
      </c>
      <c r="B159" s="48"/>
      <c r="C159" s="48"/>
      <c r="D159" s="49"/>
      <c r="E159" s="50"/>
    </row>
    <row r="160" spans="1:5" x14ac:dyDescent="0.25">
      <c r="A160" t="str">
        <f t="shared" si="2"/>
        <v/>
      </c>
      <c r="B160" s="48"/>
      <c r="C160" s="48"/>
      <c r="D160" s="49"/>
      <c r="E160" s="50"/>
    </row>
    <row r="161" spans="1:5" x14ac:dyDescent="0.25">
      <c r="A161" t="str">
        <f t="shared" si="2"/>
        <v/>
      </c>
      <c r="B161" s="48"/>
      <c r="C161" s="48"/>
      <c r="D161" s="49"/>
      <c r="E161" s="50"/>
    </row>
    <row r="162" spans="1:5" x14ac:dyDescent="0.25">
      <c r="A162" t="str">
        <f t="shared" si="2"/>
        <v/>
      </c>
      <c r="B162" s="48"/>
      <c r="C162" s="48"/>
      <c r="D162" s="49"/>
      <c r="E162" s="50"/>
    </row>
    <row r="163" spans="1:5" x14ac:dyDescent="0.25">
      <c r="A163" t="str">
        <f t="shared" si="2"/>
        <v/>
      </c>
      <c r="B163" s="48"/>
      <c r="C163" s="48"/>
      <c r="D163" s="49"/>
      <c r="E163" s="50"/>
    </row>
    <row r="164" spans="1:5" x14ac:dyDescent="0.25">
      <c r="A164" t="str">
        <f t="shared" si="2"/>
        <v/>
      </c>
      <c r="B164" s="48"/>
      <c r="C164" s="48"/>
      <c r="D164" s="49"/>
      <c r="E164" s="50"/>
    </row>
    <row r="165" spans="1:5" x14ac:dyDescent="0.25">
      <c r="A165" t="str">
        <f t="shared" si="2"/>
        <v/>
      </c>
      <c r="B165" s="48"/>
      <c r="C165" s="48"/>
      <c r="D165" s="49"/>
      <c r="E165" s="50"/>
    </row>
    <row r="166" spans="1:5" x14ac:dyDescent="0.25">
      <c r="A166" t="str">
        <f t="shared" si="2"/>
        <v/>
      </c>
      <c r="B166" s="48"/>
      <c r="C166" s="48"/>
      <c r="D166" s="49"/>
      <c r="E166" s="50"/>
    </row>
    <row r="167" spans="1:5" x14ac:dyDescent="0.25">
      <c r="A167" t="str">
        <f t="shared" si="2"/>
        <v/>
      </c>
      <c r="B167" s="48"/>
      <c r="C167" s="48"/>
      <c r="D167" s="49"/>
      <c r="E167" s="50"/>
    </row>
    <row r="168" spans="1:5" x14ac:dyDescent="0.25">
      <c r="A168" t="str">
        <f t="shared" si="2"/>
        <v/>
      </c>
      <c r="B168" s="48"/>
      <c r="C168" s="48"/>
      <c r="D168" s="49"/>
      <c r="E168" s="50"/>
    </row>
    <row r="169" spans="1:5" x14ac:dyDescent="0.25">
      <c r="A169" t="str">
        <f t="shared" si="2"/>
        <v/>
      </c>
      <c r="B169" s="48"/>
      <c r="C169" s="48"/>
      <c r="D169" s="49"/>
      <c r="E169" s="50"/>
    </row>
    <row r="170" spans="1:5" x14ac:dyDescent="0.25">
      <c r="A170" t="str">
        <f t="shared" si="2"/>
        <v/>
      </c>
      <c r="B170" s="48"/>
      <c r="C170" s="48"/>
      <c r="D170" s="49"/>
      <c r="E170" s="50"/>
    </row>
    <row r="171" spans="1:5" x14ac:dyDescent="0.25">
      <c r="A171" t="str">
        <f t="shared" si="2"/>
        <v/>
      </c>
      <c r="B171" s="48"/>
      <c r="C171" s="48"/>
      <c r="D171" s="49"/>
      <c r="E171" s="50"/>
    </row>
    <row r="172" spans="1:5" x14ac:dyDescent="0.25">
      <c r="A172" t="str">
        <f t="shared" si="2"/>
        <v/>
      </c>
      <c r="B172" s="48"/>
      <c r="C172" s="48"/>
      <c r="D172" s="49"/>
      <c r="E172" s="50"/>
    </row>
    <row r="173" spans="1:5" x14ac:dyDescent="0.25">
      <c r="A173" t="str">
        <f t="shared" si="2"/>
        <v/>
      </c>
      <c r="B173" s="48"/>
      <c r="C173" s="48"/>
      <c r="D173" s="49"/>
      <c r="E173" s="50"/>
    </row>
    <row r="174" spans="1:5" x14ac:dyDescent="0.25">
      <c r="A174" t="str">
        <f t="shared" si="2"/>
        <v/>
      </c>
      <c r="B174" s="48"/>
      <c r="C174" s="48"/>
      <c r="D174" s="49"/>
      <c r="E174" s="50"/>
    </row>
    <row r="175" spans="1:5" x14ac:dyDescent="0.25">
      <c r="A175" t="str">
        <f t="shared" si="2"/>
        <v/>
      </c>
      <c r="B175" s="48"/>
      <c r="C175" s="48"/>
      <c r="D175" s="49"/>
      <c r="E175" s="50"/>
    </row>
    <row r="176" spans="1:5" x14ac:dyDescent="0.25">
      <c r="A176" t="str">
        <f t="shared" si="2"/>
        <v/>
      </c>
      <c r="B176" s="48"/>
      <c r="C176" s="48"/>
      <c r="D176" s="49"/>
      <c r="E176" s="50"/>
    </row>
    <row r="177" spans="1:5" x14ac:dyDescent="0.25">
      <c r="A177" t="str">
        <f t="shared" si="2"/>
        <v/>
      </c>
      <c r="B177" s="48"/>
      <c r="C177" s="48"/>
      <c r="D177" s="49"/>
      <c r="E177" s="50"/>
    </row>
    <row r="178" spans="1:5" x14ac:dyDescent="0.25">
      <c r="A178" t="str">
        <f t="shared" si="2"/>
        <v/>
      </c>
      <c r="B178" s="48"/>
      <c r="C178" s="48"/>
      <c r="D178" s="49"/>
      <c r="E178" s="50"/>
    </row>
    <row r="179" spans="1:5" x14ac:dyDescent="0.25">
      <c r="A179" t="str">
        <f t="shared" si="2"/>
        <v/>
      </c>
      <c r="B179" s="48"/>
      <c r="C179" s="48"/>
      <c r="D179" s="49"/>
      <c r="E179" s="50"/>
    </row>
    <row r="180" spans="1:5" x14ac:dyDescent="0.25">
      <c r="A180" t="str">
        <f t="shared" si="2"/>
        <v/>
      </c>
      <c r="B180" s="48"/>
      <c r="C180" s="48"/>
      <c r="D180" s="49"/>
      <c r="E180" s="50"/>
    </row>
    <row r="181" spans="1:5" x14ac:dyDescent="0.25">
      <c r="A181" t="str">
        <f t="shared" si="2"/>
        <v/>
      </c>
      <c r="B181" s="48"/>
      <c r="C181" s="48"/>
      <c r="D181" s="49"/>
      <c r="E181" s="50"/>
    </row>
    <row r="182" spans="1:5" x14ac:dyDescent="0.25">
      <c r="A182" t="str">
        <f t="shared" si="2"/>
        <v/>
      </c>
      <c r="B182" s="48"/>
      <c r="C182" s="48"/>
      <c r="D182" s="49"/>
      <c r="E182" s="50"/>
    </row>
    <row r="183" spans="1:5" x14ac:dyDescent="0.25">
      <c r="A183" t="str">
        <f t="shared" si="2"/>
        <v/>
      </c>
      <c r="B183" s="48"/>
      <c r="C183" s="48"/>
      <c r="D183" s="49"/>
      <c r="E183" s="50"/>
    </row>
    <row r="184" spans="1:5" x14ac:dyDescent="0.25">
      <c r="A184" t="str">
        <f t="shared" si="2"/>
        <v/>
      </c>
      <c r="B184" s="48"/>
      <c r="C184" s="48"/>
      <c r="D184" s="49"/>
      <c r="E184" s="50"/>
    </row>
    <row r="185" spans="1:5" x14ac:dyDescent="0.25">
      <c r="A185" t="str">
        <f t="shared" si="2"/>
        <v/>
      </c>
      <c r="B185" s="48"/>
      <c r="C185" s="48"/>
      <c r="D185" s="49"/>
      <c r="E185" s="50"/>
    </row>
    <row r="186" spans="1:5" x14ac:dyDescent="0.25">
      <c r="A186" t="str">
        <f t="shared" si="2"/>
        <v/>
      </c>
      <c r="B186" s="48"/>
      <c r="C186" s="48"/>
      <c r="D186" s="49"/>
      <c r="E186" s="50"/>
    </row>
    <row r="187" spans="1:5" x14ac:dyDescent="0.25">
      <c r="A187" t="str">
        <f t="shared" si="2"/>
        <v/>
      </c>
      <c r="B187" s="48"/>
      <c r="C187" s="48"/>
      <c r="D187" s="49"/>
      <c r="E187" s="50"/>
    </row>
    <row r="188" spans="1:5" x14ac:dyDescent="0.25">
      <c r="A188" t="str">
        <f t="shared" si="2"/>
        <v/>
      </c>
      <c r="B188" s="48"/>
      <c r="C188" s="48"/>
      <c r="D188" s="49"/>
      <c r="E188" s="50"/>
    </row>
    <row r="189" spans="1:5" x14ac:dyDescent="0.25">
      <c r="A189" t="str">
        <f t="shared" si="2"/>
        <v/>
      </c>
      <c r="B189" s="48"/>
      <c r="C189" s="48"/>
      <c r="D189" s="49"/>
      <c r="E189" s="50"/>
    </row>
    <row r="190" spans="1:5" x14ac:dyDescent="0.25">
      <c r="A190" t="str">
        <f t="shared" si="2"/>
        <v/>
      </c>
      <c r="B190" s="48"/>
      <c r="C190" s="48"/>
      <c r="D190" s="49"/>
      <c r="E190" s="50"/>
    </row>
    <row r="191" spans="1:5" x14ac:dyDescent="0.25">
      <c r="A191" t="str">
        <f t="shared" si="2"/>
        <v/>
      </c>
      <c r="B191" s="48"/>
      <c r="C191" s="48"/>
      <c r="D191" s="49"/>
      <c r="E191" s="50"/>
    </row>
    <row r="192" spans="1:5" x14ac:dyDescent="0.25">
      <c r="A192" t="str">
        <f t="shared" si="2"/>
        <v/>
      </c>
      <c r="B192" s="48"/>
      <c r="C192" s="48"/>
      <c r="D192" s="49"/>
      <c r="E192" s="50"/>
    </row>
    <row r="193" spans="1:5" x14ac:dyDescent="0.25">
      <c r="A193" t="str">
        <f t="shared" si="2"/>
        <v/>
      </c>
      <c r="B193" s="48"/>
      <c r="C193" s="48"/>
      <c r="D193" s="51"/>
      <c r="E193" s="50"/>
    </row>
    <row r="194" spans="1:5" x14ac:dyDescent="0.25">
      <c r="A194" t="str">
        <f t="shared" ref="A194:A257" si="3">CONCATENATE(B194, C194, D194)</f>
        <v/>
      </c>
      <c r="B194" s="48"/>
      <c r="C194" s="48"/>
      <c r="D194" s="49"/>
      <c r="E194" s="50"/>
    </row>
    <row r="195" spans="1:5" x14ac:dyDescent="0.25">
      <c r="A195" t="str">
        <f t="shared" si="3"/>
        <v/>
      </c>
      <c r="B195" s="48"/>
      <c r="C195" s="48"/>
      <c r="D195" s="49"/>
      <c r="E195" s="50"/>
    </row>
    <row r="196" spans="1:5" x14ac:dyDescent="0.25">
      <c r="A196" t="str">
        <f t="shared" si="3"/>
        <v/>
      </c>
      <c r="B196" s="48"/>
      <c r="C196" s="48"/>
      <c r="D196" s="51"/>
      <c r="E196" s="50"/>
    </row>
    <row r="197" spans="1:5" x14ac:dyDescent="0.25">
      <c r="A197" t="str">
        <f t="shared" si="3"/>
        <v/>
      </c>
      <c r="B197" s="48"/>
      <c r="C197" s="48"/>
      <c r="D197" s="49"/>
      <c r="E197" s="50"/>
    </row>
    <row r="198" spans="1:5" x14ac:dyDescent="0.25">
      <c r="A198" t="str">
        <f t="shared" si="3"/>
        <v/>
      </c>
      <c r="B198" s="48"/>
      <c r="C198" s="48"/>
      <c r="D198" s="49"/>
      <c r="E198" s="50"/>
    </row>
    <row r="199" spans="1:5" x14ac:dyDescent="0.25">
      <c r="A199" t="str">
        <f t="shared" si="3"/>
        <v/>
      </c>
      <c r="B199" s="48"/>
      <c r="C199" s="48"/>
      <c r="D199" s="49"/>
      <c r="E199" s="50"/>
    </row>
    <row r="200" spans="1:5" x14ac:dyDescent="0.25">
      <c r="A200" t="str">
        <f t="shared" si="3"/>
        <v/>
      </c>
      <c r="B200" s="48"/>
      <c r="C200" s="48"/>
      <c r="D200" s="49"/>
      <c r="E200" s="50"/>
    </row>
    <row r="201" spans="1:5" x14ac:dyDescent="0.25">
      <c r="A201" t="str">
        <f t="shared" si="3"/>
        <v/>
      </c>
      <c r="B201" s="48"/>
      <c r="C201" s="48"/>
      <c r="D201" s="49"/>
      <c r="E201" s="50"/>
    </row>
    <row r="202" spans="1:5" x14ac:dyDescent="0.25">
      <c r="A202" t="str">
        <f t="shared" si="3"/>
        <v/>
      </c>
      <c r="B202" s="48"/>
      <c r="C202" s="48"/>
      <c r="D202" s="51"/>
      <c r="E202" s="50"/>
    </row>
    <row r="203" spans="1:5" x14ac:dyDescent="0.25">
      <c r="A203" t="str">
        <f t="shared" si="3"/>
        <v/>
      </c>
      <c r="B203" s="48"/>
      <c r="C203" s="48"/>
      <c r="D203" s="49"/>
      <c r="E203" s="50"/>
    </row>
    <row r="204" spans="1:5" x14ac:dyDescent="0.25">
      <c r="A204" t="str">
        <f t="shared" si="3"/>
        <v/>
      </c>
      <c r="B204" s="48"/>
      <c r="C204" s="48"/>
      <c r="D204" s="51"/>
      <c r="E204" s="50"/>
    </row>
    <row r="205" spans="1:5" x14ac:dyDescent="0.25">
      <c r="A205" t="str">
        <f t="shared" si="3"/>
        <v/>
      </c>
      <c r="B205" s="48"/>
      <c r="C205" s="48"/>
      <c r="D205" s="49"/>
      <c r="E205" s="50"/>
    </row>
    <row r="206" spans="1:5" x14ac:dyDescent="0.25">
      <c r="A206" t="str">
        <f t="shared" si="3"/>
        <v/>
      </c>
      <c r="B206" s="48"/>
      <c r="C206" s="48"/>
      <c r="D206" s="49"/>
      <c r="E206" s="50"/>
    </row>
    <row r="207" spans="1:5" x14ac:dyDescent="0.25">
      <c r="A207" t="str">
        <f t="shared" si="3"/>
        <v/>
      </c>
      <c r="B207" s="48"/>
      <c r="C207" s="48"/>
      <c r="D207" s="51"/>
      <c r="E207" s="50"/>
    </row>
    <row r="208" spans="1:5" x14ac:dyDescent="0.25">
      <c r="A208" t="str">
        <f t="shared" si="3"/>
        <v/>
      </c>
      <c r="B208" s="48"/>
      <c r="C208" s="48"/>
      <c r="D208" s="49"/>
      <c r="E208" s="50"/>
    </row>
    <row r="209" spans="1:5" x14ac:dyDescent="0.25">
      <c r="A209" t="str">
        <f t="shared" si="3"/>
        <v/>
      </c>
      <c r="B209" s="48"/>
      <c r="C209" s="48"/>
      <c r="D209" s="49"/>
      <c r="E209" s="50"/>
    </row>
    <row r="210" spans="1:5" x14ac:dyDescent="0.25">
      <c r="A210" t="str">
        <f t="shared" si="3"/>
        <v/>
      </c>
      <c r="B210" s="48"/>
      <c r="C210" s="48"/>
      <c r="D210" s="48"/>
      <c r="E210" s="50"/>
    </row>
    <row r="211" spans="1:5" x14ac:dyDescent="0.25">
      <c r="A211" t="str">
        <f t="shared" si="3"/>
        <v/>
      </c>
      <c r="B211" s="48"/>
      <c r="C211" s="48"/>
      <c r="D211" s="49"/>
      <c r="E211" s="50"/>
    </row>
    <row r="212" spans="1:5" x14ac:dyDescent="0.25">
      <c r="A212" t="str">
        <f t="shared" si="3"/>
        <v/>
      </c>
      <c r="B212" s="48"/>
      <c r="C212" s="48"/>
      <c r="D212" s="49"/>
      <c r="E212" s="50"/>
    </row>
    <row r="213" spans="1:5" x14ac:dyDescent="0.25">
      <c r="A213" t="str">
        <f t="shared" si="3"/>
        <v/>
      </c>
      <c r="B213" s="48"/>
      <c r="C213" s="48"/>
      <c r="D213" s="48"/>
      <c r="E213" s="50"/>
    </row>
    <row r="214" spans="1:5" x14ac:dyDescent="0.25">
      <c r="A214" t="str">
        <f t="shared" si="3"/>
        <v/>
      </c>
      <c r="B214" s="48"/>
      <c r="C214" s="48"/>
      <c r="D214" s="48"/>
      <c r="E214" s="50"/>
    </row>
    <row r="215" spans="1:5" x14ac:dyDescent="0.25">
      <c r="A215" t="str">
        <f t="shared" si="3"/>
        <v/>
      </c>
      <c r="B215" s="48"/>
      <c r="C215" s="48"/>
      <c r="D215" s="48"/>
      <c r="E215" s="50"/>
    </row>
    <row r="216" spans="1:5" x14ac:dyDescent="0.25">
      <c r="A216" t="str">
        <f t="shared" si="3"/>
        <v/>
      </c>
      <c r="B216" s="48"/>
      <c r="C216" s="48"/>
      <c r="E216" s="50"/>
    </row>
    <row r="217" spans="1:5" x14ac:dyDescent="0.25">
      <c r="A217" t="str">
        <f t="shared" si="3"/>
        <v/>
      </c>
      <c r="C217" s="48"/>
      <c r="D217" s="50"/>
      <c r="E217" s="50"/>
    </row>
    <row r="218" spans="1:5" x14ac:dyDescent="0.25">
      <c r="A218" t="str">
        <f t="shared" si="3"/>
        <v/>
      </c>
      <c r="C218" s="48"/>
      <c r="D218" s="50"/>
      <c r="E218" s="50"/>
    </row>
    <row r="219" spans="1:5" x14ac:dyDescent="0.25">
      <c r="A219" t="str">
        <f t="shared" si="3"/>
        <v/>
      </c>
      <c r="C219" s="48"/>
      <c r="D219" s="50"/>
      <c r="E219" s="50"/>
    </row>
    <row r="220" spans="1:5" x14ac:dyDescent="0.25">
      <c r="A220" t="str">
        <f t="shared" si="3"/>
        <v/>
      </c>
      <c r="C220" s="48"/>
      <c r="D220" s="50"/>
      <c r="E220" s="50"/>
    </row>
    <row r="221" spans="1:5" x14ac:dyDescent="0.25">
      <c r="A221" t="str">
        <f t="shared" si="3"/>
        <v/>
      </c>
      <c r="C221" s="48"/>
      <c r="D221" s="50"/>
      <c r="E221" s="50"/>
    </row>
    <row r="222" spans="1:5" x14ac:dyDescent="0.25">
      <c r="A222" t="str">
        <f t="shared" si="3"/>
        <v/>
      </c>
      <c r="C222" s="48"/>
      <c r="D222" s="50"/>
      <c r="E222" s="50"/>
    </row>
    <row r="223" spans="1:5" x14ac:dyDescent="0.25">
      <c r="A223" t="str">
        <f t="shared" si="3"/>
        <v/>
      </c>
      <c r="B223" s="48"/>
      <c r="C223" s="48"/>
      <c r="E223" s="50"/>
    </row>
    <row r="224" spans="1:5" x14ac:dyDescent="0.25">
      <c r="A224" t="str">
        <f t="shared" si="3"/>
        <v/>
      </c>
      <c r="B224" s="48"/>
      <c r="C224" s="48"/>
      <c r="E224" s="50"/>
    </row>
    <row r="225" spans="1:5" x14ac:dyDescent="0.25">
      <c r="A225" t="str">
        <f t="shared" si="3"/>
        <v/>
      </c>
    </row>
    <row r="226" spans="1:5" x14ac:dyDescent="0.25">
      <c r="A226" t="str">
        <f t="shared" si="3"/>
        <v/>
      </c>
      <c r="B226" s="46"/>
      <c r="E226" s="47"/>
    </row>
    <row r="227" spans="1:5" x14ac:dyDescent="0.25">
      <c r="A227" t="str">
        <f t="shared" si="3"/>
        <v/>
      </c>
      <c r="B227" s="48"/>
      <c r="E227" s="47"/>
    </row>
    <row r="228" spans="1:5" x14ac:dyDescent="0.25">
      <c r="A228" t="str">
        <f t="shared" si="3"/>
        <v/>
      </c>
      <c r="B228" s="48"/>
      <c r="E228" s="47"/>
    </row>
    <row r="229" spans="1:5" x14ac:dyDescent="0.25">
      <c r="A229" t="str">
        <f t="shared" si="3"/>
        <v/>
      </c>
      <c r="B229" s="48"/>
      <c r="E229" s="47"/>
    </row>
    <row r="230" spans="1:5" x14ac:dyDescent="0.25">
      <c r="A230" t="str">
        <f t="shared" si="3"/>
        <v/>
      </c>
      <c r="B230" s="48"/>
      <c r="E230" s="47"/>
    </row>
    <row r="231" spans="1:5" x14ac:dyDescent="0.25">
      <c r="A231" t="str">
        <f t="shared" si="3"/>
        <v/>
      </c>
      <c r="B231" s="48"/>
      <c r="E231" s="47"/>
    </row>
    <row r="232" spans="1:5" x14ac:dyDescent="0.25">
      <c r="A232" t="str">
        <f t="shared" si="3"/>
        <v/>
      </c>
      <c r="B232" s="48"/>
      <c r="E232" s="47"/>
    </row>
    <row r="233" spans="1:5" x14ac:dyDescent="0.25">
      <c r="A233" t="str">
        <f t="shared" si="3"/>
        <v/>
      </c>
      <c r="B233" s="48"/>
      <c r="E233" s="47"/>
    </row>
    <row r="234" spans="1:5" x14ac:dyDescent="0.25">
      <c r="A234" t="str">
        <f t="shared" si="3"/>
        <v/>
      </c>
      <c r="B234" s="48"/>
      <c r="E234" s="47"/>
    </row>
    <row r="235" spans="1:5" x14ac:dyDescent="0.25">
      <c r="A235" t="str">
        <f t="shared" si="3"/>
        <v/>
      </c>
      <c r="B235" s="48"/>
      <c r="E235" s="47"/>
    </row>
    <row r="236" spans="1:5" x14ac:dyDescent="0.25">
      <c r="A236" t="str">
        <f t="shared" si="3"/>
        <v/>
      </c>
      <c r="B236" s="48"/>
      <c r="E236" s="47"/>
    </row>
    <row r="237" spans="1:5" x14ac:dyDescent="0.25">
      <c r="A237" t="str">
        <f t="shared" si="3"/>
        <v/>
      </c>
      <c r="B237" s="48"/>
      <c r="E237" s="47"/>
    </row>
    <row r="238" spans="1:5" x14ac:dyDescent="0.25">
      <c r="A238" t="str">
        <f t="shared" si="3"/>
        <v/>
      </c>
      <c r="B238" s="48"/>
      <c r="E238" s="47"/>
    </row>
    <row r="239" spans="1:5" x14ac:dyDescent="0.25">
      <c r="A239" t="str">
        <f t="shared" si="3"/>
        <v/>
      </c>
      <c r="B239" s="48"/>
      <c r="E239" s="47"/>
    </row>
    <row r="240" spans="1:5" x14ac:dyDescent="0.25">
      <c r="A240" t="str">
        <f t="shared" si="3"/>
        <v/>
      </c>
      <c r="B240" s="48"/>
      <c r="E240" s="47"/>
    </row>
    <row r="241" spans="1:5" x14ac:dyDescent="0.25">
      <c r="A241" t="str">
        <f t="shared" si="3"/>
        <v/>
      </c>
      <c r="B241" s="48"/>
      <c r="C241" s="48"/>
      <c r="D241" s="49"/>
      <c r="E241" s="50"/>
    </row>
    <row r="242" spans="1:5" x14ac:dyDescent="0.25">
      <c r="A242" t="str">
        <f t="shared" si="3"/>
        <v/>
      </c>
      <c r="B242" s="48"/>
      <c r="C242" s="48"/>
      <c r="D242" s="49"/>
      <c r="E242" s="50"/>
    </row>
    <row r="243" spans="1:5" x14ac:dyDescent="0.25">
      <c r="A243" t="str">
        <f t="shared" si="3"/>
        <v/>
      </c>
      <c r="B243" s="48"/>
      <c r="C243" s="48"/>
      <c r="D243" s="49"/>
      <c r="E243" s="50"/>
    </row>
    <row r="244" spans="1:5" x14ac:dyDescent="0.25">
      <c r="A244" t="str">
        <f t="shared" si="3"/>
        <v/>
      </c>
      <c r="B244" s="48"/>
      <c r="C244" s="48"/>
      <c r="D244" s="49"/>
      <c r="E244" s="50"/>
    </row>
    <row r="245" spans="1:5" x14ac:dyDescent="0.25">
      <c r="A245" t="str">
        <f t="shared" si="3"/>
        <v/>
      </c>
      <c r="B245" s="48"/>
      <c r="C245" s="48"/>
      <c r="D245" s="49"/>
      <c r="E245" s="50"/>
    </row>
    <row r="246" spans="1:5" x14ac:dyDescent="0.25">
      <c r="A246" t="str">
        <f t="shared" si="3"/>
        <v/>
      </c>
      <c r="B246" s="48"/>
      <c r="C246" s="48"/>
      <c r="D246" s="49"/>
      <c r="E246" s="50"/>
    </row>
    <row r="247" spans="1:5" x14ac:dyDescent="0.25">
      <c r="A247" t="str">
        <f t="shared" si="3"/>
        <v/>
      </c>
      <c r="B247" s="48"/>
      <c r="C247" s="48"/>
      <c r="D247" s="49"/>
      <c r="E247" s="50"/>
    </row>
    <row r="248" spans="1:5" x14ac:dyDescent="0.25">
      <c r="A248" t="str">
        <f t="shared" si="3"/>
        <v/>
      </c>
      <c r="B248" s="48"/>
      <c r="C248" s="48"/>
      <c r="D248" s="49"/>
      <c r="E248" s="50"/>
    </row>
    <row r="249" spans="1:5" x14ac:dyDescent="0.25">
      <c r="A249" t="str">
        <f t="shared" si="3"/>
        <v/>
      </c>
      <c r="B249" s="48"/>
      <c r="C249" s="48"/>
      <c r="D249" s="49"/>
      <c r="E249" s="50"/>
    </row>
    <row r="250" spans="1:5" x14ac:dyDescent="0.25">
      <c r="A250" t="str">
        <f t="shared" si="3"/>
        <v/>
      </c>
      <c r="B250" s="48"/>
      <c r="C250" s="48"/>
      <c r="D250" s="49"/>
      <c r="E250" s="50"/>
    </row>
    <row r="251" spans="1:5" x14ac:dyDescent="0.25">
      <c r="A251" t="str">
        <f t="shared" si="3"/>
        <v/>
      </c>
      <c r="B251" s="48"/>
      <c r="C251" s="48"/>
      <c r="D251" s="49"/>
      <c r="E251" s="50"/>
    </row>
    <row r="252" spans="1:5" x14ac:dyDescent="0.25">
      <c r="A252" t="str">
        <f t="shared" si="3"/>
        <v/>
      </c>
      <c r="B252" s="48"/>
      <c r="C252" s="48"/>
      <c r="D252" s="49"/>
      <c r="E252" s="50"/>
    </row>
    <row r="253" spans="1:5" x14ac:dyDescent="0.25">
      <c r="A253" t="str">
        <f t="shared" si="3"/>
        <v/>
      </c>
      <c r="B253" s="48"/>
      <c r="C253" s="48"/>
      <c r="D253" s="49"/>
      <c r="E253" s="50"/>
    </row>
    <row r="254" spans="1:5" x14ac:dyDescent="0.25">
      <c r="A254" t="str">
        <f t="shared" si="3"/>
        <v/>
      </c>
      <c r="B254" s="48"/>
      <c r="C254" s="48"/>
      <c r="D254" s="49"/>
      <c r="E254" s="50"/>
    </row>
    <row r="255" spans="1:5" x14ac:dyDescent="0.25">
      <c r="A255" t="str">
        <f t="shared" si="3"/>
        <v/>
      </c>
      <c r="B255" s="48"/>
      <c r="C255" s="48"/>
      <c r="D255" s="49"/>
      <c r="E255" s="50"/>
    </row>
    <row r="256" spans="1:5" x14ac:dyDescent="0.25">
      <c r="A256" t="str">
        <f t="shared" si="3"/>
        <v/>
      </c>
      <c r="B256" s="48"/>
      <c r="C256" s="48"/>
      <c r="D256" s="49"/>
      <c r="E256" s="50"/>
    </row>
    <row r="257" spans="1:5" x14ac:dyDescent="0.25">
      <c r="A257" t="str">
        <f t="shared" si="3"/>
        <v/>
      </c>
      <c r="B257" s="48"/>
      <c r="C257" s="48"/>
      <c r="D257" s="49"/>
      <c r="E257" s="50"/>
    </row>
    <row r="258" spans="1:5" x14ac:dyDescent="0.25">
      <c r="A258" t="str">
        <f t="shared" ref="A258:A321" si="4">CONCATENATE(B258, C258, D258)</f>
        <v/>
      </c>
      <c r="B258" s="48"/>
      <c r="C258" s="48"/>
      <c r="D258" s="49"/>
      <c r="E258" s="50"/>
    </row>
    <row r="259" spans="1:5" x14ac:dyDescent="0.25">
      <c r="A259" t="str">
        <f t="shared" si="4"/>
        <v/>
      </c>
      <c r="B259" s="48"/>
      <c r="C259" s="48"/>
      <c r="D259" s="49"/>
      <c r="E259" s="50"/>
    </row>
    <row r="260" spans="1:5" x14ac:dyDescent="0.25">
      <c r="A260" t="str">
        <f t="shared" si="4"/>
        <v/>
      </c>
      <c r="B260" s="48"/>
      <c r="C260" s="48"/>
      <c r="D260" s="49"/>
      <c r="E260" s="50"/>
    </row>
    <row r="261" spans="1:5" x14ac:dyDescent="0.25">
      <c r="A261" t="str">
        <f t="shared" si="4"/>
        <v/>
      </c>
      <c r="B261" s="48"/>
      <c r="C261" s="48"/>
      <c r="D261" s="49"/>
      <c r="E261" s="50"/>
    </row>
    <row r="262" spans="1:5" x14ac:dyDescent="0.25">
      <c r="A262" t="str">
        <f t="shared" si="4"/>
        <v/>
      </c>
      <c r="B262" s="48"/>
      <c r="C262" s="48"/>
      <c r="D262" s="49"/>
      <c r="E262" s="50"/>
    </row>
    <row r="263" spans="1:5" x14ac:dyDescent="0.25">
      <c r="A263" t="str">
        <f t="shared" si="4"/>
        <v/>
      </c>
      <c r="B263" s="48"/>
      <c r="C263" s="48"/>
      <c r="D263" s="49"/>
      <c r="E263" s="50"/>
    </row>
    <row r="264" spans="1:5" x14ac:dyDescent="0.25">
      <c r="A264" t="str">
        <f t="shared" si="4"/>
        <v/>
      </c>
      <c r="B264" s="48"/>
      <c r="C264" s="48"/>
      <c r="D264" s="49"/>
      <c r="E264" s="50"/>
    </row>
    <row r="265" spans="1:5" x14ac:dyDescent="0.25">
      <c r="A265" t="str">
        <f t="shared" si="4"/>
        <v/>
      </c>
      <c r="B265" s="48"/>
      <c r="C265" s="48"/>
      <c r="D265" s="49"/>
      <c r="E265" s="50"/>
    </row>
    <row r="266" spans="1:5" x14ac:dyDescent="0.25">
      <c r="A266" t="str">
        <f t="shared" si="4"/>
        <v/>
      </c>
      <c r="B266" s="48"/>
      <c r="C266" s="48"/>
      <c r="D266" s="49"/>
      <c r="E266" s="50"/>
    </row>
    <row r="267" spans="1:5" x14ac:dyDescent="0.25">
      <c r="A267" t="str">
        <f t="shared" si="4"/>
        <v/>
      </c>
      <c r="B267" s="48"/>
      <c r="C267" s="48"/>
      <c r="D267" s="49"/>
      <c r="E267" s="50"/>
    </row>
    <row r="268" spans="1:5" x14ac:dyDescent="0.25">
      <c r="A268" t="str">
        <f t="shared" si="4"/>
        <v/>
      </c>
      <c r="B268" s="48"/>
      <c r="C268" s="48"/>
      <c r="D268" s="49"/>
      <c r="E268" s="50"/>
    </row>
    <row r="269" spans="1:5" x14ac:dyDescent="0.25">
      <c r="A269" t="str">
        <f t="shared" si="4"/>
        <v/>
      </c>
      <c r="B269" s="48"/>
      <c r="C269" s="48"/>
      <c r="D269" s="49"/>
      <c r="E269" s="50"/>
    </row>
    <row r="270" spans="1:5" x14ac:dyDescent="0.25">
      <c r="A270" t="str">
        <f t="shared" si="4"/>
        <v/>
      </c>
      <c r="B270" s="48"/>
      <c r="C270" s="48"/>
      <c r="D270" s="49"/>
      <c r="E270" s="50"/>
    </row>
    <row r="271" spans="1:5" x14ac:dyDescent="0.25">
      <c r="A271" t="str">
        <f t="shared" si="4"/>
        <v/>
      </c>
      <c r="B271" s="48"/>
      <c r="C271" s="48"/>
      <c r="D271" s="49"/>
      <c r="E271" s="50"/>
    </row>
    <row r="272" spans="1:5" x14ac:dyDescent="0.25">
      <c r="A272" t="str">
        <f t="shared" si="4"/>
        <v/>
      </c>
      <c r="B272" s="48"/>
      <c r="C272" s="48"/>
      <c r="D272" s="49"/>
      <c r="E272" s="50"/>
    </row>
    <row r="273" spans="1:5" x14ac:dyDescent="0.25">
      <c r="A273" t="str">
        <f t="shared" si="4"/>
        <v/>
      </c>
      <c r="B273" s="48"/>
      <c r="C273" s="48"/>
      <c r="D273" s="49"/>
      <c r="E273" s="50"/>
    </row>
    <row r="274" spans="1:5" x14ac:dyDescent="0.25">
      <c r="A274" t="str">
        <f t="shared" si="4"/>
        <v/>
      </c>
      <c r="B274" s="48"/>
      <c r="C274" s="48"/>
      <c r="D274" s="49"/>
      <c r="E274" s="50"/>
    </row>
    <row r="275" spans="1:5" x14ac:dyDescent="0.25">
      <c r="A275" t="str">
        <f t="shared" si="4"/>
        <v/>
      </c>
      <c r="B275" s="48"/>
      <c r="C275" s="48"/>
      <c r="D275" s="49"/>
      <c r="E275" s="50"/>
    </row>
    <row r="276" spans="1:5" x14ac:dyDescent="0.25">
      <c r="A276" t="str">
        <f t="shared" si="4"/>
        <v/>
      </c>
      <c r="B276" s="48"/>
      <c r="C276" s="48"/>
      <c r="D276" s="49"/>
      <c r="E276" s="50"/>
    </row>
    <row r="277" spans="1:5" x14ac:dyDescent="0.25">
      <c r="A277" t="str">
        <f t="shared" si="4"/>
        <v/>
      </c>
      <c r="B277" s="48"/>
      <c r="C277" s="48"/>
      <c r="D277" s="49"/>
      <c r="E277" s="50"/>
    </row>
    <row r="278" spans="1:5" x14ac:dyDescent="0.25">
      <c r="A278" t="str">
        <f t="shared" si="4"/>
        <v/>
      </c>
      <c r="B278" s="48"/>
      <c r="C278" s="48"/>
      <c r="D278" s="49"/>
      <c r="E278" s="50"/>
    </row>
    <row r="279" spans="1:5" x14ac:dyDescent="0.25">
      <c r="A279" t="str">
        <f t="shared" si="4"/>
        <v/>
      </c>
      <c r="B279" s="48"/>
      <c r="C279" s="48"/>
      <c r="D279" s="49"/>
      <c r="E279" s="50"/>
    </row>
    <row r="280" spans="1:5" x14ac:dyDescent="0.25">
      <c r="A280" t="str">
        <f t="shared" si="4"/>
        <v/>
      </c>
      <c r="B280" s="48"/>
      <c r="C280" s="48"/>
      <c r="D280" s="49"/>
      <c r="E280" s="50"/>
    </row>
    <row r="281" spans="1:5" x14ac:dyDescent="0.25">
      <c r="A281" t="str">
        <f t="shared" si="4"/>
        <v/>
      </c>
      <c r="B281" s="48"/>
      <c r="C281" s="48"/>
      <c r="D281" s="49"/>
      <c r="E281" s="50"/>
    </row>
    <row r="282" spans="1:5" x14ac:dyDescent="0.25">
      <c r="A282" t="str">
        <f t="shared" si="4"/>
        <v/>
      </c>
      <c r="B282" s="48"/>
      <c r="C282" s="48"/>
      <c r="D282" s="49"/>
      <c r="E282" s="50"/>
    </row>
    <row r="283" spans="1:5" x14ac:dyDescent="0.25">
      <c r="A283" t="str">
        <f t="shared" si="4"/>
        <v/>
      </c>
      <c r="B283" s="48"/>
      <c r="C283" s="48"/>
      <c r="D283" s="49"/>
      <c r="E283" s="50"/>
    </row>
    <row r="284" spans="1:5" x14ac:dyDescent="0.25">
      <c r="A284" t="str">
        <f t="shared" si="4"/>
        <v/>
      </c>
      <c r="B284" s="48"/>
      <c r="C284" s="48"/>
      <c r="D284" s="49"/>
      <c r="E284" s="50"/>
    </row>
    <row r="285" spans="1:5" x14ac:dyDescent="0.25">
      <c r="A285" t="str">
        <f t="shared" si="4"/>
        <v/>
      </c>
      <c r="B285" s="48"/>
      <c r="C285" s="48"/>
      <c r="D285" s="49"/>
      <c r="E285" s="50"/>
    </row>
    <row r="286" spans="1:5" x14ac:dyDescent="0.25">
      <c r="A286" t="str">
        <f t="shared" si="4"/>
        <v/>
      </c>
      <c r="B286" s="48"/>
      <c r="C286" s="48"/>
      <c r="D286" s="49"/>
      <c r="E286" s="50"/>
    </row>
    <row r="287" spans="1:5" x14ac:dyDescent="0.25">
      <c r="A287" t="str">
        <f t="shared" si="4"/>
        <v/>
      </c>
      <c r="B287" s="48"/>
      <c r="C287" s="48"/>
      <c r="D287" s="49"/>
      <c r="E287" s="50"/>
    </row>
    <row r="288" spans="1:5" x14ac:dyDescent="0.25">
      <c r="A288" t="str">
        <f t="shared" si="4"/>
        <v/>
      </c>
      <c r="B288" s="48"/>
      <c r="C288" s="48"/>
      <c r="D288" s="49"/>
      <c r="E288" s="50"/>
    </row>
    <row r="289" spans="1:5" x14ac:dyDescent="0.25">
      <c r="A289" t="str">
        <f t="shared" si="4"/>
        <v/>
      </c>
      <c r="B289" s="48"/>
      <c r="C289" s="48"/>
      <c r="D289" s="49"/>
      <c r="E289" s="50"/>
    </row>
    <row r="290" spans="1:5" x14ac:dyDescent="0.25">
      <c r="A290" t="str">
        <f t="shared" si="4"/>
        <v/>
      </c>
      <c r="B290" s="48"/>
      <c r="C290" s="48"/>
      <c r="D290" s="49"/>
      <c r="E290" s="50"/>
    </row>
    <row r="291" spans="1:5" x14ac:dyDescent="0.25">
      <c r="A291" t="str">
        <f t="shared" si="4"/>
        <v/>
      </c>
      <c r="B291" s="48"/>
      <c r="C291" s="48"/>
      <c r="D291" s="49"/>
      <c r="E291" s="50"/>
    </row>
    <row r="292" spans="1:5" x14ac:dyDescent="0.25">
      <c r="A292" t="str">
        <f t="shared" si="4"/>
        <v/>
      </c>
      <c r="B292" s="48"/>
      <c r="C292" s="48"/>
      <c r="D292" s="49"/>
      <c r="E292" s="50"/>
    </row>
    <row r="293" spans="1:5" x14ac:dyDescent="0.25">
      <c r="A293" t="str">
        <f t="shared" si="4"/>
        <v/>
      </c>
      <c r="B293" s="48"/>
      <c r="C293" s="48"/>
      <c r="D293" s="49"/>
      <c r="E293" s="50"/>
    </row>
    <row r="294" spans="1:5" x14ac:dyDescent="0.25">
      <c r="A294" t="str">
        <f t="shared" si="4"/>
        <v/>
      </c>
      <c r="B294" s="48"/>
      <c r="C294" s="48"/>
      <c r="D294" s="49"/>
      <c r="E294" s="50"/>
    </row>
    <row r="295" spans="1:5" x14ac:dyDescent="0.25">
      <c r="A295" t="str">
        <f t="shared" si="4"/>
        <v/>
      </c>
      <c r="B295" s="48"/>
      <c r="C295" s="48"/>
      <c r="D295" s="49"/>
      <c r="E295" s="50"/>
    </row>
    <row r="296" spans="1:5" x14ac:dyDescent="0.25">
      <c r="A296" t="str">
        <f t="shared" si="4"/>
        <v/>
      </c>
      <c r="B296" s="48"/>
      <c r="C296" s="48"/>
      <c r="D296" s="49"/>
      <c r="E296" s="50"/>
    </row>
    <row r="297" spans="1:5" x14ac:dyDescent="0.25">
      <c r="A297" t="str">
        <f t="shared" si="4"/>
        <v/>
      </c>
      <c r="B297" s="48"/>
      <c r="C297" s="48"/>
      <c r="D297" s="49"/>
      <c r="E297" s="50"/>
    </row>
    <row r="298" spans="1:5" x14ac:dyDescent="0.25">
      <c r="A298" t="str">
        <f t="shared" si="4"/>
        <v/>
      </c>
      <c r="B298" s="48"/>
      <c r="C298" s="48"/>
      <c r="D298" s="49"/>
      <c r="E298" s="50"/>
    </row>
    <row r="299" spans="1:5" x14ac:dyDescent="0.25">
      <c r="A299" t="str">
        <f t="shared" si="4"/>
        <v/>
      </c>
      <c r="B299" s="48"/>
      <c r="C299" s="48"/>
      <c r="D299" s="49"/>
      <c r="E299" s="50"/>
    </row>
    <row r="300" spans="1:5" x14ac:dyDescent="0.25">
      <c r="A300" t="str">
        <f t="shared" si="4"/>
        <v/>
      </c>
      <c r="B300" s="48"/>
      <c r="C300" s="48"/>
      <c r="D300" s="49"/>
      <c r="E300" s="50"/>
    </row>
    <row r="301" spans="1:5" x14ac:dyDescent="0.25">
      <c r="A301" t="str">
        <f t="shared" si="4"/>
        <v/>
      </c>
      <c r="B301" s="48"/>
      <c r="C301" s="48"/>
      <c r="D301" s="49"/>
      <c r="E301" s="50"/>
    </row>
    <row r="302" spans="1:5" x14ac:dyDescent="0.25">
      <c r="A302" t="str">
        <f t="shared" si="4"/>
        <v/>
      </c>
      <c r="B302" s="48"/>
      <c r="C302" s="48"/>
      <c r="D302" s="49"/>
      <c r="E302" s="50"/>
    </row>
    <row r="303" spans="1:5" x14ac:dyDescent="0.25">
      <c r="A303" t="str">
        <f t="shared" si="4"/>
        <v/>
      </c>
      <c r="B303" s="48"/>
      <c r="C303" s="48"/>
      <c r="D303" s="49"/>
      <c r="E303" s="50"/>
    </row>
    <row r="304" spans="1:5" x14ac:dyDescent="0.25">
      <c r="A304" t="str">
        <f t="shared" si="4"/>
        <v/>
      </c>
      <c r="B304" s="48"/>
      <c r="C304" s="48"/>
      <c r="D304" s="51"/>
      <c r="E304" s="50"/>
    </row>
    <row r="305" spans="1:5" x14ac:dyDescent="0.25">
      <c r="A305" t="str">
        <f t="shared" si="4"/>
        <v/>
      </c>
      <c r="B305" s="48"/>
      <c r="C305" s="48"/>
      <c r="D305" s="49"/>
      <c r="E305" s="50"/>
    </row>
    <row r="306" spans="1:5" x14ac:dyDescent="0.25">
      <c r="A306" t="str">
        <f t="shared" si="4"/>
        <v/>
      </c>
      <c r="B306" s="48"/>
      <c r="C306" s="48"/>
      <c r="D306" s="49"/>
      <c r="E306" s="50"/>
    </row>
    <row r="307" spans="1:5" x14ac:dyDescent="0.25">
      <c r="A307" t="str">
        <f t="shared" si="4"/>
        <v/>
      </c>
      <c r="B307" s="48"/>
      <c r="C307" s="48"/>
      <c r="D307" s="51"/>
      <c r="E307" s="50"/>
    </row>
    <row r="308" spans="1:5" x14ac:dyDescent="0.25">
      <c r="A308" t="str">
        <f t="shared" si="4"/>
        <v/>
      </c>
      <c r="B308" s="48"/>
      <c r="C308" s="48"/>
      <c r="D308" s="49"/>
      <c r="E308" s="50"/>
    </row>
    <row r="309" spans="1:5" x14ac:dyDescent="0.25">
      <c r="A309" t="str">
        <f t="shared" si="4"/>
        <v/>
      </c>
      <c r="B309" s="48"/>
      <c r="C309" s="48"/>
      <c r="D309" s="49"/>
      <c r="E309" s="50"/>
    </row>
    <row r="310" spans="1:5" x14ac:dyDescent="0.25">
      <c r="A310" t="str">
        <f t="shared" si="4"/>
        <v/>
      </c>
      <c r="B310" s="48"/>
      <c r="C310" s="48"/>
      <c r="D310" s="51"/>
      <c r="E310" s="50"/>
    </row>
    <row r="311" spans="1:5" x14ac:dyDescent="0.25">
      <c r="A311" t="str">
        <f t="shared" si="4"/>
        <v/>
      </c>
      <c r="B311" s="48"/>
      <c r="C311" s="48"/>
      <c r="D311" s="49"/>
      <c r="E311" s="50"/>
    </row>
    <row r="312" spans="1:5" x14ac:dyDescent="0.25">
      <c r="A312" t="str">
        <f t="shared" si="4"/>
        <v/>
      </c>
      <c r="B312" s="48"/>
      <c r="C312" s="48"/>
      <c r="D312" s="49"/>
      <c r="E312" s="50"/>
    </row>
    <row r="313" spans="1:5" x14ac:dyDescent="0.25">
      <c r="A313" t="str">
        <f t="shared" si="4"/>
        <v/>
      </c>
      <c r="B313" s="48"/>
      <c r="C313" s="48"/>
      <c r="D313" s="51"/>
      <c r="E313" s="50"/>
    </row>
    <row r="314" spans="1:5" x14ac:dyDescent="0.25">
      <c r="A314" t="str">
        <f t="shared" si="4"/>
        <v/>
      </c>
      <c r="B314" s="48"/>
      <c r="C314" s="48"/>
      <c r="D314" s="49"/>
      <c r="E314" s="50"/>
    </row>
    <row r="315" spans="1:5" x14ac:dyDescent="0.25">
      <c r="A315" t="str">
        <f t="shared" si="4"/>
        <v/>
      </c>
      <c r="B315" s="48"/>
      <c r="C315" s="48"/>
      <c r="D315" s="51"/>
      <c r="E315" s="50"/>
    </row>
    <row r="316" spans="1:5" x14ac:dyDescent="0.25">
      <c r="A316" t="str">
        <f t="shared" si="4"/>
        <v/>
      </c>
      <c r="B316" s="48"/>
      <c r="C316" s="48"/>
      <c r="D316" s="49"/>
      <c r="E316" s="50"/>
    </row>
    <row r="317" spans="1:5" x14ac:dyDescent="0.25">
      <c r="A317" t="str">
        <f t="shared" si="4"/>
        <v/>
      </c>
      <c r="B317" s="48"/>
      <c r="C317" s="48"/>
      <c r="D317" s="51"/>
      <c r="E317" s="50"/>
    </row>
    <row r="318" spans="1:5" x14ac:dyDescent="0.25">
      <c r="A318" t="str">
        <f t="shared" si="4"/>
        <v/>
      </c>
      <c r="B318" s="48"/>
      <c r="C318" s="48"/>
      <c r="D318" s="49"/>
      <c r="E318" s="50"/>
    </row>
    <row r="319" spans="1:5" x14ac:dyDescent="0.25">
      <c r="A319" t="str">
        <f t="shared" si="4"/>
        <v/>
      </c>
      <c r="B319" s="48"/>
      <c r="C319" s="48"/>
      <c r="D319" s="49"/>
      <c r="E319" s="50"/>
    </row>
    <row r="320" spans="1:5" x14ac:dyDescent="0.25">
      <c r="A320" t="str">
        <f t="shared" si="4"/>
        <v/>
      </c>
      <c r="B320" s="48"/>
      <c r="C320" s="48"/>
      <c r="D320" s="51"/>
      <c r="E320" s="50"/>
    </row>
    <row r="321" spans="1:5" x14ac:dyDescent="0.25">
      <c r="A321" t="str">
        <f t="shared" si="4"/>
        <v/>
      </c>
      <c r="B321" s="48"/>
      <c r="C321" s="48"/>
      <c r="D321" s="51"/>
      <c r="E321" s="50"/>
    </row>
    <row r="322" spans="1:5" x14ac:dyDescent="0.25">
      <c r="A322" t="str">
        <f t="shared" ref="A322:A385" si="5">CONCATENATE(B322, C322, D322)</f>
        <v/>
      </c>
      <c r="C322" s="48"/>
      <c r="D322" s="48"/>
      <c r="E322" s="50"/>
    </row>
    <row r="323" spans="1:5" x14ac:dyDescent="0.25">
      <c r="A323" t="str">
        <f t="shared" si="5"/>
        <v/>
      </c>
      <c r="C323" s="48"/>
      <c r="D323" s="49"/>
      <c r="E323" s="50"/>
    </row>
    <row r="324" spans="1:5" x14ac:dyDescent="0.25">
      <c r="A324" t="str">
        <f t="shared" si="5"/>
        <v/>
      </c>
      <c r="C324" s="48"/>
      <c r="D324" s="49"/>
      <c r="E324" s="50"/>
    </row>
    <row r="325" spans="1:5" x14ac:dyDescent="0.25">
      <c r="A325" t="str">
        <f t="shared" si="5"/>
        <v/>
      </c>
      <c r="C325" s="48"/>
      <c r="D325" s="48"/>
      <c r="E325" s="50"/>
    </row>
    <row r="326" spans="1:5" x14ac:dyDescent="0.25">
      <c r="A326" t="str">
        <f t="shared" si="5"/>
        <v/>
      </c>
      <c r="C326" s="48"/>
      <c r="D326" s="48"/>
      <c r="E326" s="50"/>
    </row>
    <row r="327" spans="1:5" x14ac:dyDescent="0.25">
      <c r="A327" t="str">
        <f t="shared" si="5"/>
        <v/>
      </c>
      <c r="B327" s="48"/>
      <c r="C327" s="48"/>
      <c r="D327" s="48"/>
      <c r="E327" s="50"/>
    </row>
    <row r="328" spans="1:5" x14ac:dyDescent="0.25">
      <c r="A328" t="str">
        <f t="shared" si="5"/>
        <v/>
      </c>
      <c r="B328" s="48"/>
      <c r="C328" s="48"/>
      <c r="E328" s="50"/>
    </row>
    <row r="329" spans="1:5" x14ac:dyDescent="0.25">
      <c r="A329" t="str">
        <f t="shared" si="5"/>
        <v/>
      </c>
      <c r="C329" s="48"/>
      <c r="D329" s="50"/>
      <c r="E329" s="50"/>
    </row>
    <row r="330" spans="1:5" x14ac:dyDescent="0.25">
      <c r="A330" t="str">
        <f t="shared" si="5"/>
        <v/>
      </c>
      <c r="C330" s="48"/>
      <c r="D330" s="50"/>
      <c r="E330" s="50"/>
    </row>
    <row r="331" spans="1:5" x14ac:dyDescent="0.25">
      <c r="A331" t="str">
        <f t="shared" si="5"/>
        <v/>
      </c>
      <c r="C331" s="48"/>
      <c r="D331" s="50"/>
      <c r="E331" s="50"/>
    </row>
    <row r="332" spans="1:5" x14ac:dyDescent="0.25">
      <c r="A332" t="str">
        <f t="shared" si="5"/>
        <v/>
      </c>
      <c r="C332" s="48"/>
      <c r="D332" s="50"/>
      <c r="E332" s="50"/>
    </row>
    <row r="333" spans="1:5" x14ac:dyDescent="0.25">
      <c r="A333" t="str">
        <f t="shared" si="5"/>
        <v/>
      </c>
      <c r="C333" s="48"/>
      <c r="D333" s="50"/>
      <c r="E333" s="50"/>
    </row>
    <row r="334" spans="1:5" x14ac:dyDescent="0.25">
      <c r="A334" t="str">
        <f t="shared" si="5"/>
        <v/>
      </c>
      <c r="C334" s="48"/>
      <c r="D334" s="50"/>
      <c r="E334" s="50"/>
    </row>
    <row r="335" spans="1:5" x14ac:dyDescent="0.25">
      <c r="A335" t="str">
        <f t="shared" si="5"/>
        <v/>
      </c>
      <c r="B335" s="48"/>
      <c r="C335" s="48"/>
      <c r="E335" s="50"/>
    </row>
    <row r="336" spans="1:5" x14ac:dyDescent="0.25">
      <c r="A336" t="str">
        <f t="shared" si="5"/>
        <v/>
      </c>
      <c r="B336" s="48"/>
      <c r="C336" s="48"/>
      <c r="E336" s="50"/>
    </row>
    <row r="337" spans="1:5" x14ac:dyDescent="0.25">
      <c r="A337" t="str">
        <f t="shared" si="5"/>
        <v/>
      </c>
    </row>
    <row r="338" spans="1:5" x14ac:dyDescent="0.25">
      <c r="A338" t="str">
        <f t="shared" si="5"/>
        <v/>
      </c>
      <c r="B338" s="46"/>
      <c r="E338" s="47"/>
    </row>
    <row r="339" spans="1:5" x14ac:dyDescent="0.25">
      <c r="A339" t="str">
        <f t="shared" si="5"/>
        <v/>
      </c>
      <c r="B339" s="48"/>
      <c r="E339" s="47"/>
    </row>
    <row r="340" spans="1:5" x14ac:dyDescent="0.25">
      <c r="A340" t="str">
        <f t="shared" si="5"/>
        <v/>
      </c>
      <c r="B340" s="48"/>
      <c r="E340" s="47"/>
    </row>
    <row r="341" spans="1:5" x14ac:dyDescent="0.25">
      <c r="A341" t="str">
        <f t="shared" si="5"/>
        <v/>
      </c>
      <c r="B341" s="48"/>
      <c r="E341" s="47"/>
    </row>
    <row r="342" spans="1:5" x14ac:dyDescent="0.25">
      <c r="A342" t="str">
        <f t="shared" si="5"/>
        <v/>
      </c>
      <c r="B342" s="48"/>
      <c r="E342" s="47"/>
    </row>
    <row r="343" spans="1:5" x14ac:dyDescent="0.25">
      <c r="A343" t="str">
        <f t="shared" si="5"/>
        <v/>
      </c>
      <c r="B343" s="48"/>
      <c r="E343" s="47"/>
    </row>
    <row r="344" spans="1:5" x14ac:dyDescent="0.25">
      <c r="A344" t="str">
        <f t="shared" si="5"/>
        <v/>
      </c>
      <c r="B344" s="48"/>
      <c r="E344" s="47"/>
    </row>
    <row r="345" spans="1:5" x14ac:dyDescent="0.25">
      <c r="A345" t="str">
        <f t="shared" si="5"/>
        <v/>
      </c>
      <c r="B345" s="48"/>
      <c r="E345" s="47"/>
    </row>
    <row r="346" spans="1:5" x14ac:dyDescent="0.25">
      <c r="A346" t="str">
        <f t="shared" si="5"/>
        <v/>
      </c>
      <c r="B346" s="48"/>
      <c r="E346" s="47"/>
    </row>
    <row r="347" spans="1:5" x14ac:dyDescent="0.25">
      <c r="A347" t="str">
        <f t="shared" si="5"/>
        <v/>
      </c>
      <c r="B347" s="48"/>
      <c r="E347" s="47"/>
    </row>
    <row r="348" spans="1:5" x14ac:dyDescent="0.25">
      <c r="A348" t="str">
        <f t="shared" si="5"/>
        <v/>
      </c>
      <c r="B348" s="48"/>
      <c r="E348" s="47"/>
    </row>
    <row r="349" spans="1:5" x14ac:dyDescent="0.25">
      <c r="A349" t="str">
        <f t="shared" si="5"/>
        <v/>
      </c>
      <c r="B349" s="48"/>
      <c r="E349" s="47"/>
    </row>
    <row r="350" spans="1:5" x14ac:dyDescent="0.25">
      <c r="A350" t="str">
        <f t="shared" si="5"/>
        <v/>
      </c>
      <c r="B350" s="48"/>
      <c r="E350" s="47"/>
    </row>
    <row r="351" spans="1:5" x14ac:dyDescent="0.25">
      <c r="A351" t="str">
        <f t="shared" si="5"/>
        <v/>
      </c>
      <c r="B351" s="48"/>
      <c r="E351" s="47"/>
    </row>
    <row r="352" spans="1:5" x14ac:dyDescent="0.25">
      <c r="A352" t="str">
        <f t="shared" si="5"/>
        <v/>
      </c>
      <c r="B352" s="48"/>
      <c r="E352" s="47"/>
    </row>
    <row r="353" spans="1:5" x14ac:dyDescent="0.25">
      <c r="A353" t="str">
        <f t="shared" si="5"/>
        <v/>
      </c>
      <c r="B353" s="48"/>
      <c r="C353" s="48"/>
      <c r="D353" s="49"/>
      <c r="E353" s="50"/>
    </row>
    <row r="354" spans="1:5" x14ac:dyDescent="0.25">
      <c r="A354" t="str">
        <f t="shared" si="5"/>
        <v/>
      </c>
      <c r="B354" s="48"/>
      <c r="C354" s="48"/>
      <c r="D354" s="49"/>
      <c r="E354" s="50"/>
    </row>
    <row r="355" spans="1:5" x14ac:dyDescent="0.25">
      <c r="A355" t="str">
        <f t="shared" si="5"/>
        <v/>
      </c>
      <c r="B355" s="48"/>
      <c r="C355" s="48"/>
      <c r="D355" s="49"/>
      <c r="E355" s="50"/>
    </row>
    <row r="356" spans="1:5" x14ac:dyDescent="0.25">
      <c r="A356" t="str">
        <f t="shared" si="5"/>
        <v/>
      </c>
      <c r="B356" s="48"/>
      <c r="C356" s="48"/>
      <c r="D356" s="49"/>
      <c r="E356" s="50"/>
    </row>
    <row r="357" spans="1:5" x14ac:dyDescent="0.25">
      <c r="A357" t="str">
        <f t="shared" si="5"/>
        <v/>
      </c>
      <c r="B357" s="48"/>
      <c r="C357" s="48"/>
      <c r="D357" s="49"/>
      <c r="E357" s="50"/>
    </row>
    <row r="358" spans="1:5" x14ac:dyDescent="0.25">
      <c r="A358" t="str">
        <f t="shared" si="5"/>
        <v/>
      </c>
      <c r="B358" s="48"/>
      <c r="C358" s="48"/>
      <c r="D358" s="49"/>
      <c r="E358" s="50"/>
    </row>
    <row r="359" spans="1:5" x14ac:dyDescent="0.25">
      <c r="A359" t="str">
        <f t="shared" si="5"/>
        <v/>
      </c>
      <c r="B359" s="48"/>
      <c r="C359" s="48"/>
      <c r="D359" s="49"/>
      <c r="E359" s="50"/>
    </row>
    <row r="360" spans="1:5" x14ac:dyDescent="0.25">
      <c r="A360" t="str">
        <f t="shared" si="5"/>
        <v/>
      </c>
      <c r="B360" s="48"/>
      <c r="C360" s="48"/>
      <c r="D360" s="49"/>
      <c r="E360" s="50"/>
    </row>
    <row r="361" spans="1:5" x14ac:dyDescent="0.25">
      <c r="A361" t="str">
        <f t="shared" si="5"/>
        <v/>
      </c>
      <c r="B361" s="48"/>
      <c r="C361" s="48"/>
      <c r="D361" s="49"/>
      <c r="E361" s="50"/>
    </row>
    <row r="362" spans="1:5" x14ac:dyDescent="0.25">
      <c r="A362" t="str">
        <f t="shared" si="5"/>
        <v/>
      </c>
      <c r="B362" s="48"/>
      <c r="C362" s="48"/>
      <c r="D362" s="49"/>
      <c r="E362" s="50"/>
    </row>
    <row r="363" spans="1:5" x14ac:dyDescent="0.25">
      <c r="A363" t="str">
        <f t="shared" si="5"/>
        <v/>
      </c>
      <c r="B363" s="48"/>
      <c r="C363" s="48"/>
      <c r="D363" s="49"/>
      <c r="E363" s="50"/>
    </row>
    <row r="364" spans="1:5" x14ac:dyDescent="0.25">
      <c r="A364" t="str">
        <f t="shared" si="5"/>
        <v/>
      </c>
      <c r="B364" s="48"/>
      <c r="C364" s="48"/>
      <c r="D364" s="49"/>
      <c r="E364" s="50"/>
    </row>
    <row r="365" spans="1:5" x14ac:dyDescent="0.25">
      <c r="A365" t="str">
        <f t="shared" si="5"/>
        <v/>
      </c>
      <c r="B365" s="48"/>
      <c r="C365" s="48"/>
      <c r="D365" s="49"/>
      <c r="E365" s="50"/>
    </row>
    <row r="366" spans="1:5" x14ac:dyDescent="0.25">
      <c r="A366" t="str">
        <f t="shared" si="5"/>
        <v/>
      </c>
      <c r="B366" s="48"/>
      <c r="C366" s="48"/>
      <c r="D366" s="49"/>
      <c r="E366" s="50"/>
    </row>
    <row r="367" spans="1:5" x14ac:dyDescent="0.25">
      <c r="A367" t="str">
        <f t="shared" si="5"/>
        <v/>
      </c>
      <c r="B367" s="48"/>
      <c r="C367" s="48"/>
      <c r="D367" s="49"/>
      <c r="E367" s="50"/>
    </row>
    <row r="368" spans="1:5" x14ac:dyDescent="0.25">
      <c r="A368" t="str">
        <f t="shared" si="5"/>
        <v/>
      </c>
      <c r="B368" s="48"/>
      <c r="C368" s="48"/>
      <c r="D368" s="49"/>
      <c r="E368" s="50"/>
    </row>
    <row r="369" spans="1:5" x14ac:dyDescent="0.25">
      <c r="A369" t="str">
        <f t="shared" si="5"/>
        <v/>
      </c>
      <c r="B369" s="48"/>
      <c r="C369" s="48"/>
      <c r="D369" s="49"/>
      <c r="E369" s="50"/>
    </row>
    <row r="370" spans="1:5" x14ac:dyDescent="0.25">
      <c r="A370" t="str">
        <f t="shared" si="5"/>
        <v/>
      </c>
      <c r="B370" s="48"/>
      <c r="C370" s="48"/>
      <c r="D370" s="49"/>
      <c r="E370" s="50"/>
    </row>
    <row r="371" spans="1:5" x14ac:dyDescent="0.25">
      <c r="A371" t="str">
        <f t="shared" si="5"/>
        <v/>
      </c>
      <c r="B371" s="48"/>
      <c r="C371" s="48"/>
      <c r="D371" s="49"/>
      <c r="E371" s="50"/>
    </row>
    <row r="372" spans="1:5" x14ac:dyDescent="0.25">
      <c r="A372" t="str">
        <f t="shared" si="5"/>
        <v/>
      </c>
      <c r="B372" s="48"/>
      <c r="C372" s="48"/>
      <c r="D372" s="49"/>
      <c r="E372" s="50"/>
    </row>
    <row r="373" spans="1:5" x14ac:dyDescent="0.25">
      <c r="A373" t="str">
        <f t="shared" si="5"/>
        <v/>
      </c>
      <c r="B373" s="48"/>
      <c r="C373" s="48"/>
      <c r="D373" s="49"/>
      <c r="E373" s="50"/>
    </row>
    <row r="374" spans="1:5" x14ac:dyDescent="0.25">
      <c r="A374" t="str">
        <f t="shared" si="5"/>
        <v/>
      </c>
      <c r="B374" s="48"/>
      <c r="C374" s="48"/>
      <c r="D374" s="49"/>
      <c r="E374" s="50"/>
    </row>
    <row r="375" spans="1:5" x14ac:dyDescent="0.25">
      <c r="A375" t="str">
        <f t="shared" si="5"/>
        <v/>
      </c>
      <c r="B375" s="48"/>
      <c r="C375" s="48"/>
      <c r="D375" s="49"/>
      <c r="E375" s="50"/>
    </row>
    <row r="376" spans="1:5" x14ac:dyDescent="0.25">
      <c r="A376" t="str">
        <f t="shared" si="5"/>
        <v/>
      </c>
      <c r="B376" s="48"/>
      <c r="C376" s="48"/>
      <c r="D376" s="49"/>
      <c r="E376" s="50"/>
    </row>
    <row r="377" spans="1:5" x14ac:dyDescent="0.25">
      <c r="A377" t="str">
        <f t="shared" si="5"/>
        <v/>
      </c>
      <c r="B377" s="48"/>
      <c r="C377" s="48"/>
      <c r="D377" s="49"/>
      <c r="E377" s="50"/>
    </row>
    <row r="378" spans="1:5" x14ac:dyDescent="0.25">
      <c r="A378" t="str">
        <f t="shared" si="5"/>
        <v/>
      </c>
      <c r="B378" s="48"/>
      <c r="C378" s="48"/>
      <c r="D378" s="49"/>
      <c r="E378" s="50"/>
    </row>
    <row r="379" spans="1:5" x14ac:dyDescent="0.25">
      <c r="A379" t="str">
        <f t="shared" si="5"/>
        <v/>
      </c>
      <c r="B379" s="48"/>
      <c r="C379" s="48"/>
      <c r="D379" s="49"/>
      <c r="E379" s="50"/>
    </row>
    <row r="380" spans="1:5" x14ac:dyDescent="0.25">
      <c r="A380" t="str">
        <f t="shared" si="5"/>
        <v/>
      </c>
      <c r="B380" s="48"/>
      <c r="C380" s="48"/>
      <c r="D380" s="49"/>
      <c r="E380" s="50"/>
    </row>
    <row r="381" spans="1:5" x14ac:dyDescent="0.25">
      <c r="A381" t="str">
        <f t="shared" si="5"/>
        <v/>
      </c>
      <c r="B381" s="48"/>
      <c r="C381" s="48"/>
      <c r="D381" s="49"/>
      <c r="E381" s="50"/>
    </row>
    <row r="382" spans="1:5" x14ac:dyDescent="0.25">
      <c r="A382" t="str">
        <f t="shared" si="5"/>
        <v/>
      </c>
      <c r="B382" s="48"/>
      <c r="C382" s="48"/>
      <c r="D382" s="49"/>
      <c r="E382" s="50"/>
    </row>
    <row r="383" spans="1:5" x14ac:dyDescent="0.25">
      <c r="A383" t="str">
        <f t="shared" si="5"/>
        <v/>
      </c>
      <c r="B383" s="48"/>
      <c r="C383" s="48"/>
      <c r="D383" s="49"/>
      <c r="E383" s="50"/>
    </row>
    <row r="384" spans="1:5" x14ac:dyDescent="0.25">
      <c r="A384" t="str">
        <f t="shared" si="5"/>
        <v/>
      </c>
      <c r="B384" s="48"/>
      <c r="C384" s="48"/>
      <c r="D384" s="49"/>
      <c r="E384" s="50"/>
    </row>
    <row r="385" spans="1:5" x14ac:dyDescent="0.25">
      <c r="A385" t="str">
        <f t="shared" si="5"/>
        <v/>
      </c>
      <c r="B385" s="48"/>
      <c r="C385" s="48"/>
      <c r="D385" s="49"/>
      <c r="E385" s="50"/>
    </row>
    <row r="386" spans="1:5" x14ac:dyDescent="0.25">
      <c r="A386" t="str">
        <f t="shared" ref="A386:A449" si="6">CONCATENATE(B386, C386, D386)</f>
        <v/>
      </c>
      <c r="B386" s="48"/>
      <c r="C386" s="48"/>
      <c r="D386" s="49"/>
      <c r="E386" s="50"/>
    </row>
    <row r="387" spans="1:5" x14ac:dyDescent="0.25">
      <c r="A387" t="str">
        <f t="shared" si="6"/>
        <v/>
      </c>
      <c r="B387" s="48"/>
      <c r="C387" s="48"/>
      <c r="D387" s="49"/>
      <c r="E387" s="50"/>
    </row>
    <row r="388" spans="1:5" x14ac:dyDescent="0.25">
      <c r="A388" t="str">
        <f t="shared" si="6"/>
        <v/>
      </c>
      <c r="B388" s="48"/>
      <c r="C388" s="48"/>
      <c r="D388" s="49"/>
      <c r="E388" s="50"/>
    </row>
    <row r="389" spans="1:5" x14ac:dyDescent="0.25">
      <c r="A389" t="str">
        <f t="shared" si="6"/>
        <v/>
      </c>
      <c r="B389" s="48"/>
      <c r="C389" s="48"/>
      <c r="D389" s="49"/>
      <c r="E389" s="50"/>
    </row>
    <row r="390" spans="1:5" x14ac:dyDescent="0.25">
      <c r="A390" t="str">
        <f t="shared" si="6"/>
        <v/>
      </c>
      <c r="B390" s="48"/>
      <c r="C390" s="48"/>
      <c r="D390" s="49"/>
      <c r="E390" s="50"/>
    </row>
    <row r="391" spans="1:5" x14ac:dyDescent="0.25">
      <c r="A391" t="str">
        <f t="shared" si="6"/>
        <v/>
      </c>
      <c r="B391" s="48"/>
      <c r="C391" s="48"/>
      <c r="D391" s="49"/>
      <c r="E391" s="50"/>
    </row>
    <row r="392" spans="1:5" x14ac:dyDescent="0.25">
      <c r="A392" t="str">
        <f t="shared" si="6"/>
        <v/>
      </c>
      <c r="B392" s="48"/>
      <c r="C392" s="48"/>
      <c r="D392" s="49"/>
      <c r="E392" s="50"/>
    </row>
    <row r="393" spans="1:5" x14ac:dyDescent="0.25">
      <c r="A393" t="str">
        <f t="shared" si="6"/>
        <v/>
      </c>
      <c r="B393" s="48"/>
      <c r="C393" s="48"/>
      <c r="D393" s="49"/>
      <c r="E393" s="50"/>
    </row>
    <row r="394" spans="1:5" x14ac:dyDescent="0.25">
      <c r="A394" t="str">
        <f t="shared" si="6"/>
        <v/>
      </c>
      <c r="B394" s="48"/>
      <c r="C394" s="48"/>
      <c r="D394" s="49"/>
      <c r="E394" s="50"/>
    </row>
    <row r="395" spans="1:5" x14ac:dyDescent="0.25">
      <c r="A395" t="str">
        <f t="shared" si="6"/>
        <v/>
      </c>
      <c r="B395" s="48"/>
      <c r="C395" s="48"/>
      <c r="D395" s="49"/>
      <c r="E395" s="50"/>
    </row>
    <row r="396" spans="1:5" x14ac:dyDescent="0.25">
      <c r="A396" t="str">
        <f t="shared" si="6"/>
        <v/>
      </c>
      <c r="B396" s="48"/>
      <c r="C396" s="48"/>
      <c r="D396" s="49"/>
      <c r="E396" s="50"/>
    </row>
    <row r="397" spans="1:5" x14ac:dyDescent="0.25">
      <c r="A397" t="str">
        <f t="shared" si="6"/>
        <v/>
      </c>
      <c r="B397" s="48"/>
      <c r="C397" s="48"/>
      <c r="D397" s="49"/>
      <c r="E397" s="50"/>
    </row>
    <row r="398" spans="1:5" x14ac:dyDescent="0.25">
      <c r="A398" t="str">
        <f t="shared" si="6"/>
        <v/>
      </c>
      <c r="B398" s="48"/>
      <c r="C398" s="48"/>
      <c r="D398" s="49"/>
      <c r="E398" s="50"/>
    </row>
    <row r="399" spans="1:5" x14ac:dyDescent="0.25">
      <c r="A399" t="str">
        <f t="shared" si="6"/>
        <v/>
      </c>
      <c r="B399" s="48"/>
      <c r="C399" s="48"/>
      <c r="D399" s="49"/>
      <c r="E399" s="50"/>
    </row>
    <row r="400" spans="1:5" x14ac:dyDescent="0.25">
      <c r="A400" t="str">
        <f t="shared" si="6"/>
        <v/>
      </c>
      <c r="B400" s="48"/>
      <c r="C400" s="48"/>
      <c r="D400" s="49"/>
      <c r="E400" s="50"/>
    </row>
    <row r="401" spans="1:5" x14ac:dyDescent="0.25">
      <c r="A401" t="str">
        <f t="shared" si="6"/>
        <v/>
      </c>
      <c r="B401" s="48"/>
      <c r="C401" s="48"/>
      <c r="D401" s="49"/>
      <c r="E401" s="50"/>
    </row>
    <row r="402" spans="1:5" x14ac:dyDescent="0.25">
      <c r="A402" t="str">
        <f t="shared" si="6"/>
        <v/>
      </c>
      <c r="B402" s="48"/>
      <c r="C402" s="48"/>
      <c r="D402" s="49"/>
      <c r="E402" s="50"/>
    </row>
    <row r="403" spans="1:5" x14ac:dyDescent="0.25">
      <c r="A403" t="str">
        <f t="shared" si="6"/>
        <v/>
      </c>
      <c r="B403" s="48"/>
      <c r="C403" s="48"/>
      <c r="D403" s="49"/>
      <c r="E403" s="50"/>
    </row>
    <row r="404" spans="1:5" x14ac:dyDescent="0.25">
      <c r="A404" t="str">
        <f t="shared" si="6"/>
        <v/>
      </c>
      <c r="B404" s="48"/>
      <c r="C404" s="48"/>
      <c r="D404" s="49"/>
      <c r="E404" s="50"/>
    </row>
    <row r="405" spans="1:5" x14ac:dyDescent="0.25">
      <c r="A405" t="str">
        <f t="shared" si="6"/>
        <v/>
      </c>
      <c r="B405" s="48"/>
      <c r="C405" s="48"/>
      <c r="D405" s="49"/>
      <c r="E405" s="50"/>
    </row>
    <row r="406" spans="1:5" x14ac:dyDescent="0.25">
      <c r="A406" t="str">
        <f t="shared" si="6"/>
        <v/>
      </c>
      <c r="B406" s="48"/>
      <c r="C406" s="48"/>
      <c r="D406" s="49"/>
      <c r="E406" s="50"/>
    </row>
    <row r="407" spans="1:5" x14ac:dyDescent="0.25">
      <c r="A407" t="str">
        <f t="shared" si="6"/>
        <v/>
      </c>
      <c r="B407" s="48"/>
      <c r="C407" s="48"/>
      <c r="D407" s="49"/>
      <c r="E407" s="50"/>
    </row>
    <row r="408" spans="1:5" x14ac:dyDescent="0.25">
      <c r="A408" t="str">
        <f t="shared" si="6"/>
        <v/>
      </c>
      <c r="B408" s="48"/>
      <c r="C408" s="48"/>
      <c r="D408" s="49"/>
      <c r="E408" s="50"/>
    </row>
    <row r="409" spans="1:5" x14ac:dyDescent="0.25">
      <c r="A409" t="str">
        <f t="shared" si="6"/>
        <v/>
      </c>
      <c r="B409" s="48"/>
      <c r="C409" s="48"/>
      <c r="D409" s="49"/>
      <c r="E409" s="50"/>
    </row>
    <row r="410" spans="1:5" x14ac:dyDescent="0.25">
      <c r="A410" t="str">
        <f t="shared" si="6"/>
        <v/>
      </c>
      <c r="B410" s="48"/>
      <c r="C410" s="48"/>
      <c r="D410" s="49"/>
      <c r="E410" s="50"/>
    </row>
    <row r="411" spans="1:5" x14ac:dyDescent="0.25">
      <c r="A411" t="str">
        <f t="shared" si="6"/>
        <v/>
      </c>
      <c r="B411" s="48"/>
      <c r="C411" s="48"/>
      <c r="D411" s="49"/>
      <c r="E411" s="50"/>
    </row>
    <row r="412" spans="1:5" x14ac:dyDescent="0.25">
      <c r="A412" t="str">
        <f t="shared" si="6"/>
        <v/>
      </c>
      <c r="B412" s="48"/>
      <c r="C412" s="48"/>
      <c r="D412" s="49"/>
      <c r="E412" s="50"/>
    </row>
    <row r="413" spans="1:5" x14ac:dyDescent="0.25">
      <c r="A413" t="str">
        <f t="shared" si="6"/>
        <v/>
      </c>
      <c r="B413" s="48"/>
      <c r="C413" s="48"/>
      <c r="D413" s="49"/>
      <c r="E413" s="50"/>
    </row>
    <row r="414" spans="1:5" x14ac:dyDescent="0.25">
      <c r="A414" t="str">
        <f t="shared" si="6"/>
        <v/>
      </c>
      <c r="B414" s="48"/>
      <c r="C414" s="48"/>
      <c r="D414" s="49"/>
      <c r="E414" s="50"/>
    </row>
    <row r="415" spans="1:5" x14ac:dyDescent="0.25">
      <c r="A415" t="str">
        <f t="shared" si="6"/>
        <v/>
      </c>
      <c r="B415" s="48"/>
      <c r="C415" s="48"/>
      <c r="D415" s="49"/>
      <c r="E415" s="50"/>
    </row>
    <row r="416" spans="1:5" x14ac:dyDescent="0.25">
      <c r="A416" t="str">
        <f t="shared" si="6"/>
        <v/>
      </c>
      <c r="B416" s="48"/>
      <c r="C416" s="48"/>
      <c r="D416" s="49"/>
      <c r="E416" s="50"/>
    </row>
    <row r="417" spans="1:5" x14ac:dyDescent="0.25">
      <c r="A417" t="str">
        <f t="shared" si="6"/>
        <v/>
      </c>
      <c r="B417" s="48"/>
      <c r="C417" s="48"/>
      <c r="D417" s="49"/>
      <c r="E417" s="50"/>
    </row>
    <row r="418" spans="1:5" x14ac:dyDescent="0.25">
      <c r="A418" t="str">
        <f t="shared" si="6"/>
        <v/>
      </c>
      <c r="B418" s="48"/>
      <c r="C418" s="48"/>
      <c r="D418" s="51"/>
      <c r="E418" s="50"/>
    </row>
    <row r="419" spans="1:5" x14ac:dyDescent="0.25">
      <c r="A419" t="str">
        <f t="shared" si="6"/>
        <v/>
      </c>
      <c r="B419" s="48"/>
      <c r="C419" s="48"/>
      <c r="D419" s="49"/>
      <c r="E419" s="50"/>
    </row>
    <row r="420" spans="1:5" x14ac:dyDescent="0.25">
      <c r="A420" t="str">
        <f t="shared" si="6"/>
        <v/>
      </c>
      <c r="B420" s="48"/>
      <c r="C420" s="48"/>
      <c r="D420" s="49"/>
      <c r="E420" s="50"/>
    </row>
    <row r="421" spans="1:5" x14ac:dyDescent="0.25">
      <c r="A421" t="str">
        <f t="shared" si="6"/>
        <v/>
      </c>
      <c r="B421" s="48"/>
      <c r="C421" s="48"/>
      <c r="D421" s="49"/>
      <c r="E421" s="50"/>
    </row>
    <row r="422" spans="1:5" x14ac:dyDescent="0.25">
      <c r="A422" t="str">
        <f t="shared" si="6"/>
        <v/>
      </c>
      <c r="B422" s="48"/>
      <c r="C422" s="48"/>
      <c r="D422" s="49"/>
      <c r="E422" s="50"/>
    </row>
    <row r="423" spans="1:5" x14ac:dyDescent="0.25">
      <c r="A423" t="str">
        <f t="shared" si="6"/>
        <v/>
      </c>
      <c r="B423" s="48"/>
      <c r="C423" s="48"/>
      <c r="D423" s="49"/>
      <c r="E423" s="50"/>
    </row>
    <row r="424" spans="1:5" x14ac:dyDescent="0.25">
      <c r="A424" t="str">
        <f t="shared" si="6"/>
        <v/>
      </c>
      <c r="B424" s="48"/>
      <c r="C424" s="48"/>
      <c r="D424" s="51"/>
      <c r="E424" s="50"/>
    </row>
    <row r="425" spans="1:5" x14ac:dyDescent="0.25">
      <c r="A425" t="str">
        <f t="shared" si="6"/>
        <v/>
      </c>
      <c r="B425" s="48"/>
      <c r="C425" s="48"/>
      <c r="D425" s="49"/>
      <c r="E425" s="50"/>
    </row>
    <row r="426" spans="1:5" x14ac:dyDescent="0.25">
      <c r="A426" t="str">
        <f t="shared" si="6"/>
        <v/>
      </c>
      <c r="B426" s="48"/>
      <c r="C426" s="48"/>
      <c r="D426" s="49"/>
      <c r="E426" s="50"/>
    </row>
    <row r="427" spans="1:5" x14ac:dyDescent="0.25">
      <c r="A427" t="str">
        <f t="shared" si="6"/>
        <v/>
      </c>
      <c r="B427" s="48"/>
      <c r="C427" s="48"/>
      <c r="D427" s="49"/>
      <c r="E427" s="50"/>
    </row>
    <row r="428" spans="1:5" x14ac:dyDescent="0.25">
      <c r="A428" t="str">
        <f t="shared" si="6"/>
        <v/>
      </c>
      <c r="B428" s="48"/>
      <c r="C428" s="48"/>
      <c r="D428" s="49"/>
      <c r="E428" s="50"/>
    </row>
    <row r="429" spans="1:5" x14ac:dyDescent="0.25">
      <c r="A429" t="str">
        <f t="shared" si="6"/>
        <v/>
      </c>
      <c r="B429" s="48"/>
      <c r="C429" s="48"/>
      <c r="D429" s="49"/>
      <c r="E429" s="50"/>
    </row>
    <row r="430" spans="1:5" x14ac:dyDescent="0.25">
      <c r="A430" t="str">
        <f t="shared" si="6"/>
        <v/>
      </c>
      <c r="B430" s="48"/>
      <c r="C430" s="48"/>
      <c r="D430" s="49"/>
      <c r="E430" s="50"/>
    </row>
    <row r="431" spans="1:5" x14ac:dyDescent="0.25">
      <c r="A431" t="str">
        <f t="shared" si="6"/>
        <v/>
      </c>
      <c r="B431" s="48"/>
      <c r="C431" s="48"/>
      <c r="D431" s="49"/>
      <c r="E431" s="50"/>
    </row>
    <row r="432" spans="1:5" x14ac:dyDescent="0.25">
      <c r="A432" t="str">
        <f t="shared" si="6"/>
        <v/>
      </c>
      <c r="B432" s="48"/>
      <c r="C432" s="48"/>
      <c r="D432" s="49"/>
      <c r="E432" s="50"/>
    </row>
    <row r="433" spans="1:5" x14ac:dyDescent="0.25">
      <c r="A433" t="str">
        <f t="shared" si="6"/>
        <v/>
      </c>
      <c r="B433" s="48"/>
      <c r="C433" s="48"/>
      <c r="D433" s="49"/>
      <c r="E433" s="50"/>
    </row>
    <row r="434" spans="1:5" x14ac:dyDescent="0.25">
      <c r="A434" t="str">
        <f t="shared" si="6"/>
        <v/>
      </c>
      <c r="C434" s="48"/>
      <c r="D434" s="48"/>
      <c r="E434" s="50"/>
    </row>
    <row r="435" spans="1:5" x14ac:dyDescent="0.25">
      <c r="A435" t="str">
        <f t="shared" si="6"/>
        <v/>
      </c>
      <c r="C435" s="48"/>
      <c r="D435" s="49"/>
      <c r="E435" s="50"/>
    </row>
    <row r="436" spans="1:5" x14ac:dyDescent="0.25">
      <c r="A436" t="str">
        <f t="shared" si="6"/>
        <v/>
      </c>
      <c r="C436" s="48"/>
      <c r="D436" s="49"/>
      <c r="E436" s="50"/>
    </row>
    <row r="437" spans="1:5" x14ac:dyDescent="0.25">
      <c r="A437" t="str">
        <f t="shared" si="6"/>
        <v/>
      </c>
      <c r="C437" s="48"/>
      <c r="D437" s="48"/>
      <c r="E437" s="50"/>
    </row>
    <row r="438" spans="1:5" x14ac:dyDescent="0.25">
      <c r="A438" t="str">
        <f t="shared" si="6"/>
        <v/>
      </c>
      <c r="C438" s="48"/>
      <c r="D438" s="48"/>
      <c r="E438" s="50"/>
    </row>
    <row r="439" spans="1:5" x14ac:dyDescent="0.25">
      <c r="A439" t="str">
        <f t="shared" si="6"/>
        <v/>
      </c>
      <c r="B439" s="48"/>
      <c r="C439" s="48"/>
      <c r="D439" s="48"/>
      <c r="E439" s="50"/>
    </row>
    <row r="440" spans="1:5" x14ac:dyDescent="0.25">
      <c r="A440" t="str">
        <f t="shared" si="6"/>
        <v/>
      </c>
      <c r="B440" s="48"/>
      <c r="C440" s="48"/>
      <c r="E440" s="50"/>
    </row>
    <row r="441" spans="1:5" x14ac:dyDescent="0.25">
      <c r="A441" t="str">
        <f t="shared" si="6"/>
        <v/>
      </c>
      <c r="C441" s="48"/>
      <c r="D441" s="50"/>
      <c r="E441" s="50"/>
    </row>
    <row r="442" spans="1:5" x14ac:dyDescent="0.25">
      <c r="A442" t="str">
        <f t="shared" si="6"/>
        <v/>
      </c>
      <c r="C442" s="48"/>
      <c r="D442" s="50"/>
      <c r="E442" s="50"/>
    </row>
    <row r="443" spans="1:5" x14ac:dyDescent="0.25">
      <c r="A443" t="str">
        <f t="shared" si="6"/>
        <v/>
      </c>
      <c r="C443" s="48"/>
      <c r="D443" s="50"/>
      <c r="E443" s="50"/>
    </row>
    <row r="444" spans="1:5" x14ac:dyDescent="0.25">
      <c r="A444" t="str">
        <f t="shared" si="6"/>
        <v/>
      </c>
      <c r="C444" s="48"/>
      <c r="D444" s="50"/>
      <c r="E444" s="50"/>
    </row>
    <row r="445" spans="1:5" x14ac:dyDescent="0.25">
      <c r="A445" t="str">
        <f t="shared" si="6"/>
        <v/>
      </c>
      <c r="C445" s="48"/>
      <c r="D445" s="50"/>
      <c r="E445" s="50"/>
    </row>
    <row r="446" spans="1:5" x14ac:dyDescent="0.25">
      <c r="A446" t="str">
        <f t="shared" si="6"/>
        <v/>
      </c>
      <c r="C446" s="48"/>
      <c r="D446" s="50"/>
      <c r="E446" s="50"/>
    </row>
    <row r="447" spans="1:5" x14ac:dyDescent="0.25">
      <c r="A447" t="str">
        <f t="shared" si="6"/>
        <v/>
      </c>
      <c r="B447" s="48"/>
      <c r="C447" s="48"/>
      <c r="E447" s="50"/>
    </row>
    <row r="448" spans="1:5" x14ac:dyDescent="0.25">
      <c r="A448" t="str">
        <f t="shared" si="6"/>
        <v/>
      </c>
      <c r="B448" s="48"/>
      <c r="C448" s="48"/>
      <c r="E448" s="50"/>
    </row>
    <row r="449" spans="1:5" x14ac:dyDescent="0.25">
      <c r="A449" t="str">
        <f t="shared" si="6"/>
        <v/>
      </c>
    </row>
    <row r="450" spans="1:5" x14ac:dyDescent="0.25">
      <c r="A450" t="str">
        <f t="shared" ref="A450:A513" si="7">CONCATENATE(B450, C450, D450)</f>
        <v/>
      </c>
      <c r="B450" s="46"/>
      <c r="E450" s="47"/>
    </row>
    <row r="451" spans="1:5" x14ac:dyDescent="0.25">
      <c r="A451" t="str">
        <f t="shared" si="7"/>
        <v/>
      </c>
      <c r="B451" s="48"/>
      <c r="E451" s="47"/>
    </row>
    <row r="452" spans="1:5" x14ac:dyDescent="0.25">
      <c r="A452" t="str">
        <f t="shared" si="7"/>
        <v/>
      </c>
      <c r="B452" s="48"/>
      <c r="E452" s="47"/>
    </row>
    <row r="453" spans="1:5" x14ac:dyDescent="0.25">
      <c r="A453" t="str">
        <f t="shared" si="7"/>
        <v/>
      </c>
      <c r="B453" s="48"/>
      <c r="E453" s="47"/>
    </row>
    <row r="454" spans="1:5" x14ac:dyDescent="0.25">
      <c r="A454" t="str">
        <f t="shared" si="7"/>
        <v/>
      </c>
      <c r="B454" s="48"/>
      <c r="E454" s="47"/>
    </row>
    <row r="455" spans="1:5" x14ac:dyDescent="0.25">
      <c r="A455" t="str">
        <f t="shared" si="7"/>
        <v/>
      </c>
      <c r="B455" s="48"/>
      <c r="E455" s="47"/>
    </row>
    <row r="456" spans="1:5" x14ac:dyDescent="0.25">
      <c r="A456" t="str">
        <f t="shared" si="7"/>
        <v/>
      </c>
      <c r="B456" s="48"/>
      <c r="E456" s="47"/>
    </row>
    <row r="457" spans="1:5" x14ac:dyDescent="0.25">
      <c r="A457" t="str">
        <f t="shared" si="7"/>
        <v/>
      </c>
      <c r="B457" s="48"/>
      <c r="E457" s="47"/>
    </row>
    <row r="458" spans="1:5" x14ac:dyDescent="0.25">
      <c r="A458" t="str">
        <f t="shared" si="7"/>
        <v/>
      </c>
      <c r="B458" s="48"/>
      <c r="E458" s="47"/>
    </row>
    <row r="459" spans="1:5" x14ac:dyDescent="0.25">
      <c r="A459" t="str">
        <f t="shared" si="7"/>
        <v/>
      </c>
      <c r="B459" s="48"/>
      <c r="E459" s="47"/>
    </row>
    <row r="460" spans="1:5" x14ac:dyDescent="0.25">
      <c r="A460" t="str">
        <f t="shared" si="7"/>
        <v/>
      </c>
      <c r="B460" s="48"/>
      <c r="E460" s="47"/>
    </row>
    <row r="461" spans="1:5" x14ac:dyDescent="0.25">
      <c r="A461" t="str">
        <f t="shared" si="7"/>
        <v/>
      </c>
      <c r="B461" s="48"/>
      <c r="E461" s="47"/>
    </row>
    <row r="462" spans="1:5" x14ac:dyDescent="0.25">
      <c r="A462" t="str">
        <f t="shared" si="7"/>
        <v/>
      </c>
      <c r="B462" s="48"/>
      <c r="E462" s="47"/>
    </row>
    <row r="463" spans="1:5" x14ac:dyDescent="0.25">
      <c r="A463" t="str">
        <f t="shared" si="7"/>
        <v/>
      </c>
      <c r="B463" s="48"/>
      <c r="E463" s="47"/>
    </row>
    <row r="464" spans="1:5" x14ac:dyDescent="0.25">
      <c r="A464" t="str">
        <f t="shared" si="7"/>
        <v/>
      </c>
      <c r="B464" s="48"/>
      <c r="E464" s="47"/>
    </row>
    <row r="465" spans="1:5" x14ac:dyDescent="0.25">
      <c r="A465" t="str">
        <f t="shared" si="7"/>
        <v/>
      </c>
      <c r="B465" s="48"/>
      <c r="C465" s="48"/>
      <c r="D465" s="49"/>
      <c r="E465" s="50"/>
    </row>
    <row r="466" spans="1:5" x14ac:dyDescent="0.25">
      <c r="A466" t="str">
        <f t="shared" si="7"/>
        <v/>
      </c>
      <c r="B466" s="48"/>
      <c r="C466" s="48"/>
      <c r="D466" s="49"/>
      <c r="E466" s="50"/>
    </row>
    <row r="467" spans="1:5" x14ac:dyDescent="0.25">
      <c r="A467" t="str">
        <f t="shared" si="7"/>
        <v/>
      </c>
      <c r="B467" s="48"/>
      <c r="C467" s="48"/>
      <c r="D467" s="49"/>
      <c r="E467" s="50"/>
    </row>
    <row r="468" spans="1:5" x14ac:dyDescent="0.25">
      <c r="A468" t="str">
        <f t="shared" si="7"/>
        <v/>
      </c>
      <c r="B468" s="48"/>
      <c r="C468" s="48"/>
      <c r="D468" s="49"/>
      <c r="E468" s="50"/>
    </row>
    <row r="469" spans="1:5" x14ac:dyDescent="0.25">
      <c r="A469" t="str">
        <f t="shared" si="7"/>
        <v/>
      </c>
      <c r="B469" s="48"/>
      <c r="C469" s="48"/>
      <c r="D469" s="49"/>
      <c r="E469" s="50"/>
    </row>
    <row r="470" spans="1:5" x14ac:dyDescent="0.25">
      <c r="A470" t="str">
        <f t="shared" si="7"/>
        <v/>
      </c>
      <c r="B470" s="48"/>
      <c r="C470" s="48"/>
      <c r="D470" s="49"/>
      <c r="E470" s="50"/>
    </row>
    <row r="471" spans="1:5" x14ac:dyDescent="0.25">
      <c r="A471" t="str">
        <f t="shared" si="7"/>
        <v/>
      </c>
      <c r="B471" s="48"/>
      <c r="C471" s="48"/>
      <c r="D471" s="49"/>
      <c r="E471" s="50"/>
    </row>
    <row r="472" spans="1:5" x14ac:dyDescent="0.25">
      <c r="A472" t="str">
        <f t="shared" si="7"/>
        <v/>
      </c>
      <c r="B472" s="48"/>
      <c r="C472" s="48"/>
      <c r="D472" s="49"/>
      <c r="E472" s="50"/>
    </row>
    <row r="473" spans="1:5" x14ac:dyDescent="0.25">
      <c r="A473" t="str">
        <f t="shared" si="7"/>
        <v/>
      </c>
      <c r="B473" s="48"/>
      <c r="C473" s="48"/>
      <c r="D473" s="49"/>
      <c r="E473" s="50"/>
    </row>
    <row r="474" spans="1:5" x14ac:dyDescent="0.25">
      <c r="A474" t="str">
        <f t="shared" si="7"/>
        <v/>
      </c>
      <c r="B474" s="48"/>
      <c r="C474" s="48"/>
      <c r="D474" s="49"/>
      <c r="E474" s="50"/>
    </row>
    <row r="475" spans="1:5" x14ac:dyDescent="0.25">
      <c r="A475" t="str">
        <f t="shared" si="7"/>
        <v/>
      </c>
      <c r="B475" s="48"/>
      <c r="C475" s="48"/>
      <c r="D475" s="49"/>
      <c r="E475" s="50"/>
    </row>
    <row r="476" spans="1:5" x14ac:dyDescent="0.25">
      <c r="A476" t="str">
        <f t="shared" si="7"/>
        <v/>
      </c>
      <c r="B476" s="48"/>
      <c r="C476" s="48"/>
      <c r="D476" s="49"/>
      <c r="E476" s="50"/>
    </row>
    <row r="477" spans="1:5" x14ac:dyDescent="0.25">
      <c r="A477" t="str">
        <f t="shared" si="7"/>
        <v/>
      </c>
      <c r="B477" s="48"/>
      <c r="C477" s="48"/>
      <c r="D477" s="49"/>
      <c r="E477" s="50"/>
    </row>
    <row r="478" spans="1:5" x14ac:dyDescent="0.25">
      <c r="A478" t="str">
        <f t="shared" si="7"/>
        <v/>
      </c>
      <c r="B478" s="48"/>
      <c r="C478" s="48"/>
      <c r="D478" s="49"/>
      <c r="E478" s="50"/>
    </row>
    <row r="479" spans="1:5" x14ac:dyDescent="0.25">
      <c r="A479" t="str">
        <f t="shared" si="7"/>
        <v/>
      </c>
      <c r="B479" s="48"/>
      <c r="C479" s="48"/>
      <c r="D479" s="49"/>
      <c r="E479" s="50"/>
    </row>
    <row r="480" spans="1:5" x14ac:dyDescent="0.25">
      <c r="A480" t="str">
        <f t="shared" si="7"/>
        <v/>
      </c>
      <c r="B480" s="48"/>
      <c r="C480" s="48"/>
      <c r="D480" s="49"/>
      <c r="E480" s="50"/>
    </row>
    <row r="481" spans="1:5" x14ac:dyDescent="0.25">
      <c r="A481" t="str">
        <f t="shared" si="7"/>
        <v/>
      </c>
      <c r="B481" s="48"/>
      <c r="C481" s="48"/>
      <c r="D481" s="49"/>
      <c r="E481" s="50"/>
    </row>
    <row r="482" spans="1:5" x14ac:dyDescent="0.25">
      <c r="A482" t="str">
        <f t="shared" si="7"/>
        <v/>
      </c>
      <c r="B482" s="48"/>
      <c r="C482" s="48"/>
      <c r="D482" s="49"/>
      <c r="E482" s="50"/>
    </row>
    <row r="483" spans="1:5" x14ac:dyDescent="0.25">
      <c r="A483" t="str">
        <f t="shared" si="7"/>
        <v/>
      </c>
      <c r="B483" s="48"/>
      <c r="C483" s="48"/>
      <c r="D483" s="49"/>
      <c r="E483" s="50"/>
    </row>
    <row r="484" spans="1:5" x14ac:dyDescent="0.25">
      <c r="A484" t="str">
        <f t="shared" si="7"/>
        <v/>
      </c>
      <c r="B484" s="48"/>
      <c r="C484" s="48"/>
      <c r="D484" s="49"/>
      <c r="E484" s="50"/>
    </row>
    <row r="485" spans="1:5" x14ac:dyDescent="0.25">
      <c r="A485" t="str">
        <f t="shared" si="7"/>
        <v/>
      </c>
      <c r="B485" s="48"/>
      <c r="C485" s="48"/>
      <c r="D485" s="49"/>
      <c r="E485" s="50"/>
    </row>
    <row r="486" spans="1:5" x14ac:dyDescent="0.25">
      <c r="A486" t="str">
        <f t="shared" si="7"/>
        <v/>
      </c>
      <c r="B486" s="48"/>
      <c r="C486" s="48"/>
      <c r="D486" s="49"/>
      <c r="E486" s="50"/>
    </row>
    <row r="487" spans="1:5" x14ac:dyDescent="0.25">
      <c r="A487" t="str">
        <f t="shared" si="7"/>
        <v/>
      </c>
      <c r="B487" s="48"/>
      <c r="C487" s="48"/>
      <c r="D487" s="49"/>
      <c r="E487" s="50"/>
    </row>
    <row r="488" spans="1:5" x14ac:dyDescent="0.25">
      <c r="A488" t="str">
        <f t="shared" si="7"/>
        <v/>
      </c>
      <c r="B488" s="48"/>
      <c r="C488" s="48"/>
      <c r="D488" s="49"/>
      <c r="E488" s="50"/>
    </row>
    <row r="489" spans="1:5" x14ac:dyDescent="0.25">
      <c r="A489" t="str">
        <f t="shared" si="7"/>
        <v/>
      </c>
      <c r="B489" s="48"/>
      <c r="C489" s="48"/>
      <c r="D489" s="49"/>
      <c r="E489" s="50"/>
    </row>
    <row r="490" spans="1:5" x14ac:dyDescent="0.25">
      <c r="A490" t="str">
        <f t="shared" si="7"/>
        <v/>
      </c>
      <c r="B490" s="48"/>
      <c r="C490" s="48"/>
      <c r="D490" s="49"/>
      <c r="E490" s="50"/>
    </row>
    <row r="491" spans="1:5" x14ac:dyDescent="0.25">
      <c r="A491" t="str">
        <f t="shared" si="7"/>
        <v/>
      </c>
      <c r="B491" s="48"/>
      <c r="C491" s="48"/>
      <c r="D491" s="49"/>
      <c r="E491" s="50"/>
    </row>
    <row r="492" spans="1:5" x14ac:dyDescent="0.25">
      <c r="A492" t="str">
        <f t="shared" si="7"/>
        <v/>
      </c>
      <c r="B492" s="48"/>
      <c r="C492" s="48"/>
      <c r="D492" s="49"/>
      <c r="E492" s="50"/>
    </row>
    <row r="493" spans="1:5" x14ac:dyDescent="0.25">
      <c r="A493" t="str">
        <f t="shared" si="7"/>
        <v/>
      </c>
      <c r="B493" s="48"/>
      <c r="C493" s="48"/>
      <c r="D493" s="49"/>
      <c r="E493" s="50"/>
    </row>
    <row r="494" spans="1:5" x14ac:dyDescent="0.25">
      <c r="A494" t="str">
        <f t="shared" si="7"/>
        <v/>
      </c>
      <c r="B494" s="48"/>
      <c r="C494" s="48"/>
      <c r="D494" s="49"/>
      <c r="E494" s="50"/>
    </row>
    <row r="495" spans="1:5" x14ac:dyDescent="0.25">
      <c r="A495" t="str">
        <f t="shared" si="7"/>
        <v/>
      </c>
      <c r="B495" s="48"/>
      <c r="C495" s="48"/>
      <c r="D495" s="49"/>
      <c r="E495" s="50"/>
    </row>
    <row r="496" spans="1:5" x14ac:dyDescent="0.25">
      <c r="A496" t="str">
        <f t="shared" si="7"/>
        <v/>
      </c>
      <c r="B496" s="48"/>
      <c r="C496" s="48"/>
      <c r="D496" s="49"/>
      <c r="E496" s="50"/>
    </row>
    <row r="497" spans="1:5" x14ac:dyDescent="0.25">
      <c r="A497" t="str">
        <f t="shared" si="7"/>
        <v/>
      </c>
      <c r="B497" s="48"/>
      <c r="C497" s="48"/>
      <c r="D497" s="49"/>
      <c r="E497" s="50"/>
    </row>
    <row r="498" spans="1:5" x14ac:dyDescent="0.25">
      <c r="A498" t="str">
        <f t="shared" si="7"/>
        <v/>
      </c>
      <c r="B498" s="48"/>
      <c r="C498" s="48"/>
      <c r="D498" s="49"/>
      <c r="E498" s="50"/>
    </row>
    <row r="499" spans="1:5" x14ac:dyDescent="0.25">
      <c r="A499" t="str">
        <f t="shared" si="7"/>
        <v/>
      </c>
      <c r="B499" s="48"/>
      <c r="C499" s="48"/>
      <c r="D499" s="49"/>
      <c r="E499" s="50"/>
    </row>
    <row r="500" spans="1:5" x14ac:dyDescent="0.25">
      <c r="A500" t="str">
        <f t="shared" si="7"/>
        <v/>
      </c>
      <c r="B500" s="48"/>
      <c r="C500" s="48"/>
      <c r="D500" s="49"/>
      <c r="E500" s="50"/>
    </row>
    <row r="501" spans="1:5" x14ac:dyDescent="0.25">
      <c r="A501" t="str">
        <f t="shared" si="7"/>
        <v/>
      </c>
      <c r="B501" s="48"/>
      <c r="C501" s="48"/>
      <c r="D501" s="49"/>
      <c r="E501" s="50"/>
    </row>
    <row r="502" spans="1:5" x14ac:dyDescent="0.25">
      <c r="A502" t="str">
        <f t="shared" si="7"/>
        <v/>
      </c>
      <c r="B502" s="48"/>
      <c r="C502" s="48"/>
      <c r="D502" s="49"/>
      <c r="E502" s="50"/>
    </row>
    <row r="503" spans="1:5" x14ac:dyDescent="0.25">
      <c r="A503" t="str">
        <f t="shared" si="7"/>
        <v/>
      </c>
      <c r="B503" s="48"/>
      <c r="C503" s="48"/>
      <c r="D503" s="49"/>
      <c r="E503" s="50"/>
    </row>
    <row r="504" spans="1:5" x14ac:dyDescent="0.25">
      <c r="A504" t="str">
        <f t="shared" si="7"/>
        <v/>
      </c>
      <c r="B504" s="48"/>
      <c r="C504" s="48"/>
      <c r="D504" s="49"/>
      <c r="E504" s="50"/>
    </row>
    <row r="505" spans="1:5" x14ac:dyDescent="0.25">
      <c r="A505" t="str">
        <f t="shared" si="7"/>
        <v/>
      </c>
      <c r="B505" s="48"/>
      <c r="C505" s="48"/>
      <c r="D505" s="49"/>
      <c r="E505" s="50"/>
    </row>
    <row r="506" spans="1:5" x14ac:dyDescent="0.25">
      <c r="A506" t="str">
        <f t="shared" si="7"/>
        <v/>
      </c>
      <c r="B506" s="48"/>
      <c r="C506" s="48"/>
      <c r="D506" s="49"/>
      <c r="E506" s="50"/>
    </row>
    <row r="507" spans="1:5" x14ac:dyDescent="0.25">
      <c r="A507" t="str">
        <f t="shared" si="7"/>
        <v/>
      </c>
      <c r="B507" s="48"/>
      <c r="C507" s="48"/>
      <c r="D507" s="49"/>
      <c r="E507" s="50"/>
    </row>
    <row r="508" spans="1:5" x14ac:dyDescent="0.25">
      <c r="A508" t="str">
        <f t="shared" si="7"/>
        <v/>
      </c>
      <c r="B508" s="48"/>
      <c r="C508" s="48"/>
      <c r="D508" s="49"/>
      <c r="E508" s="50"/>
    </row>
    <row r="509" spans="1:5" x14ac:dyDescent="0.25">
      <c r="A509" t="str">
        <f t="shared" si="7"/>
        <v/>
      </c>
      <c r="B509" s="48"/>
      <c r="C509" s="48"/>
      <c r="D509" s="49"/>
      <c r="E509" s="50"/>
    </row>
    <row r="510" spans="1:5" x14ac:dyDescent="0.25">
      <c r="A510" t="str">
        <f t="shared" si="7"/>
        <v/>
      </c>
      <c r="B510" s="48"/>
      <c r="C510" s="48"/>
      <c r="D510" s="49"/>
      <c r="E510" s="50"/>
    </row>
    <row r="511" spans="1:5" x14ac:dyDescent="0.25">
      <c r="A511" t="str">
        <f t="shared" si="7"/>
        <v/>
      </c>
      <c r="B511" s="48"/>
      <c r="C511" s="48"/>
      <c r="D511" s="49"/>
      <c r="E511" s="50"/>
    </row>
    <row r="512" spans="1:5" x14ac:dyDescent="0.25">
      <c r="A512" t="str">
        <f t="shared" si="7"/>
        <v/>
      </c>
      <c r="B512" s="48"/>
      <c r="C512" s="48"/>
      <c r="D512" s="49"/>
      <c r="E512" s="50"/>
    </row>
    <row r="513" spans="1:5" x14ac:dyDescent="0.25">
      <c r="A513" t="str">
        <f t="shared" si="7"/>
        <v/>
      </c>
      <c r="B513" s="48"/>
      <c r="C513" s="48"/>
      <c r="D513" s="49"/>
      <c r="E513" s="50"/>
    </row>
    <row r="514" spans="1:5" x14ac:dyDescent="0.25">
      <c r="A514" t="str">
        <f t="shared" ref="A514:A577" si="8">CONCATENATE(B514, C514, D514)</f>
        <v/>
      </c>
      <c r="B514" s="48"/>
      <c r="C514" s="48"/>
      <c r="D514" s="49"/>
      <c r="E514" s="50"/>
    </row>
    <row r="515" spans="1:5" x14ac:dyDescent="0.25">
      <c r="A515" t="str">
        <f t="shared" si="8"/>
        <v/>
      </c>
      <c r="B515" s="48"/>
      <c r="C515" s="48"/>
      <c r="D515" s="49"/>
      <c r="E515" s="50"/>
    </row>
    <row r="516" spans="1:5" x14ac:dyDescent="0.25">
      <c r="A516" t="str">
        <f t="shared" si="8"/>
        <v/>
      </c>
      <c r="B516" s="48"/>
      <c r="C516" s="48"/>
      <c r="D516" s="49"/>
      <c r="E516" s="50"/>
    </row>
    <row r="517" spans="1:5" x14ac:dyDescent="0.25">
      <c r="A517" t="str">
        <f t="shared" si="8"/>
        <v/>
      </c>
      <c r="B517" s="48"/>
      <c r="C517" s="48"/>
      <c r="D517" s="49"/>
      <c r="E517" s="50"/>
    </row>
    <row r="518" spans="1:5" x14ac:dyDescent="0.25">
      <c r="A518" t="str">
        <f t="shared" si="8"/>
        <v/>
      </c>
      <c r="B518" s="48"/>
      <c r="C518" s="48"/>
      <c r="D518" s="49"/>
      <c r="E518" s="50"/>
    </row>
    <row r="519" spans="1:5" x14ac:dyDescent="0.25">
      <c r="A519" t="str">
        <f t="shared" si="8"/>
        <v/>
      </c>
      <c r="B519" s="48"/>
      <c r="C519" s="48"/>
      <c r="D519" s="49"/>
      <c r="E519" s="50"/>
    </row>
    <row r="520" spans="1:5" x14ac:dyDescent="0.25">
      <c r="A520" t="str">
        <f t="shared" si="8"/>
        <v/>
      </c>
      <c r="B520" s="48"/>
      <c r="C520" s="48"/>
      <c r="D520" s="49"/>
      <c r="E520" s="50"/>
    </row>
    <row r="521" spans="1:5" x14ac:dyDescent="0.25">
      <c r="A521" t="str">
        <f t="shared" si="8"/>
        <v/>
      </c>
      <c r="B521" s="48"/>
      <c r="C521" s="48"/>
      <c r="D521" s="49"/>
      <c r="E521" s="50"/>
    </row>
    <row r="522" spans="1:5" x14ac:dyDescent="0.25">
      <c r="A522" t="str">
        <f t="shared" si="8"/>
        <v/>
      </c>
      <c r="B522" s="48"/>
      <c r="C522" s="48"/>
      <c r="D522" s="49"/>
      <c r="E522" s="50"/>
    </row>
    <row r="523" spans="1:5" x14ac:dyDescent="0.25">
      <c r="A523" t="str">
        <f t="shared" si="8"/>
        <v/>
      </c>
      <c r="B523" s="48"/>
      <c r="C523" s="48"/>
      <c r="D523" s="49"/>
      <c r="E523" s="50"/>
    </row>
    <row r="524" spans="1:5" x14ac:dyDescent="0.25">
      <c r="A524" t="str">
        <f t="shared" si="8"/>
        <v/>
      </c>
      <c r="B524" s="48"/>
      <c r="C524" s="48"/>
      <c r="D524" s="49"/>
      <c r="E524" s="50"/>
    </row>
    <row r="525" spans="1:5" x14ac:dyDescent="0.25">
      <c r="A525" t="str">
        <f t="shared" si="8"/>
        <v/>
      </c>
      <c r="B525" s="48"/>
      <c r="C525" s="48"/>
      <c r="D525" s="49"/>
      <c r="E525" s="50"/>
    </row>
    <row r="526" spans="1:5" x14ac:dyDescent="0.25">
      <c r="A526" t="str">
        <f t="shared" si="8"/>
        <v/>
      </c>
      <c r="B526" s="48"/>
      <c r="C526" s="48"/>
      <c r="D526" s="49"/>
      <c r="E526" s="50"/>
    </row>
    <row r="527" spans="1:5" x14ac:dyDescent="0.25">
      <c r="A527" t="str">
        <f t="shared" si="8"/>
        <v/>
      </c>
      <c r="B527" s="48"/>
      <c r="C527" s="48"/>
      <c r="D527" s="49"/>
      <c r="E527" s="50"/>
    </row>
    <row r="528" spans="1:5" x14ac:dyDescent="0.25">
      <c r="A528" t="str">
        <f t="shared" si="8"/>
        <v/>
      </c>
      <c r="B528" s="48"/>
      <c r="C528" s="48"/>
      <c r="D528" s="49"/>
      <c r="E528" s="50"/>
    </row>
    <row r="529" spans="1:5" x14ac:dyDescent="0.25">
      <c r="A529" t="str">
        <f t="shared" si="8"/>
        <v/>
      </c>
      <c r="B529" s="48"/>
      <c r="C529" s="48"/>
      <c r="D529" s="51"/>
      <c r="E529" s="50"/>
    </row>
    <row r="530" spans="1:5" x14ac:dyDescent="0.25">
      <c r="A530" t="str">
        <f t="shared" si="8"/>
        <v/>
      </c>
      <c r="B530" s="48"/>
      <c r="C530" s="48"/>
      <c r="D530" s="49"/>
      <c r="E530" s="50"/>
    </row>
    <row r="531" spans="1:5" x14ac:dyDescent="0.25">
      <c r="A531" t="str">
        <f t="shared" si="8"/>
        <v/>
      </c>
      <c r="B531" s="48"/>
      <c r="C531" s="48"/>
      <c r="D531" s="49"/>
      <c r="E531" s="50"/>
    </row>
    <row r="532" spans="1:5" x14ac:dyDescent="0.25">
      <c r="A532" t="str">
        <f t="shared" si="8"/>
        <v/>
      </c>
      <c r="B532" s="48"/>
      <c r="C532" s="48"/>
      <c r="D532" s="51"/>
      <c r="E532" s="50"/>
    </row>
    <row r="533" spans="1:5" x14ac:dyDescent="0.25">
      <c r="A533" t="str">
        <f t="shared" si="8"/>
        <v/>
      </c>
      <c r="B533" s="48"/>
      <c r="C533" s="48"/>
      <c r="D533" s="49"/>
      <c r="E533" s="50"/>
    </row>
    <row r="534" spans="1:5" x14ac:dyDescent="0.25">
      <c r="A534" t="str">
        <f t="shared" si="8"/>
        <v/>
      </c>
      <c r="B534" s="48"/>
      <c r="C534" s="48"/>
      <c r="D534" s="49"/>
      <c r="E534" s="50"/>
    </row>
    <row r="535" spans="1:5" x14ac:dyDescent="0.25">
      <c r="A535" t="str">
        <f t="shared" si="8"/>
        <v/>
      </c>
      <c r="B535" s="48"/>
      <c r="C535" s="48"/>
      <c r="D535" s="51"/>
      <c r="E535" s="50"/>
    </row>
    <row r="536" spans="1:5" x14ac:dyDescent="0.25">
      <c r="A536" t="str">
        <f t="shared" si="8"/>
        <v/>
      </c>
      <c r="B536" s="48"/>
      <c r="C536" s="48"/>
      <c r="D536" s="49"/>
      <c r="E536" s="50"/>
    </row>
    <row r="537" spans="1:5" x14ac:dyDescent="0.25">
      <c r="A537" t="str">
        <f t="shared" si="8"/>
        <v/>
      </c>
      <c r="B537" s="48"/>
      <c r="C537" s="48"/>
      <c r="D537" s="49"/>
      <c r="E537" s="50"/>
    </row>
    <row r="538" spans="1:5" x14ac:dyDescent="0.25">
      <c r="A538" t="str">
        <f t="shared" si="8"/>
        <v/>
      </c>
      <c r="B538" s="48"/>
      <c r="C538" s="48"/>
      <c r="D538" s="51"/>
      <c r="E538" s="50"/>
    </row>
    <row r="539" spans="1:5" x14ac:dyDescent="0.25">
      <c r="A539" t="str">
        <f t="shared" si="8"/>
        <v/>
      </c>
      <c r="B539" s="48"/>
      <c r="C539" s="48"/>
      <c r="D539" s="49"/>
      <c r="E539" s="50"/>
    </row>
    <row r="540" spans="1:5" x14ac:dyDescent="0.25">
      <c r="A540" t="str">
        <f t="shared" si="8"/>
        <v/>
      </c>
      <c r="B540" s="48"/>
      <c r="C540" s="48"/>
      <c r="D540" s="51"/>
      <c r="E540" s="50"/>
    </row>
    <row r="541" spans="1:5" x14ac:dyDescent="0.25">
      <c r="A541" t="str">
        <f t="shared" si="8"/>
        <v/>
      </c>
      <c r="B541" s="48"/>
      <c r="C541" s="48"/>
      <c r="D541" s="49"/>
      <c r="E541" s="50"/>
    </row>
    <row r="542" spans="1:5" x14ac:dyDescent="0.25">
      <c r="A542" t="str">
        <f t="shared" si="8"/>
        <v/>
      </c>
      <c r="B542" s="48"/>
      <c r="C542" s="48"/>
      <c r="D542" s="49"/>
      <c r="E542" s="50"/>
    </row>
    <row r="543" spans="1:5" x14ac:dyDescent="0.25">
      <c r="A543" t="str">
        <f t="shared" si="8"/>
        <v/>
      </c>
      <c r="B543" s="48"/>
      <c r="C543" s="48"/>
      <c r="D543" s="51"/>
      <c r="E543" s="50"/>
    </row>
    <row r="544" spans="1:5" x14ac:dyDescent="0.25">
      <c r="A544" t="str">
        <f t="shared" si="8"/>
        <v/>
      </c>
      <c r="B544" s="48"/>
      <c r="C544" s="48"/>
      <c r="D544" s="49"/>
      <c r="E544" s="50"/>
    </row>
    <row r="545" spans="1:5" x14ac:dyDescent="0.25">
      <c r="A545" t="str">
        <f t="shared" si="8"/>
        <v/>
      </c>
      <c r="B545" s="48"/>
      <c r="C545" s="48"/>
      <c r="D545" s="49"/>
      <c r="E545" s="50"/>
    </row>
    <row r="546" spans="1:5" x14ac:dyDescent="0.25">
      <c r="A546" t="str">
        <f t="shared" si="8"/>
        <v/>
      </c>
      <c r="C546" s="48"/>
      <c r="D546" s="48"/>
      <c r="E546" s="50"/>
    </row>
    <row r="547" spans="1:5" x14ac:dyDescent="0.25">
      <c r="A547" t="str">
        <f t="shared" si="8"/>
        <v/>
      </c>
      <c r="C547" s="48"/>
      <c r="D547" s="49"/>
      <c r="E547" s="50"/>
    </row>
    <row r="548" spans="1:5" x14ac:dyDescent="0.25">
      <c r="A548" t="str">
        <f t="shared" si="8"/>
        <v/>
      </c>
      <c r="C548" s="48"/>
      <c r="D548" s="49"/>
      <c r="E548" s="50"/>
    </row>
    <row r="549" spans="1:5" x14ac:dyDescent="0.25">
      <c r="A549" t="str">
        <f t="shared" si="8"/>
        <v/>
      </c>
      <c r="C549" s="48"/>
      <c r="D549" s="48"/>
      <c r="E549" s="50"/>
    </row>
    <row r="550" spans="1:5" x14ac:dyDescent="0.25">
      <c r="A550" t="str">
        <f t="shared" si="8"/>
        <v/>
      </c>
      <c r="C550" s="48"/>
      <c r="D550" s="48"/>
      <c r="E550" s="50"/>
    </row>
    <row r="551" spans="1:5" x14ac:dyDescent="0.25">
      <c r="A551" t="str">
        <f t="shared" si="8"/>
        <v/>
      </c>
      <c r="B551" s="48"/>
      <c r="C551" s="48"/>
      <c r="D551" s="48"/>
      <c r="E551" s="50"/>
    </row>
    <row r="552" spans="1:5" x14ac:dyDescent="0.25">
      <c r="A552" t="str">
        <f t="shared" si="8"/>
        <v/>
      </c>
      <c r="B552" s="48"/>
      <c r="C552" s="48"/>
      <c r="E552" s="50"/>
    </row>
    <row r="553" spans="1:5" x14ac:dyDescent="0.25">
      <c r="A553" t="str">
        <f t="shared" si="8"/>
        <v/>
      </c>
      <c r="C553" s="48"/>
      <c r="D553" s="50"/>
      <c r="E553" s="50"/>
    </row>
    <row r="554" spans="1:5" x14ac:dyDescent="0.25">
      <c r="A554" t="str">
        <f t="shared" si="8"/>
        <v/>
      </c>
      <c r="C554" s="48"/>
      <c r="D554" s="50"/>
      <c r="E554" s="50"/>
    </row>
    <row r="555" spans="1:5" x14ac:dyDescent="0.25">
      <c r="A555" t="str">
        <f t="shared" si="8"/>
        <v/>
      </c>
      <c r="C555" s="48"/>
      <c r="D555" s="50"/>
      <c r="E555" s="50"/>
    </row>
    <row r="556" spans="1:5" x14ac:dyDescent="0.25">
      <c r="A556" t="str">
        <f t="shared" si="8"/>
        <v/>
      </c>
      <c r="C556" s="48"/>
      <c r="D556" s="50"/>
      <c r="E556" s="50"/>
    </row>
    <row r="557" spans="1:5" x14ac:dyDescent="0.25">
      <c r="A557" t="str">
        <f t="shared" si="8"/>
        <v/>
      </c>
      <c r="C557" s="48"/>
      <c r="D557" s="50"/>
      <c r="E557" s="50"/>
    </row>
    <row r="558" spans="1:5" x14ac:dyDescent="0.25">
      <c r="A558" t="str">
        <f t="shared" si="8"/>
        <v/>
      </c>
      <c r="C558" s="48"/>
      <c r="D558" s="50"/>
      <c r="E558" s="50"/>
    </row>
    <row r="559" spans="1:5" x14ac:dyDescent="0.25">
      <c r="A559" t="str">
        <f t="shared" si="8"/>
        <v/>
      </c>
      <c r="B559" s="48"/>
      <c r="C559" s="48"/>
      <c r="E559" s="50"/>
    </row>
    <row r="560" spans="1:5" x14ac:dyDescent="0.25">
      <c r="A560" t="str">
        <f t="shared" si="8"/>
        <v/>
      </c>
      <c r="B560" s="48"/>
      <c r="C560" s="48"/>
      <c r="E560" s="50"/>
    </row>
    <row r="561" spans="1:5" x14ac:dyDescent="0.25">
      <c r="A561" t="str">
        <f t="shared" si="8"/>
        <v/>
      </c>
    </row>
    <row r="562" spans="1:5" x14ac:dyDescent="0.25">
      <c r="A562" t="str">
        <f t="shared" si="8"/>
        <v/>
      </c>
      <c r="B562" s="46"/>
      <c r="E562" s="47"/>
    </row>
    <row r="563" spans="1:5" x14ac:dyDescent="0.25">
      <c r="A563" t="str">
        <f t="shared" si="8"/>
        <v/>
      </c>
      <c r="B563" s="48"/>
      <c r="E563" s="47"/>
    </row>
    <row r="564" spans="1:5" x14ac:dyDescent="0.25">
      <c r="A564" t="str">
        <f t="shared" si="8"/>
        <v/>
      </c>
      <c r="B564" s="48"/>
      <c r="E564" s="47"/>
    </row>
    <row r="565" spans="1:5" x14ac:dyDescent="0.25">
      <c r="A565" t="str">
        <f t="shared" si="8"/>
        <v/>
      </c>
      <c r="B565" s="48"/>
      <c r="E565" s="47"/>
    </row>
    <row r="566" spans="1:5" x14ac:dyDescent="0.25">
      <c r="A566" t="str">
        <f t="shared" si="8"/>
        <v/>
      </c>
      <c r="B566" s="48"/>
      <c r="E566" s="47"/>
    </row>
    <row r="567" spans="1:5" x14ac:dyDescent="0.25">
      <c r="A567" t="str">
        <f t="shared" si="8"/>
        <v/>
      </c>
      <c r="B567" s="48"/>
      <c r="E567" s="47"/>
    </row>
    <row r="568" spans="1:5" x14ac:dyDescent="0.25">
      <c r="A568" t="str">
        <f t="shared" si="8"/>
        <v/>
      </c>
      <c r="B568" s="48"/>
      <c r="E568" s="47"/>
    </row>
    <row r="569" spans="1:5" x14ac:dyDescent="0.25">
      <c r="A569" t="str">
        <f t="shared" si="8"/>
        <v/>
      </c>
      <c r="B569" s="48"/>
      <c r="E569" s="47"/>
    </row>
    <row r="570" spans="1:5" x14ac:dyDescent="0.25">
      <c r="A570" t="str">
        <f t="shared" si="8"/>
        <v/>
      </c>
      <c r="B570" s="48"/>
      <c r="E570" s="47"/>
    </row>
    <row r="571" spans="1:5" x14ac:dyDescent="0.25">
      <c r="A571" t="str">
        <f t="shared" si="8"/>
        <v/>
      </c>
      <c r="B571" s="48"/>
      <c r="E571" s="47"/>
    </row>
    <row r="572" spans="1:5" x14ac:dyDescent="0.25">
      <c r="A572" t="str">
        <f t="shared" si="8"/>
        <v/>
      </c>
      <c r="B572" s="48"/>
      <c r="E572" s="47"/>
    </row>
    <row r="573" spans="1:5" x14ac:dyDescent="0.25">
      <c r="A573" t="str">
        <f t="shared" si="8"/>
        <v/>
      </c>
      <c r="B573" s="48"/>
      <c r="E573" s="47"/>
    </row>
    <row r="574" spans="1:5" x14ac:dyDescent="0.25">
      <c r="A574" t="str">
        <f t="shared" si="8"/>
        <v/>
      </c>
      <c r="B574" s="48"/>
      <c r="E574" s="47"/>
    </row>
    <row r="575" spans="1:5" x14ac:dyDescent="0.25">
      <c r="A575" t="str">
        <f t="shared" si="8"/>
        <v/>
      </c>
      <c r="B575" s="48"/>
      <c r="E575" s="47"/>
    </row>
    <row r="576" spans="1:5" x14ac:dyDescent="0.25">
      <c r="A576" t="str">
        <f t="shared" si="8"/>
        <v/>
      </c>
      <c r="B576" s="48"/>
      <c r="E576" s="47"/>
    </row>
    <row r="577" spans="1:5" x14ac:dyDescent="0.25">
      <c r="A577" t="str">
        <f t="shared" si="8"/>
        <v/>
      </c>
      <c r="B577" s="48"/>
      <c r="C577" s="48"/>
      <c r="D577" s="49"/>
      <c r="E577" s="50"/>
    </row>
    <row r="578" spans="1:5" x14ac:dyDescent="0.25">
      <c r="A578" t="str">
        <f t="shared" ref="A578:A641" si="9">CONCATENATE(B578, C578, D578)</f>
        <v/>
      </c>
      <c r="B578" s="48"/>
      <c r="C578" s="48"/>
      <c r="D578" s="49"/>
      <c r="E578" s="50"/>
    </row>
    <row r="579" spans="1:5" x14ac:dyDescent="0.25">
      <c r="A579" t="str">
        <f t="shared" si="9"/>
        <v/>
      </c>
      <c r="B579" s="48"/>
      <c r="C579" s="48"/>
      <c r="D579" s="49"/>
      <c r="E579" s="50"/>
    </row>
    <row r="580" spans="1:5" x14ac:dyDescent="0.25">
      <c r="A580" t="str">
        <f t="shared" si="9"/>
        <v/>
      </c>
      <c r="B580" s="48"/>
      <c r="C580" s="48"/>
      <c r="D580" s="49"/>
      <c r="E580" s="50"/>
    </row>
    <row r="581" spans="1:5" x14ac:dyDescent="0.25">
      <c r="A581" t="str">
        <f t="shared" si="9"/>
        <v/>
      </c>
      <c r="B581" s="48"/>
      <c r="C581" s="48"/>
      <c r="D581" s="49"/>
      <c r="E581" s="50"/>
    </row>
    <row r="582" spans="1:5" x14ac:dyDescent="0.25">
      <c r="A582" t="str">
        <f t="shared" si="9"/>
        <v/>
      </c>
      <c r="B582" s="48"/>
      <c r="C582" s="48"/>
      <c r="D582" s="49"/>
      <c r="E582" s="50"/>
    </row>
    <row r="583" spans="1:5" x14ac:dyDescent="0.25">
      <c r="A583" t="str">
        <f t="shared" si="9"/>
        <v/>
      </c>
      <c r="B583" s="48"/>
      <c r="C583" s="48"/>
      <c r="D583" s="49"/>
      <c r="E583" s="50"/>
    </row>
    <row r="584" spans="1:5" x14ac:dyDescent="0.25">
      <c r="A584" t="str">
        <f t="shared" si="9"/>
        <v/>
      </c>
      <c r="B584" s="48"/>
      <c r="C584" s="48"/>
      <c r="D584" s="49"/>
      <c r="E584" s="50"/>
    </row>
    <row r="585" spans="1:5" x14ac:dyDescent="0.25">
      <c r="A585" t="str">
        <f t="shared" si="9"/>
        <v/>
      </c>
      <c r="B585" s="48"/>
      <c r="C585" s="48"/>
      <c r="D585" s="49"/>
      <c r="E585" s="50"/>
    </row>
    <row r="586" spans="1:5" x14ac:dyDescent="0.25">
      <c r="A586" t="str">
        <f t="shared" si="9"/>
        <v/>
      </c>
      <c r="B586" s="48"/>
      <c r="C586" s="48"/>
      <c r="D586" s="49"/>
      <c r="E586" s="50"/>
    </row>
    <row r="587" spans="1:5" x14ac:dyDescent="0.25">
      <c r="A587" t="str">
        <f t="shared" si="9"/>
        <v/>
      </c>
      <c r="B587" s="48"/>
      <c r="C587" s="48"/>
      <c r="D587" s="49"/>
      <c r="E587" s="50"/>
    </row>
    <row r="588" spans="1:5" x14ac:dyDescent="0.25">
      <c r="A588" t="str">
        <f t="shared" si="9"/>
        <v/>
      </c>
      <c r="B588" s="48"/>
      <c r="C588" s="48"/>
      <c r="D588" s="49"/>
      <c r="E588" s="50"/>
    </row>
    <row r="589" spans="1:5" x14ac:dyDescent="0.25">
      <c r="A589" t="str">
        <f t="shared" si="9"/>
        <v/>
      </c>
      <c r="B589" s="48"/>
      <c r="C589" s="48"/>
      <c r="D589" s="49"/>
      <c r="E589" s="50"/>
    </row>
    <row r="590" spans="1:5" x14ac:dyDescent="0.25">
      <c r="A590" t="str">
        <f t="shared" si="9"/>
        <v/>
      </c>
      <c r="B590" s="48"/>
      <c r="C590" s="48"/>
      <c r="D590" s="49"/>
      <c r="E590" s="50"/>
    </row>
    <row r="591" spans="1:5" x14ac:dyDescent="0.25">
      <c r="A591" t="str">
        <f t="shared" si="9"/>
        <v/>
      </c>
      <c r="B591" s="48"/>
      <c r="C591" s="48"/>
      <c r="D591" s="49"/>
      <c r="E591" s="50"/>
    </row>
    <row r="592" spans="1:5" x14ac:dyDescent="0.25">
      <c r="A592" t="str">
        <f t="shared" si="9"/>
        <v/>
      </c>
      <c r="B592" s="48"/>
      <c r="C592" s="48"/>
      <c r="D592" s="49"/>
      <c r="E592" s="50"/>
    </row>
    <row r="593" spans="1:5" x14ac:dyDescent="0.25">
      <c r="A593" t="str">
        <f t="shared" si="9"/>
        <v/>
      </c>
      <c r="B593" s="48"/>
      <c r="C593" s="48"/>
      <c r="D593" s="49"/>
      <c r="E593" s="50"/>
    </row>
    <row r="594" spans="1:5" x14ac:dyDescent="0.25">
      <c r="A594" t="str">
        <f t="shared" si="9"/>
        <v/>
      </c>
      <c r="B594" s="48"/>
      <c r="C594" s="48"/>
      <c r="D594" s="49"/>
      <c r="E594" s="50"/>
    </row>
    <row r="595" spans="1:5" x14ac:dyDescent="0.25">
      <c r="A595" t="str">
        <f t="shared" si="9"/>
        <v/>
      </c>
      <c r="B595" s="48"/>
      <c r="C595" s="48"/>
      <c r="D595" s="49"/>
      <c r="E595" s="50"/>
    </row>
    <row r="596" spans="1:5" x14ac:dyDescent="0.25">
      <c r="A596" t="str">
        <f t="shared" si="9"/>
        <v/>
      </c>
      <c r="B596" s="48"/>
      <c r="C596" s="48"/>
      <c r="D596" s="49"/>
      <c r="E596" s="50"/>
    </row>
    <row r="597" spans="1:5" x14ac:dyDescent="0.25">
      <c r="A597" t="str">
        <f t="shared" si="9"/>
        <v/>
      </c>
      <c r="B597" s="48"/>
      <c r="C597" s="48"/>
      <c r="D597" s="49"/>
      <c r="E597" s="50"/>
    </row>
    <row r="598" spans="1:5" x14ac:dyDescent="0.25">
      <c r="A598" t="str">
        <f t="shared" si="9"/>
        <v/>
      </c>
      <c r="B598" s="48"/>
      <c r="C598" s="48"/>
      <c r="D598" s="49"/>
      <c r="E598" s="50"/>
    </row>
    <row r="599" spans="1:5" x14ac:dyDescent="0.25">
      <c r="A599" t="str">
        <f t="shared" si="9"/>
        <v/>
      </c>
      <c r="B599" s="48"/>
      <c r="C599" s="48"/>
      <c r="D599" s="49"/>
      <c r="E599" s="50"/>
    </row>
    <row r="600" spans="1:5" x14ac:dyDescent="0.25">
      <c r="A600" t="str">
        <f t="shared" si="9"/>
        <v/>
      </c>
      <c r="B600" s="48"/>
      <c r="C600" s="48"/>
      <c r="D600" s="49"/>
      <c r="E600" s="50"/>
    </row>
    <row r="601" spans="1:5" x14ac:dyDescent="0.25">
      <c r="A601" t="str">
        <f t="shared" si="9"/>
        <v/>
      </c>
      <c r="B601" s="48"/>
      <c r="C601" s="48"/>
      <c r="D601" s="49"/>
      <c r="E601" s="50"/>
    </row>
    <row r="602" spans="1:5" x14ac:dyDescent="0.25">
      <c r="A602" t="str">
        <f t="shared" si="9"/>
        <v/>
      </c>
      <c r="B602" s="48"/>
      <c r="C602" s="48"/>
      <c r="D602" s="49"/>
      <c r="E602" s="50"/>
    </row>
    <row r="603" spans="1:5" x14ac:dyDescent="0.25">
      <c r="A603" t="str">
        <f t="shared" si="9"/>
        <v/>
      </c>
      <c r="B603" s="48"/>
      <c r="C603" s="48"/>
      <c r="D603" s="49"/>
      <c r="E603" s="50"/>
    </row>
    <row r="604" spans="1:5" x14ac:dyDescent="0.25">
      <c r="A604" t="str">
        <f t="shared" si="9"/>
        <v/>
      </c>
      <c r="B604" s="48"/>
      <c r="C604" s="48"/>
      <c r="D604" s="49"/>
      <c r="E604" s="50"/>
    </row>
    <row r="605" spans="1:5" x14ac:dyDescent="0.25">
      <c r="A605" t="str">
        <f t="shared" si="9"/>
        <v/>
      </c>
      <c r="B605" s="48"/>
      <c r="C605" s="48"/>
      <c r="D605" s="49"/>
      <c r="E605" s="50"/>
    </row>
    <row r="606" spans="1:5" x14ac:dyDescent="0.25">
      <c r="A606" t="str">
        <f t="shared" si="9"/>
        <v/>
      </c>
      <c r="B606" s="48"/>
      <c r="C606" s="48"/>
      <c r="D606" s="49"/>
      <c r="E606" s="50"/>
    </row>
    <row r="607" spans="1:5" x14ac:dyDescent="0.25">
      <c r="A607" t="str">
        <f t="shared" si="9"/>
        <v/>
      </c>
      <c r="B607" s="48"/>
      <c r="C607" s="48"/>
      <c r="D607" s="49"/>
      <c r="E607" s="50"/>
    </row>
    <row r="608" spans="1:5" x14ac:dyDescent="0.25">
      <c r="A608" t="str">
        <f t="shared" si="9"/>
        <v/>
      </c>
      <c r="B608" s="48"/>
      <c r="C608" s="48"/>
      <c r="D608" s="49"/>
      <c r="E608" s="50"/>
    </row>
    <row r="609" spans="1:5" x14ac:dyDescent="0.25">
      <c r="A609" t="str">
        <f t="shared" si="9"/>
        <v/>
      </c>
      <c r="B609" s="48"/>
      <c r="C609" s="48"/>
      <c r="D609" s="49"/>
      <c r="E609" s="50"/>
    </row>
    <row r="610" spans="1:5" x14ac:dyDescent="0.25">
      <c r="A610" t="str">
        <f t="shared" si="9"/>
        <v/>
      </c>
      <c r="B610" s="48"/>
      <c r="C610" s="48"/>
      <c r="D610" s="49"/>
      <c r="E610" s="50"/>
    </row>
    <row r="611" spans="1:5" x14ac:dyDescent="0.25">
      <c r="A611" t="str">
        <f t="shared" si="9"/>
        <v/>
      </c>
      <c r="B611" s="48"/>
      <c r="C611" s="48"/>
      <c r="D611" s="49"/>
      <c r="E611" s="50"/>
    </row>
    <row r="612" spans="1:5" x14ac:dyDescent="0.25">
      <c r="A612" t="str">
        <f t="shared" si="9"/>
        <v/>
      </c>
      <c r="B612" s="48"/>
      <c r="C612" s="48"/>
      <c r="D612" s="49"/>
      <c r="E612" s="50"/>
    </row>
    <row r="613" spans="1:5" x14ac:dyDescent="0.25">
      <c r="A613" t="str">
        <f t="shared" si="9"/>
        <v/>
      </c>
      <c r="B613" s="48"/>
      <c r="C613" s="48"/>
      <c r="D613" s="49"/>
      <c r="E613" s="50"/>
    </row>
    <row r="614" spans="1:5" x14ac:dyDescent="0.25">
      <c r="A614" t="str">
        <f t="shared" si="9"/>
        <v/>
      </c>
      <c r="B614" s="48"/>
      <c r="C614" s="48"/>
      <c r="D614" s="49"/>
      <c r="E614" s="50"/>
    </row>
    <row r="615" spans="1:5" x14ac:dyDescent="0.25">
      <c r="A615" t="str">
        <f t="shared" si="9"/>
        <v/>
      </c>
      <c r="B615" s="48"/>
      <c r="C615" s="48"/>
      <c r="D615" s="49"/>
      <c r="E615" s="50"/>
    </row>
    <row r="616" spans="1:5" x14ac:dyDescent="0.25">
      <c r="A616" t="str">
        <f t="shared" si="9"/>
        <v/>
      </c>
      <c r="B616" s="48"/>
      <c r="C616" s="48"/>
      <c r="D616" s="49"/>
      <c r="E616" s="50"/>
    </row>
    <row r="617" spans="1:5" x14ac:dyDescent="0.25">
      <c r="A617" t="str">
        <f t="shared" si="9"/>
        <v/>
      </c>
      <c r="B617" s="48"/>
      <c r="C617" s="48"/>
      <c r="D617" s="49"/>
      <c r="E617" s="50"/>
    </row>
    <row r="618" spans="1:5" x14ac:dyDescent="0.25">
      <c r="A618" t="str">
        <f t="shared" si="9"/>
        <v/>
      </c>
      <c r="B618" s="48"/>
      <c r="C618" s="48"/>
      <c r="D618" s="49"/>
      <c r="E618" s="50"/>
    </row>
    <row r="619" spans="1:5" x14ac:dyDescent="0.25">
      <c r="A619" t="str">
        <f t="shared" si="9"/>
        <v/>
      </c>
      <c r="B619" s="48"/>
      <c r="C619" s="48"/>
      <c r="D619" s="49"/>
      <c r="E619" s="50"/>
    </row>
    <row r="620" spans="1:5" x14ac:dyDescent="0.25">
      <c r="A620" t="str">
        <f t="shared" si="9"/>
        <v/>
      </c>
      <c r="B620" s="48"/>
      <c r="C620" s="48"/>
      <c r="D620" s="49"/>
      <c r="E620" s="50"/>
    </row>
    <row r="621" spans="1:5" x14ac:dyDescent="0.25">
      <c r="A621" t="str">
        <f t="shared" si="9"/>
        <v/>
      </c>
      <c r="B621" s="48"/>
      <c r="C621" s="48"/>
      <c r="D621" s="49"/>
      <c r="E621" s="50"/>
    </row>
    <row r="622" spans="1:5" x14ac:dyDescent="0.25">
      <c r="A622" t="str">
        <f t="shared" si="9"/>
        <v/>
      </c>
      <c r="B622" s="48"/>
      <c r="C622" s="48"/>
      <c r="D622" s="49"/>
      <c r="E622" s="50"/>
    </row>
    <row r="623" spans="1:5" x14ac:dyDescent="0.25">
      <c r="A623" t="str">
        <f t="shared" si="9"/>
        <v/>
      </c>
      <c r="B623" s="48"/>
      <c r="C623" s="48"/>
      <c r="D623" s="49"/>
      <c r="E623" s="50"/>
    </row>
    <row r="624" spans="1:5" x14ac:dyDescent="0.25">
      <c r="A624" t="str">
        <f t="shared" si="9"/>
        <v/>
      </c>
      <c r="B624" s="48"/>
      <c r="C624" s="48"/>
      <c r="D624" s="49"/>
      <c r="E624" s="50"/>
    </row>
    <row r="625" spans="1:5" x14ac:dyDescent="0.25">
      <c r="A625" t="str">
        <f t="shared" si="9"/>
        <v/>
      </c>
      <c r="B625" s="48"/>
      <c r="C625" s="48"/>
      <c r="D625" s="49"/>
      <c r="E625" s="50"/>
    </row>
    <row r="626" spans="1:5" x14ac:dyDescent="0.25">
      <c r="A626" t="str">
        <f t="shared" si="9"/>
        <v/>
      </c>
      <c r="B626" s="48"/>
      <c r="C626" s="48"/>
      <c r="D626" s="49"/>
      <c r="E626" s="50"/>
    </row>
    <row r="627" spans="1:5" x14ac:dyDescent="0.25">
      <c r="A627" t="str">
        <f t="shared" si="9"/>
        <v/>
      </c>
      <c r="B627" s="48"/>
      <c r="C627" s="48"/>
      <c r="D627" s="49"/>
      <c r="E627" s="50"/>
    </row>
    <row r="628" spans="1:5" x14ac:dyDescent="0.25">
      <c r="A628" t="str">
        <f t="shared" si="9"/>
        <v/>
      </c>
      <c r="B628" s="48"/>
      <c r="C628" s="48"/>
      <c r="D628" s="49"/>
      <c r="E628" s="50"/>
    </row>
    <row r="629" spans="1:5" x14ac:dyDescent="0.25">
      <c r="A629" t="str">
        <f t="shared" si="9"/>
        <v/>
      </c>
      <c r="B629" s="48"/>
      <c r="C629" s="48"/>
      <c r="D629" s="49"/>
      <c r="E629" s="50"/>
    </row>
    <row r="630" spans="1:5" x14ac:dyDescent="0.25">
      <c r="A630" t="str">
        <f t="shared" si="9"/>
        <v/>
      </c>
      <c r="B630" s="48"/>
      <c r="C630" s="48"/>
      <c r="D630" s="49"/>
      <c r="E630" s="50"/>
    </row>
    <row r="631" spans="1:5" x14ac:dyDescent="0.25">
      <c r="A631" t="str">
        <f t="shared" si="9"/>
        <v/>
      </c>
      <c r="B631" s="48"/>
      <c r="C631" s="48"/>
      <c r="D631" s="49"/>
      <c r="E631" s="50"/>
    </row>
    <row r="632" spans="1:5" x14ac:dyDescent="0.25">
      <c r="A632" t="str">
        <f t="shared" si="9"/>
        <v/>
      </c>
      <c r="B632" s="48"/>
      <c r="C632" s="48"/>
      <c r="D632" s="49"/>
      <c r="E632" s="50"/>
    </row>
    <row r="633" spans="1:5" x14ac:dyDescent="0.25">
      <c r="A633" t="str">
        <f t="shared" si="9"/>
        <v/>
      </c>
      <c r="B633" s="48"/>
      <c r="C633" s="48"/>
      <c r="D633" s="49"/>
      <c r="E633" s="50"/>
    </row>
    <row r="634" spans="1:5" x14ac:dyDescent="0.25">
      <c r="A634" t="str">
        <f t="shared" si="9"/>
        <v/>
      </c>
      <c r="B634" s="48"/>
      <c r="C634" s="48"/>
      <c r="D634" s="49"/>
      <c r="E634" s="50"/>
    </row>
    <row r="635" spans="1:5" x14ac:dyDescent="0.25">
      <c r="A635" t="str">
        <f t="shared" si="9"/>
        <v/>
      </c>
      <c r="B635" s="48"/>
      <c r="C635" s="48"/>
      <c r="D635" s="49"/>
      <c r="E635" s="50"/>
    </row>
    <row r="636" spans="1:5" x14ac:dyDescent="0.25">
      <c r="A636" t="str">
        <f t="shared" si="9"/>
        <v/>
      </c>
      <c r="B636" s="48"/>
      <c r="C636" s="48"/>
      <c r="D636" s="49"/>
      <c r="E636" s="50"/>
    </row>
    <row r="637" spans="1:5" x14ac:dyDescent="0.25">
      <c r="A637" t="str">
        <f t="shared" si="9"/>
        <v/>
      </c>
      <c r="B637" s="48"/>
      <c r="C637" s="48"/>
      <c r="D637" s="49"/>
      <c r="E637" s="50"/>
    </row>
    <row r="638" spans="1:5" x14ac:dyDescent="0.25">
      <c r="A638" t="str">
        <f t="shared" si="9"/>
        <v/>
      </c>
      <c r="B638" s="48"/>
      <c r="C638" s="48"/>
      <c r="D638" s="49"/>
      <c r="E638" s="50"/>
    </row>
    <row r="639" spans="1:5" x14ac:dyDescent="0.25">
      <c r="A639" t="str">
        <f t="shared" si="9"/>
        <v/>
      </c>
      <c r="B639" s="48"/>
      <c r="C639" s="48"/>
      <c r="D639" s="49"/>
      <c r="E639" s="50"/>
    </row>
    <row r="640" spans="1:5" x14ac:dyDescent="0.25">
      <c r="A640" t="str">
        <f t="shared" si="9"/>
        <v/>
      </c>
      <c r="B640" s="48"/>
      <c r="C640" s="48"/>
      <c r="D640" s="51"/>
      <c r="E640" s="50"/>
    </row>
    <row r="641" spans="1:5" x14ac:dyDescent="0.25">
      <c r="A641" t="str">
        <f t="shared" si="9"/>
        <v/>
      </c>
      <c r="B641" s="48"/>
      <c r="C641" s="48"/>
      <c r="D641" s="49"/>
      <c r="E641" s="50"/>
    </row>
    <row r="642" spans="1:5" x14ac:dyDescent="0.25">
      <c r="A642" t="str">
        <f t="shared" ref="A642:A705" si="10">CONCATENATE(B642, C642, D642)</f>
        <v/>
      </c>
      <c r="B642" s="48"/>
      <c r="C642" s="48"/>
      <c r="D642" s="49"/>
      <c r="E642" s="50"/>
    </row>
    <row r="643" spans="1:5" x14ac:dyDescent="0.25">
      <c r="A643" t="str">
        <f t="shared" si="10"/>
        <v/>
      </c>
      <c r="B643" s="48"/>
      <c r="C643" s="48"/>
      <c r="D643" s="49"/>
      <c r="E643" s="50"/>
    </row>
    <row r="644" spans="1:5" x14ac:dyDescent="0.25">
      <c r="A644" t="str">
        <f t="shared" si="10"/>
        <v/>
      </c>
      <c r="B644" s="48"/>
      <c r="C644" s="48"/>
      <c r="D644" s="49"/>
      <c r="E644" s="50"/>
    </row>
    <row r="645" spans="1:5" x14ac:dyDescent="0.25">
      <c r="A645" t="str">
        <f t="shared" si="10"/>
        <v/>
      </c>
      <c r="B645" s="48"/>
      <c r="C645" s="48"/>
      <c r="D645" s="49"/>
      <c r="E645" s="50"/>
    </row>
    <row r="646" spans="1:5" x14ac:dyDescent="0.25">
      <c r="A646" t="str">
        <f t="shared" si="10"/>
        <v/>
      </c>
      <c r="B646" s="48"/>
      <c r="C646" s="48"/>
      <c r="D646" s="51"/>
      <c r="E646" s="50"/>
    </row>
    <row r="647" spans="1:5" x14ac:dyDescent="0.25">
      <c r="A647" t="str">
        <f t="shared" si="10"/>
        <v/>
      </c>
      <c r="B647" s="48"/>
      <c r="C647" s="48"/>
      <c r="D647" s="49"/>
      <c r="E647" s="50"/>
    </row>
    <row r="648" spans="1:5" x14ac:dyDescent="0.25">
      <c r="A648" t="str">
        <f t="shared" si="10"/>
        <v/>
      </c>
      <c r="B648" s="48"/>
      <c r="C648" s="48"/>
      <c r="D648" s="49"/>
      <c r="E648" s="50"/>
    </row>
    <row r="649" spans="1:5" x14ac:dyDescent="0.25">
      <c r="A649" t="str">
        <f t="shared" si="10"/>
        <v/>
      </c>
      <c r="B649" s="48"/>
      <c r="C649" s="48"/>
      <c r="D649" s="51"/>
      <c r="E649" s="50"/>
    </row>
    <row r="650" spans="1:5" x14ac:dyDescent="0.25">
      <c r="A650" t="str">
        <f t="shared" si="10"/>
        <v/>
      </c>
      <c r="B650" s="48"/>
      <c r="C650" s="48"/>
      <c r="D650" s="49"/>
      <c r="E650" s="50"/>
    </row>
    <row r="651" spans="1:5" x14ac:dyDescent="0.25">
      <c r="A651" t="str">
        <f t="shared" si="10"/>
        <v/>
      </c>
      <c r="B651" s="48"/>
      <c r="C651" s="48"/>
      <c r="D651" s="51"/>
      <c r="E651" s="50"/>
    </row>
    <row r="652" spans="1:5" x14ac:dyDescent="0.25">
      <c r="A652" t="str">
        <f t="shared" si="10"/>
        <v/>
      </c>
      <c r="B652" s="48"/>
      <c r="C652" s="48"/>
      <c r="D652" s="49"/>
      <c r="E652" s="50"/>
    </row>
    <row r="653" spans="1:5" x14ac:dyDescent="0.25">
      <c r="A653" t="str">
        <f t="shared" si="10"/>
        <v/>
      </c>
      <c r="B653" s="48"/>
      <c r="C653" s="48"/>
      <c r="D653" s="51"/>
      <c r="E653" s="50"/>
    </row>
    <row r="654" spans="1:5" x14ac:dyDescent="0.25">
      <c r="A654" t="str">
        <f t="shared" si="10"/>
        <v/>
      </c>
      <c r="B654" s="48"/>
      <c r="C654" s="48"/>
      <c r="D654" s="49"/>
      <c r="E654" s="50"/>
    </row>
    <row r="655" spans="1:5" x14ac:dyDescent="0.25">
      <c r="A655" t="str">
        <f t="shared" si="10"/>
        <v/>
      </c>
      <c r="B655" s="48"/>
      <c r="C655" s="48"/>
      <c r="D655" s="49"/>
      <c r="E655" s="50"/>
    </row>
    <row r="656" spans="1:5" x14ac:dyDescent="0.25">
      <c r="A656" t="str">
        <f t="shared" si="10"/>
        <v/>
      </c>
      <c r="B656" s="48"/>
      <c r="C656" s="48"/>
      <c r="D656" s="51"/>
      <c r="E656" s="50"/>
    </row>
    <row r="657" spans="1:5" x14ac:dyDescent="0.25">
      <c r="A657" t="str">
        <f t="shared" si="10"/>
        <v/>
      </c>
      <c r="B657" s="48"/>
      <c r="C657" s="48"/>
      <c r="D657" s="51"/>
      <c r="E657" s="50"/>
    </row>
    <row r="658" spans="1:5" x14ac:dyDescent="0.25">
      <c r="A658" t="str">
        <f t="shared" si="10"/>
        <v/>
      </c>
      <c r="C658" s="48"/>
      <c r="D658" s="48"/>
      <c r="E658" s="50"/>
    </row>
    <row r="659" spans="1:5" x14ac:dyDescent="0.25">
      <c r="A659" t="str">
        <f t="shared" si="10"/>
        <v/>
      </c>
      <c r="C659" s="48"/>
      <c r="D659" s="49"/>
      <c r="E659" s="50"/>
    </row>
    <row r="660" spans="1:5" x14ac:dyDescent="0.25">
      <c r="A660" t="str">
        <f t="shared" si="10"/>
        <v/>
      </c>
      <c r="C660" s="48"/>
      <c r="D660" s="49"/>
      <c r="E660" s="50"/>
    </row>
    <row r="661" spans="1:5" x14ac:dyDescent="0.25">
      <c r="A661" t="str">
        <f t="shared" si="10"/>
        <v/>
      </c>
      <c r="C661" s="48"/>
      <c r="D661" s="48"/>
      <c r="E661" s="50"/>
    </row>
    <row r="662" spans="1:5" x14ac:dyDescent="0.25">
      <c r="A662" t="str">
        <f t="shared" si="10"/>
        <v/>
      </c>
      <c r="C662" s="48"/>
      <c r="D662" s="48"/>
      <c r="E662" s="50"/>
    </row>
    <row r="663" spans="1:5" x14ac:dyDescent="0.25">
      <c r="A663" t="str">
        <f t="shared" si="10"/>
        <v/>
      </c>
      <c r="B663" s="48"/>
      <c r="C663" s="48"/>
      <c r="D663" s="48"/>
      <c r="E663" s="50"/>
    </row>
    <row r="664" spans="1:5" x14ac:dyDescent="0.25">
      <c r="A664" t="str">
        <f t="shared" si="10"/>
        <v/>
      </c>
      <c r="B664" s="48"/>
      <c r="C664" s="48"/>
      <c r="E664" s="50"/>
    </row>
    <row r="665" spans="1:5" x14ac:dyDescent="0.25">
      <c r="A665" t="str">
        <f t="shared" si="10"/>
        <v/>
      </c>
      <c r="C665" s="48"/>
      <c r="D665" s="50"/>
      <c r="E665" s="50"/>
    </row>
    <row r="666" spans="1:5" x14ac:dyDescent="0.25">
      <c r="A666" t="str">
        <f t="shared" si="10"/>
        <v/>
      </c>
      <c r="C666" s="48"/>
      <c r="D666" s="50"/>
      <c r="E666" s="50"/>
    </row>
    <row r="667" spans="1:5" x14ac:dyDescent="0.25">
      <c r="A667" t="str">
        <f t="shared" si="10"/>
        <v/>
      </c>
      <c r="C667" s="48"/>
      <c r="D667" s="50"/>
      <c r="E667" s="50"/>
    </row>
    <row r="668" spans="1:5" x14ac:dyDescent="0.25">
      <c r="A668" t="str">
        <f t="shared" si="10"/>
        <v/>
      </c>
      <c r="C668" s="48"/>
      <c r="D668" s="50"/>
      <c r="E668" s="50"/>
    </row>
    <row r="669" spans="1:5" x14ac:dyDescent="0.25">
      <c r="A669" t="str">
        <f t="shared" si="10"/>
        <v/>
      </c>
      <c r="C669" s="48"/>
      <c r="D669" s="50"/>
      <c r="E669" s="50"/>
    </row>
    <row r="670" spans="1:5" x14ac:dyDescent="0.25">
      <c r="A670" t="str">
        <f t="shared" si="10"/>
        <v/>
      </c>
      <c r="C670" s="48"/>
      <c r="D670" s="50"/>
      <c r="E670" s="50"/>
    </row>
    <row r="671" spans="1:5" x14ac:dyDescent="0.25">
      <c r="A671" t="str">
        <f t="shared" si="10"/>
        <v/>
      </c>
      <c r="B671" s="48"/>
      <c r="C671" s="48"/>
      <c r="E671" s="50"/>
    </row>
    <row r="672" spans="1:5" x14ac:dyDescent="0.25">
      <c r="A672" t="str">
        <f t="shared" si="10"/>
        <v/>
      </c>
      <c r="B672" s="48"/>
      <c r="C672" s="48"/>
      <c r="E672" s="50"/>
    </row>
    <row r="673" spans="1:5" x14ac:dyDescent="0.25">
      <c r="A673" t="str">
        <f t="shared" si="10"/>
        <v/>
      </c>
    </row>
    <row r="674" spans="1:5" x14ac:dyDescent="0.25">
      <c r="A674" t="str">
        <f t="shared" si="10"/>
        <v/>
      </c>
      <c r="B674" s="46"/>
      <c r="E674" s="47"/>
    </row>
    <row r="675" spans="1:5" x14ac:dyDescent="0.25">
      <c r="A675" t="str">
        <f t="shared" si="10"/>
        <v/>
      </c>
      <c r="B675" s="48"/>
      <c r="E675" s="47"/>
    </row>
    <row r="676" spans="1:5" x14ac:dyDescent="0.25">
      <c r="A676" t="str">
        <f t="shared" si="10"/>
        <v/>
      </c>
      <c r="B676" s="48"/>
      <c r="E676" s="47"/>
    </row>
    <row r="677" spans="1:5" x14ac:dyDescent="0.25">
      <c r="A677" t="str">
        <f t="shared" si="10"/>
        <v/>
      </c>
      <c r="B677" s="48"/>
      <c r="E677" s="47"/>
    </row>
    <row r="678" spans="1:5" x14ac:dyDescent="0.25">
      <c r="A678" t="str">
        <f t="shared" si="10"/>
        <v/>
      </c>
      <c r="B678" s="48"/>
      <c r="E678" s="47"/>
    </row>
    <row r="679" spans="1:5" x14ac:dyDescent="0.25">
      <c r="A679" t="str">
        <f t="shared" si="10"/>
        <v/>
      </c>
      <c r="B679" s="48"/>
      <c r="E679" s="47"/>
    </row>
    <row r="680" spans="1:5" x14ac:dyDescent="0.25">
      <c r="A680" t="str">
        <f t="shared" si="10"/>
        <v/>
      </c>
      <c r="B680" s="48"/>
      <c r="E680" s="47"/>
    </row>
    <row r="681" spans="1:5" x14ac:dyDescent="0.25">
      <c r="A681" t="str">
        <f t="shared" si="10"/>
        <v/>
      </c>
      <c r="B681" s="48"/>
      <c r="E681" s="47"/>
    </row>
    <row r="682" spans="1:5" x14ac:dyDescent="0.25">
      <c r="A682" t="str">
        <f t="shared" si="10"/>
        <v/>
      </c>
      <c r="B682" s="48"/>
      <c r="E682" s="47"/>
    </row>
    <row r="683" spans="1:5" x14ac:dyDescent="0.25">
      <c r="A683" t="str">
        <f t="shared" si="10"/>
        <v/>
      </c>
      <c r="B683" s="48"/>
      <c r="E683" s="47"/>
    </row>
    <row r="684" spans="1:5" x14ac:dyDescent="0.25">
      <c r="A684" t="str">
        <f t="shared" si="10"/>
        <v/>
      </c>
      <c r="B684" s="48"/>
      <c r="E684" s="47"/>
    </row>
    <row r="685" spans="1:5" x14ac:dyDescent="0.25">
      <c r="A685" t="str">
        <f t="shared" si="10"/>
        <v/>
      </c>
      <c r="B685" s="48"/>
      <c r="E685" s="47"/>
    </row>
    <row r="686" spans="1:5" x14ac:dyDescent="0.25">
      <c r="A686" t="str">
        <f t="shared" si="10"/>
        <v/>
      </c>
      <c r="B686" s="48"/>
      <c r="E686" s="47"/>
    </row>
    <row r="687" spans="1:5" x14ac:dyDescent="0.25">
      <c r="A687" t="str">
        <f t="shared" si="10"/>
        <v/>
      </c>
      <c r="B687" s="48"/>
      <c r="E687" s="47"/>
    </row>
    <row r="688" spans="1:5" x14ac:dyDescent="0.25">
      <c r="A688" t="str">
        <f t="shared" si="10"/>
        <v/>
      </c>
      <c r="B688" s="48"/>
      <c r="E688" s="47"/>
    </row>
    <row r="689" spans="1:5" x14ac:dyDescent="0.25">
      <c r="A689" t="str">
        <f t="shared" si="10"/>
        <v/>
      </c>
      <c r="B689" s="48"/>
      <c r="C689" s="48"/>
      <c r="D689" s="49"/>
      <c r="E689" s="50"/>
    </row>
    <row r="690" spans="1:5" x14ac:dyDescent="0.25">
      <c r="A690" t="str">
        <f t="shared" si="10"/>
        <v/>
      </c>
      <c r="B690" s="48"/>
      <c r="C690" s="48"/>
      <c r="D690" s="49"/>
      <c r="E690" s="50"/>
    </row>
    <row r="691" spans="1:5" x14ac:dyDescent="0.25">
      <c r="A691" t="str">
        <f t="shared" si="10"/>
        <v/>
      </c>
      <c r="B691" s="48"/>
      <c r="C691" s="48"/>
      <c r="D691" s="49"/>
      <c r="E691" s="50"/>
    </row>
    <row r="692" spans="1:5" x14ac:dyDescent="0.25">
      <c r="A692" t="str">
        <f t="shared" si="10"/>
        <v/>
      </c>
      <c r="B692" s="48"/>
      <c r="C692" s="48"/>
      <c r="D692" s="49"/>
      <c r="E692" s="50"/>
    </row>
    <row r="693" spans="1:5" x14ac:dyDescent="0.25">
      <c r="A693" t="str">
        <f t="shared" si="10"/>
        <v/>
      </c>
      <c r="B693" s="48"/>
      <c r="C693" s="48"/>
      <c r="D693" s="49"/>
      <c r="E693" s="50"/>
    </row>
    <row r="694" spans="1:5" x14ac:dyDescent="0.25">
      <c r="A694" t="str">
        <f t="shared" si="10"/>
        <v/>
      </c>
      <c r="B694" s="48"/>
      <c r="C694" s="48"/>
      <c r="D694" s="49"/>
      <c r="E694" s="50"/>
    </row>
    <row r="695" spans="1:5" x14ac:dyDescent="0.25">
      <c r="A695" t="str">
        <f t="shared" si="10"/>
        <v/>
      </c>
      <c r="B695" s="48"/>
      <c r="C695" s="48"/>
      <c r="D695" s="49"/>
      <c r="E695" s="50"/>
    </row>
    <row r="696" spans="1:5" x14ac:dyDescent="0.25">
      <c r="A696" t="str">
        <f t="shared" si="10"/>
        <v/>
      </c>
      <c r="B696" s="48"/>
      <c r="C696" s="48"/>
      <c r="D696" s="49"/>
      <c r="E696" s="50"/>
    </row>
    <row r="697" spans="1:5" x14ac:dyDescent="0.25">
      <c r="A697" t="str">
        <f t="shared" si="10"/>
        <v/>
      </c>
      <c r="B697" s="48"/>
      <c r="C697" s="48"/>
      <c r="D697" s="49"/>
      <c r="E697" s="50"/>
    </row>
    <row r="698" spans="1:5" x14ac:dyDescent="0.25">
      <c r="A698" t="str">
        <f t="shared" si="10"/>
        <v/>
      </c>
      <c r="B698" s="48"/>
      <c r="C698" s="48"/>
      <c r="D698" s="49"/>
      <c r="E698" s="50"/>
    </row>
    <row r="699" spans="1:5" x14ac:dyDescent="0.25">
      <c r="A699" t="str">
        <f t="shared" si="10"/>
        <v/>
      </c>
      <c r="B699" s="48"/>
      <c r="C699" s="48"/>
      <c r="D699" s="49"/>
      <c r="E699" s="50"/>
    </row>
    <row r="700" spans="1:5" x14ac:dyDescent="0.25">
      <c r="A700" t="str">
        <f t="shared" si="10"/>
        <v/>
      </c>
      <c r="B700" s="48"/>
      <c r="C700" s="48"/>
      <c r="D700" s="49"/>
      <c r="E700" s="50"/>
    </row>
    <row r="701" spans="1:5" x14ac:dyDescent="0.25">
      <c r="A701" t="str">
        <f t="shared" si="10"/>
        <v/>
      </c>
      <c r="B701" s="48"/>
      <c r="C701" s="48"/>
      <c r="D701" s="49"/>
      <c r="E701" s="50"/>
    </row>
    <row r="702" spans="1:5" x14ac:dyDescent="0.25">
      <c r="A702" t="str">
        <f t="shared" si="10"/>
        <v/>
      </c>
      <c r="B702" s="48"/>
      <c r="C702" s="48"/>
      <c r="D702" s="49"/>
      <c r="E702" s="50"/>
    </row>
    <row r="703" spans="1:5" x14ac:dyDescent="0.25">
      <c r="A703" t="str">
        <f t="shared" si="10"/>
        <v/>
      </c>
      <c r="B703" s="48"/>
      <c r="C703" s="48"/>
      <c r="D703" s="49"/>
      <c r="E703" s="50"/>
    </row>
    <row r="704" spans="1:5" x14ac:dyDescent="0.25">
      <c r="A704" t="str">
        <f t="shared" si="10"/>
        <v/>
      </c>
      <c r="B704" s="48"/>
      <c r="C704" s="48"/>
      <c r="D704" s="49"/>
      <c r="E704" s="50"/>
    </row>
    <row r="705" spans="1:5" x14ac:dyDescent="0.25">
      <c r="A705" t="str">
        <f t="shared" si="10"/>
        <v/>
      </c>
      <c r="B705" s="48"/>
      <c r="C705" s="48"/>
      <c r="D705" s="49"/>
      <c r="E705" s="50"/>
    </row>
    <row r="706" spans="1:5" x14ac:dyDescent="0.25">
      <c r="A706" t="str">
        <f t="shared" ref="A706:A769" si="11">CONCATENATE(B706, C706, D706)</f>
        <v/>
      </c>
      <c r="B706" s="48"/>
      <c r="C706" s="48"/>
      <c r="D706" s="49"/>
      <c r="E706" s="50"/>
    </row>
    <row r="707" spans="1:5" x14ac:dyDescent="0.25">
      <c r="A707" t="str">
        <f t="shared" si="11"/>
        <v/>
      </c>
      <c r="B707" s="48"/>
      <c r="C707" s="48"/>
      <c r="D707" s="49"/>
      <c r="E707" s="50"/>
    </row>
    <row r="708" spans="1:5" x14ac:dyDescent="0.25">
      <c r="A708" t="str">
        <f t="shared" si="11"/>
        <v/>
      </c>
      <c r="B708" s="48"/>
      <c r="C708" s="48"/>
      <c r="D708" s="49"/>
      <c r="E708" s="50"/>
    </row>
    <row r="709" spans="1:5" x14ac:dyDescent="0.25">
      <c r="A709" t="str">
        <f t="shared" si="11"/>
        <v/>
      </c>
      <c r="B709" s="48"/>
      <c r="C709" s="48"/>
      <c r="D709" s="49"/>
      <c r="E709" s="50"/>
    </row>
    <row r="710" spans="1:5" x14ac:dyDescent="0.25">
      <c r="A710" t="str">
        <f t="shared" si="11"/>
        <v/>
      </c>
      <c r="B710" s="48"/>
      <c r="C710" s="48"/>
      <c r="D710" s="49"/>
      <c r="E710" s="50"/>
    </row>
    <row r="711" spans="1:5" x14ac:dyDescent="0.25">
      <c r="A711" t="str">
        <f t="shared" si="11"/>
        <v/>
      </c>
      <c r="B711" s="48"/>
      <c r="C711" s="48"/>
      <c r="D711" s="49"/>
      <c r="E711" s="50"/>
    </row>
    <row r="712" spans="1:5" x14ac:dyDescent="0.25">
      <c r="A712" t="str">
        <f t="shared" si="11"/>
        <v/>
      </c>
      <c r="B712" s="48"/>
      <c r="C712" s="48"/>
      <c r="D712" s="49"/>
      <c r="E712" s="50"/>
    </row>
    <row r="713" spans="1:5" x14ac:dyDescent="0.25">
      <c r="A713" t="str">
        <f t="shared" si="11"/>
        <v/>
      </c>
      <c r="B713" s="48"/>
      <c r="C713" s="48"/>
      <c r="D713" s="49"/>
      <c r="E713" s="50"/>
    </row>
    <row r="714" spans="1:5" x14ac:dyDescent="0.25">
      <c r="A714" t="str">
        <f t="shared" si="11"/>
        <v/>
      </c>
      <c r="B714" s="48"/>
      <c r="C714" s="48"/>
      <c r="D714" s="49"/>
      <c r="E714" s="50"/>
    </row>
    <row r="715" spans="1:5" x14ac:dyDescent="0.25">
      <c r="A715" t="str">
        <f t="shared" si="11"/>
        <v/>
      </c>
      <c r="B715" s="48"/>
      <c r="C715" s="48"/>
      <c r="D715" s="49"/>
      <c r="E715" s="50"/>
    </row>
    <row r="716" spans="1:5" x14ac:dyDescent="0.25">
      <c r="A716" t="str">
        <f t="shared" si="11"/>
        <v/>
      </c>
      <c r="B716" s="48"/>
      <c r="C716" s="48"/>
      <c r="D716" s="49"/>
      <c r="E716" s="50"/>
    </row>
    <row r="717" spans="1:5" x14ac:dyDescent="0.25">
      <c r="A717" t="str">
        <f t="shared" si="11"/>
        <v/>
      </c>
      <c r="B717" s="48"/>
      <c r="C717" s="48"/>
      <c r="D717" s="49"/>
      <c r="E717" s="50"/>
    </row>
    <row r="718" spans="1:5" x14ac:dyDescent="0.25">
      <c r="A718" t="str">
        <f t="shared" si="11"/>
        <v/>
      </c>
      <c r="B718" s="48"/>
      <c r="C718" s="48"/>
      <c r="D718" s="49"/>
      <c r="E718" s="50"/>
    </row>
    <row r="719" spans="1:5" x14ac:dyDescent="0.25">
      <c r="A719" t="str">
        <f t="shared" si="11"/>
        <v/>
      </c>
      <c r="B719" s="48"/>
      <c r="C719" s="48"/>
      <c r="D719" s="49"/>
      <c r="E719" s="50"/>
    </row>
    <row r="720" spans="1:5" x14ac:dyDescent="0.25">
      <c r="A720" t="str">
        <f t="shared" si="11"/>
        <v/>
      </c>
      <c r="B720" s="48"/>
      <c r="C720" s="48"/>
      <c r="D720" s="49"/>
      <c r="E720" s="50"/>
    </row>
    <row r="721" spans="1:5" x14ac:dyDescent="0.25">
      <c r="A721" t="str">
        <f t="shared" si="11"/>
        <v/>
      </c>
      <c r="B721" s="48"/>
      <c r="C721" s="48"/>
      <c r="D721" s="49"/>
      <c r="E721" s="50"/>
    </row>
    <row r="722" spans="1:5" x14ac:dyDescent="0.25">
      <c r="A722" t="str">
        <f t="shared" si="11"/>
        <v/>
      </c>
      <c r="B722" s="48"/>
      <c r="C722" s="48"/>
      <c r="D722" s="49"/>
      <c r="E722" s="50"/>
    </row>
    <row r="723" spans="1:5" x14ac:dyDescent="0.25">
      <c r="A723" t="str">
        <f t="shared" si="11"/>
        <v/>
      </c>
      <c r="B723" s="48"/>
      <c r="C723" s="48"/>
      <c r="D723" s="49"/>
      <c r="E723" s="50"/>
    </row>
    <row r="724" spans="1:5" x14ac:dyDescent="0.25">
      <c r="A724" t="str">
        <f t="shared" si="11"/>
        <v/>
      </c>
      <c r="B724" s="48"/>
      <c r="C724" s="48"/>
      <c r="D724" s="49"/>
      <c r="E724" s="50"/>
    </row>
    <row r="725" spans="1:5" x14ac:dyDescent="0.25">
      <c r="A725" t="str">
        <f t="shared" si="11"/>
        <v/>
      </c>
      <c r="B725" s="48"/>
      <c r="C725" s="48"/>
      <c r="D725" s="49"/>
      <c r="E725" s="50"/>
    </row>
    <row r="726" spans="1:5" x14ac:dyDescent="0.25">
      <c r="A726" t="str">
        <f t="shared" si="11"/>
        <v/>
      </c>
      <c r="B726" s="48"/>
      <c r="C726" s="48"/>
      <c r="D726" s="49"/>
      <c r="E726" s="50"/>
    </row>
    <row r="727" spans="1:5" x14ac:dyDescent="0.25">
      <c r="A727" t="str">
        <f t="shared" si="11"/>
        <v/>
      </c>
      <c r="B727" s="48"/>
      <c r="C727" s="48"/>
      <c r="D727" s="49"/>
      <c r="E727" s="50"/>
    </row>
    <row r="728" spans="1:5" x14ac:dyDescent="0.25">
      <c r="A728" t="str">
        <f t="shared" si="11"/>
        <v/>
      </c>
      <c r="B728" s="48"/>
      <c r="C728" s="48"/>
      <c r="D728" s="49"/>
      <c r="E728" s="50"/>
    </row>
    <row r="729" spans="1:5" x14ac:dyDescent="0.25">
      <c r="A729" t="str">
        <f t="shared" si="11"/>
        <v/>
      </c>
      <c r="B729" s="48"/>
      <c r="C729" s="48"/>
      <c r="D729" s="49"/>
      <c r="E729" s="50"/>
    </row>
    <row r="730" spans="1:5" x14ac:dyDescent="0.25">
      <c r="A730" t="str">
        <f t="shared" si="11"/>
        <v/>
      </c>
      <c r="B730" s="48"/>
      <c r="C730" s="48"/>
      <c r="D730" s="49"/>
      <c r="E730" s="50"/>
    </row>
    <row r="731" spans="1:5" x14ac:dyDescent="0.25">
      <c r="A731" t="str">
        <f t="shared" si="11"/>
        <v/>
      </c>
      <c r="B731" s="48"/>
      <c r="C731" s="48"/>
      <c r="D731" s="49"/>
      <c r="E731" s="50"/>
    </row>
    <row r="732" spans="1:5" x14ac:dyDescent="0.25">
      <c r="A732" t="str">
        <f t="shared" si="11"/>
        <v/>
      </c>
      <c r="B732" s="48"/>
      <c r="C732" s="48"/>
      <c r="D732" s="49"/>
      <c r="E732" s="50"/>
    </row>
    <row r="733" spans="1:5" x14ac:dyDescent="0.25">
      <c r="A733" t="str">
        <f t="shared" si="11"/>
        <v/>
      </c>
      <c r="B733" s="48"/>
      <c r="C733" s="48"/>
      <c r="D733" s="49"/>
      <c r="E733" s="50"/>
    </row>
    <row r="734" spans="1:5" x14ac:dyDescent="0.25">
      <c r="A734" t="str">
        <f t="shared" si="11"/>
        <v/>
      </c>
      <c r="B734" s="48"/>
      <c r="C734" s="48"/>
      <c r="D734" s="49"/>
      <c r="E734" s="50"/>
    </row>
    <row r="735" spans="1:5" x14ac:dyDescent="0.25">
      <c r="A735" t="str">
        <f t="shared" si="11"/>
        <v/>
      </c>
      <c r="B735" s="48"/>
      <c r="C735" s="48"/>
      <c r="D735" s="49"/>
      <c r="E735" s="50"/>
    </row>
    <row r="736" spans="1:5" x14ac:dyDescent="0.25">
      <c r="A736" t="str">
        <f t="shared" si="11"/>
        <v/>
      </c>
      <c r="B736" s="48"/>
      <c r="C736" s="48"/>
      <c r="D736" s="49"/>
      <c r="E736" s="50"/>
    </row>
    <row r="737" spans="1:5" x14ac:dyDescent="0.25">
      <c r="A737" t="str">
        <f t="shared" si="11"/>
        <v/>
      </c>
      <c r="B737" s="48"/>
      <c r="C737" s="48"/>
      <c r="D737" s="49"/>
      <c r="E737" s="50"/>
    </row>
    <row r="738" spans="1:5" x14ac:dyDescent="0.25">
      <c r="A738" t="str">
        <f t="shared" si="11"/>
        <v/>
      </c>
      <c r="B738" s="48"/>
      <c r="C738" s="48"/>
      <c r="D738" s="49"/>
      <c r="E738" s="50"/>
    </row>
    <row r="739" spans="1:5" x14ac:dyDescent="0.25">
      <c r="A739" t="str">
        <f t="shared" si="11"/>
        <v/>
      </c>
      <c r="B739" s="48"/>
      <c r="C739" s="48"/>
      <c r="D739" s="49"/>
      <c r="E739" s="50"/>
    </row>
    <row r="740" spans="1:5" x14ac:dyDescent="0.25">
      <c r="A740" t="str">
        <f t="shared" si="11"/>
        <v/>
      </c>
      <c r="B740" s="48"/>
      <c r="C740" s="48"/>
      <c r="D740" s="49"/>
      <c r="E740" s="50"/>
    </row>
    <row r="741" spans="1:5" x14ac:dyDescent="0.25">
      <c r="A741" t="str">
        <f t="shared" si="11"/>
        <v/>
      </c>
      <c r="B741" s="48"/>
      <c r="C741" s="48"/>
      <c r="D741" s="49"/>
      <c r="E741" s="50"/>
    </row>
    <row r="742" spans="1:5" x14ac:dyDescent="0.25">
      <c r="A742" t="str">
        <f t="shared" si="11"/>
        <v/>
      </c>
      <c r="B742" s="48"/>
      <c r="C742" s="48"/>
      <c r="D742" s="49"/>
      <c r="E742" s="50"/>
    </row>
    <row r="743" spans="1:5" x14ac:dyDescent="0.25">
      <c r="A743" t="str">
        <f t="shared" si="11"/>
        <v/>
      </c>
      <c r="B743" s="48"/>
      <c r="C743" s="48"/>
      <c r="D743" s="49"/>
      <c r="E743" s="50"/>
    </row>
    <row r="744" spans="1:5" x14ac:dyDescent="0.25">
      <c r="A744" t="str">
        <f t="shared" si="11"/>
        <v/>
      </c>
      <c r="B744" s="48"/>
      <c r="C744" s="48"/>
      <c r="D744" s="49"/>
      <c r="E744" s="50"/>
    </row>
    <row r="745" spans="1:5" x14ac:dyDescent="0.25">
      <c r="A745" t="str">
        <f t="shared" si="11"/>
        <v/>
      </c>
      <c r="B745" s="48"/>
      <c r="C745" s="48"/>
      <c r="D745" s="49"/>
      <c r="E745" s="50"/>
    </row>
    <row r="746" spans="1:5" x14ac:dyDescent="0.25">
      <c r="A746" t="str">
        <f t="shared" si="11"/>
        <v/>
      </c>
      <c r="B746" s="48"/>
      <c r="C746" s="48"/>
      <c r="D746" s="49"/>
      <c r="E746" s="50"/>
    </row>
    <row r="747" spans="1:5" x14ac:dyDescent="0.25">
      <c r="A747" t="str">
        <f t="shared" si="11"/>
        <v/>
      </c>
      <c r="B747" s="48"/>
      <c r="C747" s="48"/>
      <c r="D747" s="49"/>
      <c r="E747" s="50"/>
    </row>
    <row r="748" spans="1:5" x14ac:dyDescent="0.25">
      <c r="A748" t="str">
        <f t="shared" si="11"/>
        <v/>
      </c>
      <c r="B748" s="48"/>
      <c r="C748" s="48"/>
      <c r="D748" s="49"/>
      <c r="E748" s="50"/>
    </row>
    <row r="749" spans="1:5" x14ac:dyDescent="0.25">
      <c r="A749" t="str">
        <f t="shared" si="11"/>
        <v/>
      </c>
      <c r="B749" s="48"/>
      <c r="C749" s="48"/>
      <c r="D749" s="49"/>
      <c r="E749" s="50"/>
    </row>
    <row r="750" spans="1:5" x14ac:dyDescent="0.25">
      <c r="A750" t="str">
        <f t="shared" si="11"/>
        <v/>
      </c>
      <c r="B750" s="48"/>
      <c r="C750" s="48"/>
      <c r="D750" s="49"/>
      <c r="E750" s="50"/>
    </row>
    <row r="751" spans="1:5" x14ac:dyDescent="0.25">
      <c r="A751" t="str">
        <f t="shared" si="11"/>
        <v/>
      </c>
      <c r="B751" s="48"/>
      <c r="C751" s="48"/>
      <c r="D751" s="49"/>
      <c r="E751" s="50"/>
    </row>
    <row r="752" spans="1:5" x14ac:dyDescent="0.25">
      <c r="A752" t="str">
        <f t="shared" si="11"/>
        <v/>
      </c>
      <c r="B752" s="48"/>
      <c r="C752" s="48"/>
      <c r="D752" s="49"/>
      <c r="E752" s="50"/>
    </row>
    <row r="753" spans="1:5" x14ac:dyDescent="0.25">
      <c r="A753" t="str">
        <f t="shared" si="11"/>
        <v/>
      </c>
      <c r="B753" s="48"/>
      <c r="C753" s="48"/>
      <c r="D753" s="49"/>
      <c r="E753" s="50"/>
    </row>
    <row r="754" spans="1:5" x14ac:dyDescent="0.25">
      <c r="A754" t="str">
        <f t="shared" si="11"/>
        <v/>
      </c>
      <c r="B754" s="48"/>
      <c r="C754" s="48"/>
      <c r="D754" s="51"/>
      <c r="E754" s="50"/>
    </row>
    <row r="755" spans="1:5" x14ac:dyDescent="0.25">
      <c r="A755" t="str">
        <f t="shared" si="11"/>
        <v/>
      </c>
      <c r="B755" s="48"/>
      <c r="C755" s="48"/>
      <c r="D755" s="49"/>
      <c r="E755" s="50"/>
    </row>
    <row r="756" spans="1:5" x14ac:dyDescent="0.25">
      <c r="A756" t="str">
        <f t="shared" si="11"/>
        <v/>
      </c>
      <c r="B756" s="48"/>
      <c r="C756" s="48"/>
      <c r="D756" s="49"/>
      <c r="E756" s="50"/>
    </row>
    <row r="757" spans="1:5" x14ac:dyDescent="0.25">
      <c r="A757" t="str">
        <f t="shared" si="11"/>
        <v/>
      </c>
      <c r="B757" s="48"/>
      <c r="C757" s="48"/>
      <c r="D757" s="51"/>
      <c r="E757" s="50"/>
    </row>
    <row r="758" spans="1:5" x14ac:dyDescent="0.25">
      <c r="A758" t="str">
        <f t="shared" si="11"/>
        <v/>
      </c>
      <c r="B758" s="48"/>
      <c r="C758" s="48"/>
      <c r="D758" s="49"/>
      <c r="E758" s="50"/>
    </row>
    <row r="759" spans="1:5" x14ac:dyDescent="0.25">
      <c r="A759" t="str">
        <f t="shared" si="11"/>
        <v/>
      </c>
      <c r="B759" s="48"/>
      <c r="C759" s="48"/>
      <c r="D759" s="49"/>
      <c r="E759" s="50"/>
    </row>
    <row r="760" spans="1:5" x14ac:dyDescent="0.25">
      <c r="A760" t="str">
        <f t="shared" si="11"/>
        <v/>
      </c>
      <c r="B760" s="48"/>
      <c r="C760" s="48"/>
      <c r="D760" s="51"/>
      <c r="E760" s="50"/>
    </row>
    <row r="761" spans="1:5" x14ac:dyDescent="0.25">
      <c r="A761" t="str">
        <f t="shared" si="11"/>
        <v/>
      </c>
      <c r="B761" s="48"/>
      <c r="C761" s="48"/>
      <c r="D761" s="49"/>
      <c r="E761" s="50"/>
    </row>
    <row r="762" spans="1:5" x14ac:dyDescent="0.25">
      <c r="A762" t="str">
        <f t="shared" si="11"/>
        <v/>
      </c>
      <c r="B762" s="48"/>
      <c r="C762" s="48"/>
      <c r="D762" s="49"/>
      <c r="E762" s="50"/>
    </row>
    <row r="763" spans="1:5" x14ac:dyDescent="0.25">
      <c r="A763" t="str">
        <f t="shared" si="11"/>
        <v/>
      </c>
      <c r="B763" s="48"/>
      <c r="C763" s="48"/>
      <c r="D763" s="49"/>
      <c r="E763" s="50"/>
    </row>
    <row r="764" spans="1:5" x14ac:dyDescent="0.25">
      <c r="A764" t="str">
        <f t="shared" si="11"/>
        <v/>
      </c>
      <c r="B764" s="48"/>
      <c r="C764" s="48"/>
      <c r="D764" s="49"/>
      <c r="E764" s="50"/>
    </row>
    <row r="765" spans="1:5" x14ac:dyDescent="0.25">
      <c r="A765" t="str">
        <f t="shared" si="11"/>
        <v/>
      </c>
      <c r="B765" s="48"/>
      <c r="C765" s="48"/>
      <c r="D765" s="49"/>
      <c r="E765" s="50"/>
    </row>
    <row r="766" spans="1:5" x14ac:dyDescent="0.25">
      <c r="A766" t="str">
        <f t="shared" si="11"/>
        <v/>
      </c>
      <c r="B766" s="48"/>
      <c r="C766" s="48"/>
      <c r="D766" s="51"/>
      <c r="E766" s="50"/>
    </row>
    <row r="767" spans="1:5" x14ac:dyDescent="0.25">
      <c r="A767" t="str">
        <f t="shared" si="11"/>
        <v/>
      </c>
      <c r="B767" s="48"/>
      <c r="C767" s="48"/>
      <c r="D767" s="49"/>
      <c r="E767" s="50"/>
    </row>
    <row r="768" spans="1:5" x14ac:dyDescent="0.25">
      <c r="A768" t="str">
        <f t="shared" si="11"/>
        <v/>
      </c>
      <c r="B768" s="48"/>
      <c r="C768" s="48"/>
      <c r="D768" s="49"/>
      <c r="E768" s="50"/>
    </row>
    <row r="769" spans="1:5" x14ac:dyDescent="0.25">
      <c r="A769" t="str">
        <f t="shared" si="11"/>
        <v/>
      </c>
      <c r="B769" s="48"/>
      <c r="C769" s="48"/>
      <c r="D769" s="49"/>
      <c r="E769" s="50"/>
    </row>
    <row r="770" spans="1:5" x14ac:dyDescent="0.25">
      <c r="A770" t="str">
        <f t="shared" ref="A770:A833" si="12">CONCATENATE(B770, C770, D770)</f>
        <v/>
      </c>
      <c r="C770" s="48"/>
      <c r="D770" s="48"/>
      <c r="E770" s="50"/>
    </row>
    <row r="771" spans="1:5" x14ac:dyDescent="0.25">
      <c r="A771" t="str">
        <f t="shared" si="12"/>
        <v/>
      </c>
      <c r="C771" s="48"/>
      <c r="D771" s="49"/>
      <c r="E771" s="50"/>
    </row>
    <row r="772" spans="1:5" x14ac:dyDescent="0.25">
      <c r="A772" t="str">
        <f t="shared" si="12"/>
        <v/>
      </c>
      <c r="C772" s="48"/>
      <c r="D772" s="49"/>
      <c r="E772" s="50"/>
    </row>
    <row r="773" spans="1:5" x14ac:dyDescent="0.25">
      <c r="A773" t="str">
        <f t="shared" si="12"/>
        <v/>
      </c>
      <c r="C773" s="48"/>
      <c r="D773" s="48"/>
      <c r="E773" s="50"/>
    </row>
    <row r="774" spans="1:5" x14ac:dyDescent="0.25">
      <c r="A774" t="str">
        <f t="shared" si="12"/>
        <v/>
      </c>
      <c r="C774" s="48"/>
      <c r="D774" s="48"/>
      <c r="E774" s="50"/>
    </row>
    <row r="775" spans="1:5" x14ac:dyDescent="0.25">
      <c r="A775" t="str">
        <f t="shared" si="12"/>
        <v/>
      </c>
      <c r="C775" s="48"/>
      <c r="D775" s="48"/>
      <c r="E775" s="50"/>
    </row>
    <row r="776" spans="1:5" x14ac:dyDescent="0.25">
      <c r="A776" t="str">
        <f t="shared" si="12"/>
        <v/>
      </c>
      <c r="C776" s="48"/>
      <c r="E776" s="50"/>
    </row>
    <row r="777" spans="1:5" x14ac:dyDescent="0.25">
      <c r="A777" t="str">
        <f t="shared" si="12"/>
        <v/>
      </c>
      <c r="C777" s="48"/>
      <c r="D777" s="50"/>
      <c r="E777" s="50"/>
    </row>
    <row r="778" spans="1:5" x14ac:dyDescent="0.25">
      <c r="A778" t="str">
        <f t="shared" si="12"/>
        <v/>
      </c>
      <c r="C778" s="48"/>
      <c r="D778" s="50"/>
      <c r="E778" s="50"/>
    </row>
    <row r="779" spans="1:5" x14ac:dyDescent="0.25">
      <c r="A779" t="str">
        <f t="shared" si="12"/>
        <v/>
      </c>
      <c r="C779" s="48"/>
      <c r="D779" s="50"/>
      <c r="E779" s="50"/>
    </row>
    <row r="780" spans="1:5" x14ac:dyDescent="0.25">
      <c r="A780" t="str">
        <f t="shared" si="12"/>
        <v/>
      </c>
      <c r="C780" s="48"/>
      <c r="D780" s="50"/>
      <c r="E780" s="50"/>
    </row>
    <row r="781" spans="1:5" x14ac:dyDescent="0.25">
      <c r="A781" t="str">
        <f t="shared" si="12"/>
        <v/>
      </c>
      <c r="C781" s="48"/>
      <c r="D781" s="50"/>
      <c r="E781" s="50"/>
    </row>
    <row r="782" spans="1:5" x14ac:dyDescent="0.25">
      <c r="A782" t="str">
        <f t="shared" si="12"/>
        <v/>
      </c>
      <c r="C782" s="48"/>
      <c r="D782" s="50"/>
      <c r="E782" s="50"/>
    </row>
    <row r="783" spans="1:5" x14ac:dyDescent="0.25">
      <c r="A783" t="str">
        <f t="shared" si="12"/>
        <v/>
      </c>
      <c r="C783" s="48"/>
      <c r="E783" s="50"/>
    </row>
    <row r="784" spans="1:5" x14ac:dyDescent="0.25">
      <c r="A784" t="str">
        <f t="shared" si="12"/>
        <v/>
      </c>
      <c r="C784" s="48"/>
      <c r="E784" s="50"/>
    </row>
    <row r="785" spans="1:5" x14ac:dyDescent="0.25">
      <c r="A785" t="str">
        <f t="shared" si="12"/>
        <v/>
      </c>
    </row>
    <row r="786" spans="1:5" x14ac:dyDescent="0.25">
      <c r="A786" t="str">
        <f t="shared" si="12"/>
        <v/>
      </c>
      <c r="B786" s="46"/>
      <c r="E786" s="47"/>
    </row>
    <row r="787" spans="1:5" x14ac:dyDescent="0.25">
      <c r="A787" t="str">
        <f t="shared" si="12"/>
        <v/>
      </c>
      <c r="B787" s="48"/>
      <c r="E787" s="47"/>
    </row>
    <row r="788" spans="1:5" x14ac:dyDescent="0.25">
      <c r="A788" t="str">
        <f t="shared" si="12"/>
        <v/>
      </c>
      <c r="B788" s="48"/>
      <c r="E788" s="47"/>
    </row>
    <row r="789" spans="1:5" x14ac:dyDescent="0.25">
      <c r="A789" t="str">
        <f t="shared" si="12"/>
        <v/>
      </c>
      <c r="B789" s="48"/>
      <c r="E789" s="47"/>
    </row>
    <row r="790" spans="1:5" x14ac:dyDescent="0.25">
      <c r="A790" t="str">
        <f t="shared" si="12"/>
        <v/>
      </c>
      <c r="B790" s="48"/>
      <c r="E790" s="47"/>
    </row>
    <row r="791" spans="1:5" x14ac:dyDescent="0.25">
      <c r="A791" t="str">
        <f t="shared" si="12"/>
        <v/>
      </c>
      <c r="B791" s="48"/>
      <c r="E791" s="47"/>
    </row>
    <row r="792" spans="1:5" x14ac:dyDescent="0.25">
      <c r="A792" t="str">
        <f t="shared" si="12"/>
        <v/>
      </c>
      <c r="B792" s="48"/>
      <c r="E792" s="47"/>
    </row>
    <row r="793" spans="1:5" x14ac:dyDescent="0.25">
      <c r="A793" t="str">
        <f t="shared" si="12"/>
        <v/>
      </c>
      <c r="B793" s="48"/>
      <c r="E793" s="47"/>
    </row>
    <row r="794" spans="1:5" x14ac:dyDescent="0.25">
      <c r="A794" t="str">
        <f t="shared" si="12"/>
        <v/>
      </c>
      <c r="B794" s="48"/>
      <c r="E794" s="47"/>
    </row>
    <row r="795" spans="1:5" x14ac:dyDescent="0.25">
      <c r="A795" t="str">
        <f t="shared" si="12"/>
        <v/>
      </c>
      <c r="B795" s="48"/>
      <c r="E795" s="47"/>
    </row>
    <row r="796" spans="1:5" x14ac:dyDescent="0.25">
      <c r="A796" t="str">
        <f t="shared" si="12"/>
        <v/>
      </c>
      <c r="B796" s="48"/>
      <c r="E796" s="47"/>
    </row>
    <row r="797" spans="1:5" x14ac:dyDescent="0.25">
      <c r="A797" t="str">
        <f t="shared" si="12"/>
        <v/>
      </c>
      <c r="B797" s="48"/>
      <c r="E797" s="47"/>
    </row>
    <row r="798" spans="1:5" x14ac:dyDescent="0.25">
      <c r="A798" t="str">
        <f t="shared" si="12"/>
        <v/>
      </c>
      <c r="B798" s="48"/>
      <c r="E798" s="47"/>
    </row>
    <row r="799" spans="1:5" x14ac:dyDescent="0.25">
      <c r="A799" t="str">
        <f t="shared" si="12"/>
        <v/>
      </c>
      <c r="B799" s="48"/>
      <c r="E799" s="47"/>
    </row>
    <row r="800" spans="1:5" x14ac:dyDescent="0.25">
      <c r="A800" t="str">
        <f t="shared" si="12"/>
        <v/>
      </c>
      <c r="B800" s="48"/>
      <c r="E800" s="47"/>
    </row>
    <row r="801" spans="1:5" x14ac:dyDescent="0.25">
      <c r="A801" t="str">
        <f t="shared" si="12"/>
        <v/>
      </c>
      <c r="B801" s="48"/>
      <c r="C801" s="48"/>
      <c r="D801" s="49"/>
      <c r="E801" s="50"/>
    </row>
    <row r="802" spans="1:5" x14ac:dyDescent="0.25">
      <c r="A802" t="str">
        <f t="shared" si="12"/>
        <v/>
      </c>
      <c r="B802" s="48"/>
      <c r="C802" s="48"/>
      <c r="D802" s="49"/>
      <c r="E802" s="50"/>
    </row>
    <row r="803" spans="1:5" x14ac:dyDescent="0.25">
      <c r="A803" t="str">
        <f t="shared" si="12"/>
        <v/>
      </c>
      <c r="B803" s="48"/>
      <c r="C803" s="48"/>
      <c r="D803" s="49"/>
      <c r="E803" s="50"/>
    </row>
    <row r="804" spans="1:5" x14ac:dyDescent="0.25">
      <c r="A804" t="str">
        <f t="shared" si="12"/>
        <v/>
      </c>
      <c r="B804" s="48"/>
      <c r="C804" s="48"/>
      <c r="D804" s="49"/>
      <c r="E804" s="50"/>
    </row>
    <row r="805" spans="1:5" x14ac:dyDescent="0.25">
      <c r="A805" t="str">
        <f t="shared" si="12"/>
        <v/>
      </c>
      <c r="B805" s="48"/>
      <c r="C805" s="48"/>
      <c r="D805" s="49"/>
      <c r="E805" s="50"/>
    </row>
    <row r="806" spans="1:5" x14ac:dyDescent="0.25">
      <c r="A806" t="str">
        <f t="shared" si="12"/>
        <v/>
      </c>
      <c r="B806" s="48"/>
      <c r="C806" s="48"/>
      <c r="D806" s="49"/>
      <c r="E806" s="50"/>
    </row>
    <row r="807" spans="1:5" x14ac:dyDescent="0.25">
      <c r="A807" t="str">
        <f t="shared" si="12"/>
        <v/>
      </c>
      <c r="B807" s="48"/>
      <c r="C807" s="48"/>
      <c r="D807" s="49"/>
      <c r="E807" s="50"/>
    </row>
    <row r="808" spans="1:5" x14ac:dyDescent="0.25">
      <c r="A808" t="str">
        <f t="shared" si="12"/>
        <v/>
      </c>
      <c r="B808" s="48"/>
      <c r="C808" s="48"/>
      <c r="D808" s="49"/>
      <c r="E808" s="50"/>
    </row>
    <row r="809" spans="1:5" x14ac:dyDescent="0.25">
      <c r="A809" t="str">
        <f t="shared" si="12"/>
        <v/>
      </c>
      <c r="B809" s="48"/>
      <c r="C809" s="48"/>
      <c r="D809" s="49"/>
      <c r="E809" s="50"/>
    </row>
    <row r="810" spans="1:5" x14ac:dyDescent="0.25">
      <c r="A810" t="str">
        <f t="shared" si="12"/>
        <v/>
      </c>
      <c r="B810" s="48"/>
      <c r="C810" s="48"/>
      <c r="D810" s="49"/>
      <c r="E810" s="50"/>
    </row>
    <row r="811" spans="1:5" x14ac:dyDescent="0.25">
      <c r="A811" t="str">
        <f t="shared" si="12"/>
        <v/>
      </c>
      <c r="B811" s="48"/>
      <c r="C811" s="48"/>
      <c r="D811" s="49"/>
      <c r="E811" s="50"/>
    </row>
    <row r="812" spans="1:5" x14ac:dyDescent="0.25">
      <c r="A812" t="str">
        <f t="shared" si="12"/>
        <v/>
      </c>
      <c r="B812" s="48"/>
      <c r="C812" s="48"/>
      <c r="D812" s="49"/>
      <c r="E812" s="50"/>
    </row>
    <row r="813" spans="1:5" x14ac:dyDescent="0.25">
      <c r="A813" t="str">
        <f t="shared" si="12"/>
        <v/>
      </c>
      <c r="B813" s="48"/>
      <c r="C813" s="48"/>
      <c r="D813" s="49"/>
      <c r="E813" s="50"/>
    </row>
    <row r="814" spans="1:5" x14ac:dyDescent="0.25">
      <c r="A814" t="str">
        <f t="shared" si="12"/>
        <v/>
      </c>
      <c r="B814" s="48"/>
      <c r="C814" s="48"/>
      <c r="D814" s="49"/>
      <c r="E814" s="50"/>
    </row>
    <row r="815" spans="1:5" x14ac:dyDescent="0.25">
      <c r="A815" t="str">
        <f t="shared" si="12"/>
        <v/>
      </c>
      <c r="B815" s="48"/>
      <c r="C815" s="48"/>
      <c r="D815" s="49"/>
      <c r="E815" s="50"/>
    </row>
    <row r="816" spans="1:5" x14ac:dyDescent="0.25">
      <c r="A816" t="str">
        <f t="shared" si="12"/>
        <v/>
      </c>
      <c r="B816" s="48"/>
      <c r="C816" s="48"/>
      <c r="D816" s="49"/>
      <c r="E816" s="50"/>
    </row>
    <row r="817" spans="1:5" x14ac:dyDescent="0.25">
      <c r="A817" t="str">
        <f t="shared" si="12"/>
        <v/>
      </c>
      <c r="B817" s="48"/>
      <c r="C817" s="48"/>
      <c r="D817" s="49"/>
      <c r="E817" s="50"/>
    </row>
    <row r="818" spans="1:5" x14ac:dyDescent="0.25">
      <c r="A818" t="str">
        <f t="shared" si="12"/>
        <v/>
      </c>
      <c r="B818" s="48"/>
      <c r="C818" s="48"/>
      <c r="D818" s="49"/>
      <c r="E818" s="50"/>
    </row>
    <row r="819" spans="1:5" x14ac:dyDescent="0.25">
      <c r="A819" t="str">
        <f t="shared" si="12"/>
        <v/>
      </c>
      <c r="B819" s="48"/>
      <c r="C819" s="48"/>
      <c r="D819" s="49"/>
      <c r="E819" s="50"/>
    </row>
    <row r="820" spans="1:5" x14ac:dyDescent="0.25">
      <c r="A820" t="str">
        <f t="shared" si="12"/>
        <v/>
      </c>
      <c r="B820" s="48"/>
      <c r="C820" s="48"/>
      <c r="D820" s="49"/>
      <c r="E820" s="50"/>
    </row>
    <row r="821" spans="1:5" x14ac:dyDescent="0.25">
      <c r="A821" t="str">
        <f t="shared" si="12"/>
        <v/>
      </c>
      <c r="B821" s="48"/>
      <c r="C821" s="48"/>
      <c r="D821" s="49"/>
      <c r="E821" s="50"/>
    </row>
    <row r="822" spans="1:5" x14ac:dyDescent="0.25">
      <c r="A822" t="str">
        <f t="shared" si="12"/>
        <v/>
      </c>
      <c r="B822" s="48"/>
      <c r="C822" s="48"/>
      <c r="D822" s="49"/>
      <c r="E822" s="50"/>
    </row>
    <row r="823" spans="1:5" x14ac:dyDescent="0.25">
      <c r="A823" t="str">
        <f t="shared" si="12"/>
        <v/>
      </c>
      <c r="B823" s="48"/>
      <c r="C823" s="48"/>
      <c r="D823" s="49"/>
      <c r="E823" s="50"/>
    </row>
    <row r="824" spans="1:5" x14ac:dyDescent="0.25">
      <c r="A824" t="str">
        <f t="shared" si="12"/>
        <v/>
      </c>
      <c r="B824" s="48"/>
      <c r="C824" s="48"/>
      <c r="D824" s="49"/>
      <c r="E824" s="50"/>
    </row>
    <row r="825" spans="1:5" x14ac:dyDescent="0.25">
      <c r="A825" t="str">
        <f t="shared" si="12"/>
        <v/>
      </c>
      <c r="B825" s="48"/>
      <c r="C825" s="48"/>
      <c r="D825" s="49"/>
      <c r="E825" s="50"/>
    </row>
    <row r="826" spans="1:5" x14ac:dyDescent="0.25">
      <c r="A826" t="str">
        <f t="shared" si="12"/>
        <v/>
      </c>
      <c r="B826" s="48"/>
      <c r="C826" s="48"/>
      <c r="D826" s="49"/>
      <c r="E826" s="50"/>
    </row>
    <row r="827" spans="1:5" x14ac:dyDescent="0.25">
      <c r="A827" t="str">
        <f t="shared" si="12"/>
        <v/>
      </c>
      <c r="B827" s="48"/>
      <c r="C827" s="48"/>
      <c r="D827" s="49"/>
      <c r="E827" s="50"/>
    </row>
    <row r="828" spans="1:5" x14ac:dyDescent="0.25">
      <c r="A828" t="str">
        <f t="shared" si="12"/>
        <v/>
      </c>
      <c r="B828" s="48"/>
      <c r="C828" s="48"/>
      <c r="D828" s="49"/>
      <c r="E828" s="50"/>
    </row>
    <row r="829" spans="1:5" x14ac:dyDescent="0.25">
      <c r="A829" t="str">
        <f t="shared" si="12"/>
        <v/>
      </c>
      <c r="B829" s="48"/>
      <c r="C829" s="48"/>
      <c r="D829" s="49"/>
      <c r="E829" s="50"/>
    </row>
    <row r="830" spans="1:5" x14ac:dyDescent="0.25">
      <c r="A830" t="str">
        <f t="shared" si="12"/>
        <v/>
      </c>
      <c r="B830" s="48"/>
      <c r="C830" s="48"/>
      <c r="D830" s="49"/>
      <c r="E830" s="50"/>
    </row>
    <row r="831" spans="1:5" x14ac:dyDescent="0.25">
      <c r="A831" t="str">
        <f t="shared" si="12"/>
        <v/>
      </c>
      <c r="B831" s="48"/>
      <c r="C831" s="48"/>
      <c r="D831" s="49"/>
      <c r="E831" s="50"/>
    </row>
    <row r="832" spans="1:5" x14ac:dyDescent="0.25">
      <c r="A832" t="str">
        <f t="shared" si="12"/>
        <v/>
      </c>
      <c r="B832" s="48"/>
      <c r="C832" s="48"/>
      <c r="D832" s="49"/>
      <c r="E832" s="50"/>
    </row>
    <row r="833" spans="1:5" x14ac:dyDescent="0.25">
      <c r="A833" t="str">
        <f t="shared" si="12"/>
        <v/>
      </c>
      <c r="B833" s="48"/>
      <c r="C833" s="48"/>
      <c r="D833" s="49"/>
      <c r="E833" s="50"/>
    </row>
    <row r="834" spans="1:5" x14ac:dyDescent="0.25">
      <c r="A834" t="str">
        <f t="shared" ref="A834:A897" si="13">CONCATENATE(B834, C834, D834)</f>
        <v/>
      </c>
      <c r="B834" s="48"/>
      <c r="C834" s="48"/>
      <c r="D834" s="49"/>
      <c r="E834" s="50"/>
    </row>
    <row r="835" spans="1:5" x14ac:dyDescent="0.25">
      <c r="A835" t="str">
        <f t="shared" si="13"/>
        <v/>
      </c>
      <c r="B835" s="48"/>
      <c r="C835" s="48"/>
      <c r="D835" s="49"/>
      <c r="E835" s="50"/>
    </row>
    <row r="836" spans="1:5" x14ac:dyDescent="0.25">
      <c r="A836" t="str">
        <f t="shared" si="13"/>
        <v/>
      </c>
      <c r="B836" s="48"/>
      <c r="C836" s="48"/>
      <c r="D836" s="49"/>
      <c r="E836" s="50"/>
    </row>
    <row r="837" spans="1:5" x14ac:dyDescent="0.25">
      <c r="A837" t="str">
        <f t="shared" si="13"/>
        <v/>
      </c>
      <c r="B837" s="48"/>
      <c r="C837" s="48"/>
      <c r="D837" s="49"/>
      <c r="E837" s="50"/>
    </row>
    <row r="838" spans="1:5" x14ac:dyDescent="0.25">
      <c r="A838" t="str">
        <f t="shared" si="13"/>
        <v/>
      </c>
      <c r="B838" s="48"/>
      <c r="C838" s="48"/>
      <c r="D838" s="49"/>
      <c r="E838" s="50"/>
    </row>
    <row r="839" spans="1:5" x14ac:dyDescent="0.25">
      <c r="A839" t="str">
        <f t="shared" si="13"/>
        <v/>
      </c>
      <c r="B839" s="48"/>
      <c r="C839" s="48"/>
      <c r="D839" s="49"/>
      <c r="E839" s="50"/>
    </row>
    <row r="840" spans="1:5" x14ac:dyDescent="0.25">
      <c r="A840" t="str">
        <f t="shared" si="13"/>
        <v/>
      </c>
      <c r="B840" s="48"/>
      <c r="C840" s="48"/>
      <c r="D840" s="49"/>
      <c r="E840" s="50"/>
    </row>
    <row r="841" spans="1:5" x14ac:dyDescent="0.25">
      <c r="A841" t="str">
        <f t="shared" si="13"/>
        <v/>
      </c>
      <c r="B841" s="48"/>
      <c r="C841" s="48"/>
      <c r="D841" s="49"/>
      <c r="E841" s="50"/>
    </row>
    <row r="842" spans="1:5" x14ac:dyDescent="0.25">
      <c r="A842" t="str">
        <f t="shared" si="13"/>
        <v/>
      </c>
      <c r="B842" s="48"/>
      <c r="C842" s="48"/>
      <c r="D842" s="49"/>
      <c r="E842" s="50"/>
    </row>
    <row r="843" spans="1:5" x14ac:dyDescent="0.25">
      <c r="A843" t="str">
        <f t="shared" si="13"/>
        <v/>
      </c>
      <c r="B843" s="48"/>
      <c r="C843" s="48"/>
      <c r="D843" s="49"/>
      <c r="E843" s="50"/>
    </row>
    <row r="844" spans="1:5" x14ac:dyDescent="0.25">
      <c r="A844" t="str">
        <f t="shared" si="13"/>
        <v/>
      </c>
      <c r="B844" s="48"/>
      <c r="C844" s="48"/>
      <c r="D844" s="49"/>
      <c r="E844" s="50"/>
    </row>
    <row r="845" spans="1:5" x14ac:dyDescent="0.25">
      <c r="A845" t="str">
        <f t="shared" si="13"/>
        <v/>
      </c>
      <c r="B845" s="48"/>
      <c r="C845" s="48"/>
      <c r="D845" s="49"/>
      <c r="E845" s="50"/>
    </row>
    <row r="846" spans="1:5" x14ac:dyDescent="0.25">
      <c r="A846" t="str">
        <f t="shared" si="13"/>
        <v/>
      </c>
      <c r="B846" s="48"/>
      <c r="C846" s="48"/>
      <c r="D846" s="49"/>
      <c r="E846" s="50"/>
    </row>
    <row r="847" spans="1:5" x14ac:dyDescent="0.25">
      <c r="A847" t="str">
        <f t="shared" si="13"/>
        <v/>
      </c>
      <c r="B847" s="48"/>
      <c r="C847" s="48"/>
      <c r="D847" s="49"/>
      <c r="E847" s="50"/>
    </row>
    <row r="848" spans="1:5" x14ac:dyDescent="0.25">
      <c r="A848" t="str">
        <f t="shared" si="13"/>
        <v/>
      </c>
      <c r="B848" s="48"/>
      <c r="C848" s="48"/>
      <c r="D848" s="49"/>
      <c r="E848" s="50"/>
    </row>
    <row r="849" spans="1:5" x14ac:dyDescent="0.25">
      <c r="A849" t="str">
        <f t="shared" si="13"/>
        <v/>
      </c>
      <c r="B849" s="48"/>
      <c r="C849" s="48"/>
      <c r="D849" s="49"/>
      <c r="E849" s="50"/>
    </row>
    <row r="850" spans="1:5" x14ac:dyDescent="0.25">
      <c r="A850" t="str">
        <f t="shared" si="13"/>
        <v/>
      </c>
      <c r="B850" s="48"/>
      <c r="C850" s="48"/>
      <c r="D850" s="49"/>
      <c r="E850" s="50"/>
    </row>
    <row r="851" spans="1:5" x14ac:dyDescent="0.25">
      <c r="A851" t="str">
        <f t="shared" si="13"/>
        <v/>
      </c>
      <c r="B851" s="48"/>
      <c r="C851" s="48"/>
      <c r="D851" s="49"/>
      <c r="E851" s="50"/>
    </row>
    <row r="852" spans="1:5" x14ac:dyDescent="0.25">
      <c r="A852" t="str">
        <f t="shared" si="13"/>
        <v/>
      </c>
      <c r="B852" s="48"/>
      <c r="C852" s="48"/>
      <c r="D852" s="49"/>
      <c r="E852" s="50"/>
    </row>
    <row r="853" spans="1:5" x14ac:dyDescent="0.25">
      <c r="A853" t="str">
        <f t="shared" si="13"/>
        <v/>
      </c>
      <c r="B853" s="48"/>
      <c r="C853" s="48"/>
      <c r="D853" s="49"/>
      <c r="E853" s="50"/>
    </row>
    <row r="854" spans="1:5" x14ac:dyDescent="0.25">
      <c r="A854" t="str">
        <f t="shared" si="13"/>
        <v/>
      </c>
      <c r="B854" s="48"/>
      <c r="C854" s="48"/>
      <c r="D854" s="49"/>
      <c r="E854" s="50"/>
    </row>
    <row r="855" spans="1:5" x14ac:dyDescent="0.25">
      <c r="A855" t="str">
        <f t="shared" si="13"/>
        <v/>
      </c>
      <c r="B855" s="48"/>
      <c r="C855" s="48"/>
      <c r="D855" s="49"/>
      <c r="E855" s="50"/>
    </row>
    <row r="856" spans="1:5" x14ac:dyDescent="0.25">
      <c r="A856" t="str">
        <f t="shared" si="13"/>
        <v/>
      </c>
      <c r="B856" s="48"/>
      <c r="C856" s="48"/>
      <c r="D856" s="49"/>
      <c r="E856" s="50"/>
    </row>
    <row r="857" spans="1:5" x14ac:dyDescent="0.25">
      <c r="A857" t="str">
        <f t="shared" si="13"/>
        <v/>
      </c>
      <c r="B857" s="48"/>
      <c r="C857" s="48"/>
      <c r="D857" s="49"/>
      <c r="E857" s="50"/>
    </row>
    <row r="858" spans="1:5" x14ac:dyDescent="0.25">
      <c r="A858" t="str">
        <f t="shared" si="13"/>
        <v/>
      </c>
      <c r="B858" s="48"/>
      <c r="C858" s="48"/>
      <c r="D858" s="49"/>
      <c r="E858" s="50"/>
    </row>
    <row r="859" spans="1:5" x14ac:dyDescent="0.25">
      <c r="A859" t="str">
        <f t="shared" si="13"/>
        <v/>
      </c>
      <c r="B859" s="48"/>
      <c r="C859" s="48"/>
      <c r="D859" s="49"/>
      <c r="E859" s="50"/>
    </row>
    <row r="860" spans="1:5" x14ac:dyDescent="0.25">
      <c r="A860" t="str">
        <f t="shared" si="13"/>
        <v/>
      </c>
      <c r="B860" s="48"/>
      <c r="C860" s="48"/>
      <c r="D860" s="49"/>
      <c r="E860" s="50"/>
    </row>
    <row r="861" spans="1:5" x14ac:dyDescent="0.25">
      <c r="A861" t="str">
        <f t="shared" si="13"/>
        <v/>
      </c>
      <c r="B861" s="48"/>
      <c r="C861" s="48"/>
      <c r="D861" s="49"/>
      <c r="E861" s="50"/>
    </row>
    <row r="862" spans="1:5" x14ac:dyDescent="0.25">
      <c r="A862" t="str">
        <f t="shared" si="13"/>
        <v/>
      </c>
      <c r="B862" s="48"/>
      <c r="C862" s="48"/>
      <c r="D862" s="49"/>
      <c r="E862" s="50"/>
    </row>
    <row r="863" spans="1:5" x14ac:dyDescent="0.25">
      <c r="A863" t="str">
        <f t="shared" si="13"/>
        <v/>
      </c>
      <c r="B863" s="48"/>
      <c r="C863" s="48"/>
      <c r="D863" s="49"/>
      <c r="E863" s="50"/>
    </row>
    <row r="864" spans="1:5" x14ac:dyDescent="0.25">
      <c r="A864" t="str">
        <f t="shared" si="13"/>
        <v/>
      </c>
      <c r="B864" s="48"/>
      <c r="C864" s="48"/>
      <c r="D864" s="49"/>
      <c r="E864" s="50"/>
    </row>
    <row r="865" spans="1:5" x14ac:dyDescent="0.25">
      <c r="A865" t="str">
        <f t="shared" si="13"/>
        <v/>
      </c>
      <c r="B865" s="48"/>
      <c r="C865" s="48"/>
      <c r="D865" s="49"/>
      <c r="E865" s="50"/>
    </row>
    <row r="866" spans="1:5" x14ac:dyDescent="0.25">
      <c r="A866" t="str">
        <f t="shared" si="13"/>
        <v/>
      </c>
      <c r="B866" s="48"/>
      <c r="C866" s="48"/>
      <c r="D866" s="49"/>
      <c r="E866" s="50"/>
    </row>
    <row r="867" spans="1:5" x14ac:dyDescent="0.25">
      <c r="A867" t="str">
        <f t="shared" si="13"/>
        <v/>
      </c>
      <c r="B867" s="48"/>
      <c r="C867" s="48"/>
      <c r="D867" s="49"/>
      <c r="E867" s="50"/>
    </row>
    <row r="868" spans="1:5" x14ac:dyDescent="0.25">
      <c r="A868" t="str">
        <f t="shared" si="13"/>
        <v/>
      </c>
      <c r="B868" s="48"/>
      <c r="C868" s="48"/>
      <c r="D868" s="51"/>
      <c r="E868" s="50"/>
    </row>
    <row r="869" spans="1:5" x14ac:dyDescent="0.25">
      <c r="A869" t="str">
        <f t="shared" si="13"/>
        <v/>
      </c>
      <c r="B869" s="48"/>
      <c r="C869" s="48"/>
      <c r="D869" s="49"/>
      <c r="E869" s="50"/>
    </row>
    <row r="870" spans="1:5" x14ac:dyDescent="0.25">
      <c r="A870" t="str">
        <f t="shared" si="13"/>
        <v/>
      </c>
      <c r="B870" s="48"/>
      <c r="C870" s="48"/>
      <c r="D870" s="49"/>
      <c r="E870" s="50"/>
    </row>
    <row r="871" spans="1:5" x14ac:dyDescent="0.25">
      <c r="A871" t="str">
        <f t="shared" si="13"/>
        <v/>
      </c>
      <c r="B871" s="48"/>
      <c r="C871" s="48"/>
      <c r="D871" s="51"/>
      <c r="E871" s="50"/>
    </row>
    <row r="872" spans="1:5" x14ac:dyDescent="0.25">
      <c r="A872" t="str">
        <f t="shared" si="13"/>
        <v/>
      </c>
      <c r="B872" s="48"/>
      <c r="C872" s="48"/>
      <c r="D872" s="49"/>
      <c r="E872" s="50"/>
    </row>
    <row r="873" spans="1:5" x14ac:dyDescent="0.25">
      <c r="A873" t="str">
        <f t="shared" si="13"/>
        <v/>
      </c>
      <c r="B873" s="48"/>
      <c r="C873" s="48"/>
      <c r="D873" s="49"/>
      <c r="E873" s="50"/>
    </row>
    <row r="874" spans="1:5" x14ac:dyDescent="0.25">
      <c r="A874" t="str">
        <f t="shared" si="13"/>
        <v/>
      </c>
      <c r="B874" s="48"/>
      <c r="C874" s="48"/>
      <c r="D874" s="51"/>
      <c r="E874" s="50"/>
    </row>
    <row r="875" spans="1:5" x14ac:dyDescent="0.25">
      <c r="A875" t="str">
        <f t="shared" si="13"/>
        <v/>
      </c>
      <c r="B875" s="48"/>
      <c r="C875" s="48"/>
      <c r="D875" s="49"/>
      <c r="E875" s="50"/>
    </row>
    <row r="876" spans="1:5" x14ac:dyDescent="0.25">
      <c r="A876" t="str">
        <f t="shared" si="13"/>
        <v/>
      </c>
      <c r="B876" s="48"/>
      <c r="C876" s="48"/>
      <c r="D876" s="49"/>
      <c r="E876" s="50"/>
    </row>
    <row r="877" spans="1:5" x14ac:dyDescent="0.25">
      <c r="A877" t="str">
        <f t="shared" si="13"/>
        <v/>
      </c>
      <c r="B877" s="48"/>
      <c r="C877" s="48"/>
      <c r="D877" s="49"/>
      <c r="E877" s="50"/>
    </row>
    <row r="878" spans="1:5" x14ac:dyDescent="0.25">
      <c r="A878" t="str">
        <f t="shared" si="13"/>
        <v/>
      </c>
      <c r="B878" s="48"/>
      <c r="C878" s="48"/>
      <c r="D878" s="49"/>
      <c r="E878" s="50"/>
    </row>
    <row r="879" spans="1:5" x14ac:dyDescent="0.25">
      <c r="A879" t="str">
        <f t="shared" si="13"/>
        <v/>
      </c>
      <c r="B879" s="48"/>
      <c r="C879" s="48"/>
      <c r="D879" s="51"/>
      <c r="E879" s="50"/>
    </row>
    <row r="880" spans="1:5" x14ac:dyDescent="0.25">
      <c r="A880" t="str">
        <f t="shared" si="13"/>
        <v/>
      </c>
      <c r="B880" s="48"/>
      <c r="C880" s="48"/>
      <c r="D880" s="49"/>
      <c r="E880" s="50"/>
    </row>
    <row r="881" spans="1:5" x14ac:dyDescent="0.25">
      <c r="A881" t="str">
        <f t="shared" si="13"/>
        <v/>
      </c>
      <c r="B881" s="48"/>
      <c r="C881" s="48"/>
      <c r="D881" s="49"/>
      <c r="E881" s="50"/>
    </row>
    <row r="882" spans="1:5" x14ac:dyDescent="0.25">
      <c r="A882" t="str">
        <f t="shared" si="13"/>
        <v/>
      </c>
      <c r="C882" s="48"/>
      <c r="D882" s="48"/>
      <c r="E882" s="50"/>
    </row>
    <row r="883" spans="1:5" x14ac:dyDescent="0.25">
      <c r="A883" t="str">
        <f t="shared" si="13"/>
        <v/>
      </c>
      <c r="C883" s="48"/>
      <c r="D883" s="49"/>
      <c r="E883" s="50"/>
    </row>
    <row r="884" spans="1:5" x14ac:dyDescent="0.25">
      <c r="A884" t="str">
        <f t="shared" si="13"/>
        <v/>
      </c>
      <c r="C884" s="48"/>
      <c r="D884" s="49"/>
      <c r="E884" s="50"/>
    </row>
    <row r="885" spans="1:5" x14ac:dyDescent="0.25">
      <c r="A885" t="str">
        <f t="shared" si="13"/>
        <v/>
      </c>
      <c r="C885" s="48"/>
      <c r="D885" s="48"/>
      <c r="E885" s="50"/>
    </row>
    <row r="886" spans="1:5" x14ac:dyDescent="0.25">
      <c r="A886" t="str">
        <f t="shared" si="13"/>
        <v/>
      </c>
      <c r="C886" s="48"/>
      <c r="D886" s="48"/>
      <c r="E886" s="50"/>
    </row>
    <row r="887" spans="1:5" x14ac:dyDescent="0.25">
      <c r="A887" t="str">
        <f t="shared" si="13"/>
        <v/>
      </c>
      <c r="C887" s="48"/>
      <c r="D887" s="48"/>
      <c r="E887" s="50"/>
    </row>
    <row r="888" spans="1:5" x14ac:dyDescent="0.25">
      <c r="A888" t="str">
        <f t="shared" si="13"/>
        <v/>
      </c>
      <c r="C888" s="48"/>
      <c r="E888" s="50"/>
    </row>
    <row r="889" spans="1:5" x14ac:dyDescent="0.25">
      <c r="A889" t="str">
        <f t="shared" si="13"/>
        <v/>
      </c>
      <c r="C889" s="48"/>
      <c r="D889" s="50"/>
      <c r="E889" s="50"/>
    </row>
    <row r="890" spans="1:5" x14ac:dyDescent="0.25">
      <c r="A890" t="str">
        <f t="shared" si="13"/>
        <v/>
      </c>
      <c r="C890" s="48"/>
      <c r="D890" s="50"/>
      <c r="E890" s="50"/>
    </row>
    <row r="891" spans="1:5" x14ac:dyDescent="0.25">
      <c r="A891" t="str">
        <f t="shared" si="13"/>
        <v/>
      </c>
      <c r="C891" s="48"/>
      <c r="D891" s="50"/>
      <c r="E891" s="50"/>
    </row>
    <row r="892" spans="1:5" x14ac:dyDescent="0.25">
      <c r="A892" t="str">
        <f t="shared" si="13"/>
        <v/>
      </c>
      <c r="C892" s="48"/>
      <c r="D892" s="50"/>
      <c r="E892" s="50"/>
    </row>
    <row r="893" spans="1:5" x14ac:dyDescent="0.25">
      <c r="A893" t="str">
        <f t="shared" si="13"/>
        <v/>
      </c>
      <c r="C893" s="48"/>
      <c r="D893" s="50"/>
      <c r="E893" s="50"/>
    </row>
    <row r="894" spans="1:5" x14ac:dyDescent="0.25">
      <c r="A894" t="str">
        <f t="shared" si="13"/>
        <v/>
      </c>
      <c r="C894" s="48"/>
      <c r="D894" s="50"/>
      <c r="E894" s="50"/>
    </row>
    <row r="895" spans="1:5" x14ac:dyDescent="0.25">
      <c r="A895" t="str">
        <f t="shared" si="13"/>
        <v/>
      </c>
      <c r="C895" s="48"/>
      <c r="E895" s="50"/>
    </row>
    <row r="896" spans="1:5" x14ac:dyDescent="0.25">
      <c r="A896" t="str">
        <f t="shared" si="13"/>
        <v/>
      </c>
      <c r="C896" s="48"/>
      <c r="E896" s="50"/>
    </row>
    <row r="897" spans="1:5" x14ac:dyDescent="0.25">
      <c r="A897" t="str">
        <f t="shared" si="13"/>
        <v/>
      </c>
    </row>
    <row r="898" spans="1:5" x14ac:dyDescent="0.25">
      <c r="A898" t="str">
        <f t="shared" ref="A898:A961" si="14">CONCATENATE(B898, C898, D898)</f>
        <v/>
      </c>
      <c r="B898" s="46"/>
      <c r="E898" s="47"/>
    </row>
    <row r="899" spans="1:5" x14ac:dyDescent="0.25">
      <c r="A899" t="str">
        <f t="shared" si="14"/>
        <v/>
      </c>
      <c r="B899" s="48"/>
      <c r="E899" s="47"/>
    </row>
    <row r="900" spans="1:5" x14ac:dyDescent="0.25">
      <c r="A900" t="str">
        <f t="shared" si="14"/>
        <v/>
      </c>
      <c r="B900" s="48"/>
      <c r="E900" s="47"/>
    </row>
    <row r="901" spans="1:5" x14ac:dyDescent="0.25">
      <c r="A901" t="str">
        <f t="shared" si="14"/>
        <v/>
      </c>
      <c r="B901" s="48"/>
      <c r="E901" s="47"/>
    </row>
    <row r="902" spans="1:5" x14ac:dyDescent="0.25">
      <c r="A902" t="str">
        <f t="shared" si="14"/>
        <v/>
      </c>
      <c r="B902" s="48"/>
      <c r="E902" s="47"/>
    </row>
    <row r="903" spans="1:5" x14ac:dyDescent="0.25">
      <c r="A903" t="str">
        <f t="shared" si="14"/>
        <v/>
      </c>
      <c r="B903" s="48"/>
      <c r="E903" s="47"/>
    </row>
    <row r="904" spans="1:5" x14ac:dyDescent="0.25">
      <c r="A904" t="str">
        <f t="shared" si="14"/>
        <v/>
      </c>
      <c r="B904" s="48"/>
      <c r="E904" s="47"/>
    </row>
    <row r="905" spans="1:5" x14ac:dyDescent="0.25">
      <c r="A905" t="str">
        <f t="shared" si="14"/>
        <v/>
      </c>
      <c r="B905" s="48"/>
      <c r="E905" s="47"/>
    </row>
    <row r="906" spans="1:5" x14ac:dyDescent="0.25">
      <c r="A906" t="str">
        <f t="shared" si="14"/>
        <v/>
      </c>
      <c r="B906" s="48"/>
      <c r="E906" s="47"/>
    </row>
    <row r="907" spans="1:5" x14ac:dyDescent="0.25">
      <c r="A907" t="str">
        <f t="shared" si="14"/>
        <v/>
      </c>
      <c r="B907" s="48"/>
      <c r="E907" s="47"/>
    </row>
    <row r="908" spans="1:5" x14ac:dyDescent="0.25">
      <c r="A908" t="str">
        <f t="shared" si="14"/>
        <v/>
      </c>
      <c r="B908" s="48"/>
      <c r="E908" s="47"/>
    </row>
    <row r="909" spans="1:5" x14ac:dyDescent="0.25">
      <c r="A909" t="str">
        <f t="shared" si="14"/>
        <v/>
      </c>
      <c r="B909" s="48"/>
      <c r="E909" s="47"/>
    </row>
    <row r="910" spans="1:5" x14ac:dyDescent="0.25">
      <c r="A910" t="str">
        <f t="shared" si="14"/>
        <v/>
      </c>
      <c r="B910" s="48"/>
      <c r="E910" s="47"/>
    </row>
    <row r="911" spans="1:5" x14ac:dyDescent="0.25">
      <c r="A911" t="str">
        <f t="shared" si="14"/>
        <v/>
      </c>
      <c r="B911" s="48"/>
      <c r="E911" s="47"/>
    </row>
    <row r="912" spans="1:5" x14ac:dyDescent="0.25">
      <c r="A912" t="str">
        <f t="shared" si="14"/>
        <v/>
      </c>
      <c r="B912" s="48"/>
      <c r="E912" s="47"/>
    </row>
    <row r="913" spans="1:5" x14ac:dyDescent="0.25">
      <c r="A913" t="str">
        <f t="shared" si="14"/>
        <v/>
      </c>
      <c r="B913" s="48"/>
      <c r="C913" s="48"/>
      <c r="D913" s="49"/>
      <c r="E913" s="50"/>
    </row>
    <row r="914" spans="1:5" x14ac:dyDescent="0.25">
      <c r="A914" t="str">
        <f t="shared" si="14"/>
        <v/>
      </c>
      <c r="B914" s="48"/>
      <c r="C914" s="48"/>
      <c r="D914" s="49"/>
      <c r="E914" s="50"/>
    </row>
    <row r="915" spans="1:5" x14ac:dyDescent="0.25">
      <c r="A915" t="str">
        <f t="shared" si="14"/>
        <v/>
      </c>
      <c r="B915" s="48"/>
      <c r="C915" s="48"/>
      <c r="D915" s="49"/>
      <c r="E915" s="50"/>
    </row>
    <row r="916" spans="1:5" x14ac:dyDescent="0.25">
      <c r="A916" t="str">
        <f t="shared" si="14"/>
        <v/>
      </c>
      <c r="B916" s="48"/>
      <c r="C916" s="48"/>
      <c r="D916" s="49"/>
      <c r="E916" s="50"/>
    </row>
    <row r="917" spans="1:5" x14ac:dyDescent="0.25">
      <c r="A917" t="str">
        <f t="shared" si="14"/>
        <v/>
      </c>
      <c r="B917" s="48"/>
      <c r="C917" s="48"/>
      <c r="D917" s="49"/>
      <c r="E917" s="50"/>
    </row>
    <row r="918" spans="1:5" x14ac:dyDescent="0.25">
      <c r="A918" t="str">
        <f t="shared" si="14"/>
        <v/>
      </c>
      <c r="B918" s="48"/>
      <c r="C918" s="48"/>
      <c r="D918" s="49"/>
      <c r="E918" s="50"/>
    </row>
    <row r="919" spans="1:5" x14ac:dyDescent="0.25">
      <c r="A919" t="str">
        <f t="shared" si="14"/>
        <v/>
      </c>
      <c r="B919" s="48"/>
      <c r="C919" s="48"/>
      <c r="D919" s="49"/>
      <c r="E919" s="50"/>
    </row>
    <row r="920" spans="1:5" x14ac:dyDescent="0.25">
      <c r="A920" t="str">
        <f t="shared" si="14"/>
        <v/>
      </c>
      <c r="B920" s="48"/>
      <c r="C920" s="48"/>
      <c r="D920" s="49"/>
      <c r="E920" s="50"/>
    </row>
    <row r="921" spans="1:5" x14ac:dyDescent="0.25">
      <c r="A921" t="str">
        <f t="shared" si="14"/>
        <v/>
      </c>
      <c r="B921" s="48"/>
      <c r="C921" s="48"/>
      <c r="D921" s="49"/>
      <c r="E921" s="50"/>
    </row>
    <row r="922" spans="1:5" x14ac:dyDescent="0.25">
      <c r="A922" t="str">
        <f t="shared" si="14"/>
        <v/>
      </c>
      <c r="B922" s="48"/>
      <c r="C922" s="48"/>
      <c r="D922" s="49"/>
      <c r="E922" s="50"/>
    </row>
    <row r="923" spans="1:5" x14ac:dyDescent="0.25">
      <c r="A923" t="str">
        <f t="shared" si="14"/>
        <v/>
      </c>
      <c r="B923" s="48"/>
      <c r="C923" s="48"/>
      <c r="D923" s="49"/>
      <c r="E923" s="50"/>
    </row>
    <row r="924" spans="1:5" x14ac:dyDescent="0.25">
      <c r="A924" t="str">
        <f t="shared" si="14"/>
        <v/>
      </c>
      <c r="B924" s="48"/>
      <c r="C924" s="48"/>
      <c r="D924" s="49"/>
      <c r="E924" s="50"/>
    </row>
    <row r="925" spans="1:5" x14ac:dyDescent="0.25">
      <c r="A925" t="str">
        <f t="shared" si="14"/>
        <v/>
      </c>
      <c r="B925" s="48"/>
      <c r="C925" s="48"/>
      <c r="D925" s="49"/>
      <c r="E925" s="50"/>
    </row>
    <row r="926" spans="1:5" x14ac:dyDescent="0.25">
      <c r="A926" t="str">
        <f t="shared" si="14"/>
        <v/>
      </c>
      <c r="B926" s="48"/>
      <c r="C926" s="48"/>
      <c r="D926" s="49"/>
      <c r="E926" s="50"/>
    </row>
    <row r="927" spans="1:5" x14ac:dyDescent="0.25">
      <c r="A927" t="str">
        <f t="shared" si="14"/>
        <v/>
      </c>
      <c r="B927" s="48"/>
      <c r="C927" s="48"/>
      <c r="D927" s="49"/>
      <c r="E927" s="50"/>
    </row>
    <row r="928" spans="1:5" x14ac:dyDescent="0.25">
      <c r="A928" t="str">
        <f t="shared" si="14"/>
        <v/>
      </c>
      <c r="B928" s="48"/>
      <c r="C928" s="48"/>
      <c r="D928" s="49"/>
      <c r="E928" s="50"/>
    </row>
    <row r="929" spans="1:5" x14ac:dyDescent="0.25">
      <c r="A929" t="str">
        <f t="shared" si="14"/>
        <v/>
      </c>
      <c r="B929" s="48"/>
      <c r="C929" s="48"/>
      <c r="D929" s="49"/>
      <c r="E929" s="50"/>
    </row>
    <row r="930" spans="1:5" x14ac:dyDescent="0.25">
      <c r="A930" t="str">
        <f t="shared" si="14"/>
        <v/>
      </c>
      <c r="B930" s="48"/>
      <c r="C930" s="48"/>
      <c r="D930" s="49"/>
      <c r="E930" s="50"/>
    </row>
    <row r="931" spans="1:5" x14ac:dyDescent="0.25">
      <c r="A931" t="str">
        <f t="shared" si="14"/>
        <v/>
      </c>
      <c r="B931" s="48"/>
      <c r="C931" s="48"/>
      <c r="D931" s="49"/>
      <c r="E931" s="50"/>
    </row>
    <row r="932" spans="1:5" x14ac:dyDescent="0.25">
      <c r="A932" t="str">
        <f t="shared" si="14"/>
        <v/>
      </c>
      <c r="B932" s="48"/>
      <c r="C932" s="48"/>
      <c r="D932" s="49"/>
      <c r="E932" s="50"/>
    </row>
    <row r="933" spans="1:5" x14ac:dyDescent="0.25">
      <c r="A933" t="str">
        <f t="shared" si="14"/>
        <v/>
      </c>
      <c r="B933" s="48"/>
      <c r="C933" s="48"/>
      <c r="D933" s="49"/>
      <c r="E933" s="50"/>
    </row>
    <row r="934" spans="1:5" x14ac:dyDescent="0.25">
      <c r="A934" t="str">
        <f t="shared" si="14"/>
        <v/>
      </c>
      <c r="B934" s="48"/>
      <c r="C934" s="48"/>
      <c r="D934" s="49"/>
      <c r="E934" s="50"/>
    </row>
    <row r="935" spans="1:5" x14ac:dyDescent="0.25">
      <c r="A935" t="str">
        <f t="shared" si="14"/>
        <v/>
      </c>
      <c r="B935" s="48"/>
      <c r="C935" s="48"/>
      <c r="D935" s="49"/>
      <c r="E935" s="50"/>
    </row>
    <row r="936" spans="1:5" x14ac:dyDescent="0.25">
      <c r="A936" t="str">
        <f t="shared" si="14"/>
        <v/>
      </c>
      <c r="B936" s="48"/>
      <c r="C936" s="48"/>
      <c r="D936" s="49"/>
      <c r="E936" s="50"/>
    </row>
    <row r="937" spans="1:5" x14ac:dyDescent="0.25">
      <c r="A937" t="str">
        <f t="shared" si="14"/>
        <v/>
      </c>
      <c r="B937" s="48"/>
      <c r="C937" s="48"/>
      <c r="D937" s="49"/>
      <c r="E937" s="50"/>
    </row>
    <row r="938" spans="1:5" x14ac:dyDescent="0.25">
      <c r="A938" t="str">
        <f t="shared" si="14"/>
        <v/>
      </c>
      <c r="B938" s="48"/>
      <c r="C938" s="48"/>
      <c r="D938" s="49"/>
      <c r="E938" s="50"/>
    </row>
    <row r="939" spans="1:5" x14ac:dyDescent="0.25">
      <c r="A939" t="str">
        <f t="shared" si="14"/>
        <v/>
      </c>
      <c r="B939" s="48"/>
      <c r="C939" s="48"/>
      <c r="D939" s="49"/>
      <c r="E939" s="50"/>
    </row>
    <row r="940" spans="1:5" x14ac:dyDescent="0.25">
      <c r="A940" t="str">
        <f t="shared" si="14"/>
        <v/>
      </c>
      <c r="B940" s="48"/>
      <c r="C940" s="48"/>
      <c r="D940" s="49"/>
      <c r="E940" s="50"/>
    </row>
    <row r="941" spans="1:5" x14ac:dyDescent="0.25">
      <c r="A941" t="str">
        <f t="shared" si="14"/>
        <v/>
      </c>
      <c r="B941" s="48"/>
      <c r="C941" s="48"/>
      <c r="D941" s="49"/>
      <c r="E941" s="50"/>
    </row>
    <row r="942" spans="1:5" x14ac:dyDescent="0.25">
      <c r="A942" t="str">
        <f t="shared" si="14"/>
        <v/>
      </c>
      <c r="B942" s="48"/>
      <c r="C942" s="48"/>
      <c r="D942" s="49"/>
      <c r="E942" s="50"/>
    </row>
    <row r="943" spans="1:5" x14ac:dyDescent="0.25">
      <c r="A943" t="str">
        <f t="shared" si="14"/>
        <v/>
      </c>
      <c r="B943" s="48"/>
      <c r="C943" s="48"/>
      <c r="D943" s="49"/>
      <c r="E943" s="50"/>
    </row>
    <row r="944" spans="1:5" x14ac:dyDescent="0.25">
      <c r="A944" t="str">
        <f t="shared" si="14"/>
        <v/>
      </c>
      <c r="B944" s="48"/>
      <c r="C944" s="48"/>
      <c r="D944" s="49"/>
      <c r="E944" s="50"/>
    </row>
    <row r="945" spans="1:5" x14ac:dyDescent="0.25">
      <c r="A945" t="str">
        <f t="shared" si="14"/>
        <v/>
      </c>
      <c r="B945" s="48"/>
      <c r="C945" s="48"/>
      <c r="D945" s="49"/>
      <c r="E945" s="50"/>
    </row>
    <row r="946" spans="1:5" x14ac:dyDescent="0.25">
      <c r="A946" t="str">
        <f t="shared" si="14"/>
        <v/>
      </c>
      <c r="B946" s="48"/>
      <c r="C946" s="48"/>
      <c r="D946" s="49"/>
      <c r="E946" s="50"/>
    </row>
    <row r="947" spans="1:5" x14ac:dyDescent="0.25">
      <c r="A947" t="str">
        <f t="shared" si="14"/>
        <v/>
      </c>
      <c r="B947" s="48"/>
      <c r="C947" s="48"/>
      <c r="D947" s="49"/>
      <c r="E947" s="50"/>
    </row>
    <row r="948" spans="1:5" x14ac:dyDescent="0.25">
      <c r="A948" t="str">
        <f t="shared" si="14"/>
        <v/>
      </c>
      <c r="B948" s="48"/>
      <c r="C948" s="48"/>
      <c r="D948" s="49"/>
      <c r="E948" s="50"/>
    </row>
    <row r="949" spans="1:5" x14ac:dyDescent="0.25">
      <c r="A949" t="str">
        <f t="shared" si="14"/>
        <v/>
      </c>
      <c r="B949" s="48"/>
      <c r="C949" s="48"/>
      <c r="D949" s="49"/>
      <c r="E949" s="50"/>
    </row>
    <row r="950" spans="1:5" x14ac:dyDescent="0.25">
      <c r="A950" t="str">
        <f t="shared" si="14"/>
        <v/>
      </c>
      <c r="B950" s="48"/>
      <c r="C950" s="48"/>
      <c r="D950" s="49"/>
      <c r="E950" s="50"/>
    </row>
    <row r="951" spans="1:5" x14ac:dyDescent="0.25">
      <c r="A951" t="str">
        <f t="shared" si="14"/>
        <v/>
      </c>
      <c r="B951" s="48"/>
      <c r="C951" s="48"/>
      <c r="D951" s="49"/>
      <c r="E951" s="50"/>
    </row>
    <row r="952" spans="1:5" x14ac:dyDescent="0.25">
      <c r="A952" t="str">
        <f t="shared" si="14"/>
        <v/>
      </c>
      <c r="B952" s="48"/>
      <c r="C952" s="48"/>
      <c r="D952" s="49"/>
      <c r="E952" s="50"/>
    </row>
    <row r="953" spans="1:5" x14ac:dyDescent="0.25">
      <c r="A953" t="str">
        <f t="shared" si="14"/>
        <v/>
      </c>
      <c r="B953" s="48"/>
      <c r="C953" s="48"/>
      <c r="D953" s="49"/>
      <c r="E953" s="50"/>
    </row>
    <row r="954" spans="1:5" x14ac:dyDescent="0.25">
      <c r="A954" t="str">
        <f t="shared" si="14"/>
        <v/>
      </c>
      <c r="B954" s="48"/>
      <c r="C954" s="48"/>
      <c r="D954" s="49"/>
      <c r="E954" s="50"/>
    </row>
    <row r="955" spans="1:5" x14ac:dyDescent="0.25">
      <c r="A955" t="str">
        <f t="shared" si="14"/>
        <v/>
      </c>
      <c r="B955" s="48"/>
      <c r="C955" s="48"/>
      <c r="D955" s="49"/>
      <c r="E955" s="50"/>
    </row>
    <row r="956" spans="1:5" x14ac:dyDescent="0.25">
      <c r="A956" t="str">
        <f t="shared" si="14"/>
        <v/>
      </c>
      <c r="B956" s="48"/>
      <c r="C956" s="48"/>
      <c r="D956" s="49"/>
      <c r="E956" s="50"/>
    </row>
    <row r="957" spans="1:5" x14ac:dyDescent="0.25">
      <c r="A957" t="str">
        <f t="shared" si="14"/>
        <v/>
      </c>
      <c r="B957" s="48"/>
      <c r="C957" s="48"/>
      <c r="D957" s="49"/>
      <c r="E957" s="50"/>
    </row>
    <row r="958" spans="1:5" x14ac:dyDescent="0.25">
      <c r="A958" t="str">
        <f t="shared" si="14"/>
        <v/>
      </c>
      <c r="B958" s="48"/>
      <c r="C958" s="48"/>
      <c r="D958" s="49"/>
      <c r="E958" s="50"/>
    </row>
    <row r="959" spans="1:5" x14ac:dyDescent="0.25">
      <c r="A959" t="str">
        <f t="shared" si="14"/>
        <v/>
      </c>
      <c r="B959" s="48"/>
      <c r="C959" s="48"/>
      <c r="D959" s="49"/>
      <c r="E959" s="50"/>
    </row>
    <row r="960" spans="1:5" x14ac:dyDescent="0.25">
      <c r="A960" t="str">
        <f t="shared" si="14"/>
        <v/>
      </c>
      <c r="B960" s="48"/>
      <c r="C960" s="48"/>
      <c r="D960" s="49"/>
      <c r="E960" s="50"/>
    </row>
    <row r="961" spans="1:5" x14ac:dyDescent="0.25">
      <c r="A961" t="str">
        <f t="shared" si="14"/>
        <v/>
      </c>
      <c r="B961" s="48"/>
      <c r="C961" s="48"/>
      <c r="D961" s="49"/>
      <c r="E961" s="50"/>
    </row>
    <row r="962" spans="1:5" x14ac:dyDescent="0.25">
      <c r="A962" t="str">
        <f t="shared" ref="A962:A1025" si="15">CONCATENATE(B962, C962, D962)</f>
        <v/>
      </c>
      <c r="B962" s="48"/>
      <c r="C962" s="48"/>
      <c r="D962" s="49"/>
      <c r="E962" s="50"/>
    </row>
    <row r="963" spans="1:5" x14ac:dyDescent="0.25">
      <c r="A963" t="str">
        <f t="shared" si="15"/>
        <v/>
      </c>
      <c r="B963" s="48"/>
      <c r="C963" s="48"/>
      <c r="D963" s="49"/>
      <c r="E963" s="50"/>
    </row>
    <row r="964" spans="1:5" x14ac:dyDescent="0.25">
      <c r="A964" t="str">
        <f t="shared" si="15"/>
        <v/>
      </c>
      <c r="B964" s="48"/>
      <c r="C964" s="48"/>
      <c r="D964" s="49"/>
      <c r="E964" s="50"/>
    </row>
    <row r="965" spans="1:5" x14ac:dyDescent="0.25">
      <c r="A965" t="str">
        <f t="shared" si="15"/>
        <v/>
      </c>
      <c r="B965" s="48"/>
      <c r="C965" s="48"/>
      <c r="D965" s="49"/>
      <c r="E965" s="50"/>
    </row>
    <row r="966" spans="1:5" x14ac:dyDescent="0.25">
      <c r="A966" t="str">
        <f t="shared" si="15"/>
        <v/>
      </c>
      <c r="B966" s="48"/>
      <c r="C966" s="48"/>
      <c r="D966" s="49"/>
      <c r="E966" s="50"/>
    </row>
    <row r="967" spans="1:5" x14ac:dyDescent="0.25">
      <c r="A967" t="str">
        <f t="shared" si="15"/>
        <v/>
      </c>
      <c r="B967" s="48"/>
      <c r="C967" s="48"/>
      <c r="D967" s="49"/>
      <c r="E967" s="50"/>
    </row>
    <row r="968" spans="1:5" x14ac:dyDescent="0.25">
      <c r="A968" t="str">
        <f t="shared" si="15"/>
        <v/>
      </c>
      <c r="B968" s="48"/>
      <c r="C968" s="48"/>
      <c r="D968" s="49"/>
      <c r="E968" s="50"/>
    </row>
    <row r="969" spans="1:5" x14ac:dyDescent="0.25">
      <c r="A969" t="str">
        <f t="shared" si="15"/>
        <v/>
      </c>
      <c r="B969" s="48"/>
      <c r="C969" s="48"/>
      <c r="D969" s="49"/>
      <c r="E969" s="50"/>
    </row>
    <row r="970" spans="1:5" x14ac:dyDescent="0.25">
      <c r="A970" t="str">
        <f t="shared" si="15"/>
        <v/>
      </c>
      <c r="B970" s="48"/>
      <c r="C970" s="48"/>
      <c r="D970" s="49"/>
      <c r="E970" s="50"/>
    </row>
    <row r="971" spans="1:5" x14ac:dyDescent="0.25">
      <c r="A971" t="str">
        <f t="shared" si="15"/>
        <v/>
      </c>
      <c r="B971" s="48"/>
      <c r="C971" s="48"/>
      <c r="D971" s="49"/>
      <c r="E971" s="50"/>
    </row>
    <row r="972" spans="1:5" x14ac:dyDescent="0.25">
      <c r="A972" t="str">
        <f t="shared" si="15"/>
        <v/>
      </c>
      <c r="B972" s="48"/>
      <c r="C972" s="48"/>
      <c r="D972" s="49"/>
      <c r="E972" s="50"/>
    </row>
    <row r="973" spans="1:5" x14ac:dyDescent="0.25">
      <c r="A973" t="str">
        <f t="shared" si="15"/>
        <v/>
      </c>
      <c r="B973" s="48"/>
      <c r="C973" s="48"/>
      <c r="D973" s="49"/>
      <c r="E973" s="50"/>
    </row>
    <row r="974" spans="1:5" x14ac:dyDescent="0.25">
      <c r="A974" t="str">
        <f t="shared" si="15"/>
        <v/>
      </c>
      <c r="B974" s="48"/>
      <c r="C974" s="48"/>
      <c r="D974" s="49"/>
      <c r="E974" s="50"/>
    </row>
    <row r="975" spans="1:5" x14ac:dyDescent="0.25">
      <c r="A975" t="str">
        <f t="shared" si="15"/>
        <v/>
      </c>
      <c r="B975" s="48"/>
      <c r="C975" s="48"/>
      <c r="D975" s="49"/>
      <c r="E975" s="50"/>
    </row>
    <row r="976" spans="1:5" x14ac:dyDescent="0.25">
      <c r="A976" t="str">
        <f t="shared" si="15"/>
        <v/>
      </c>
      <c r="B976" s="48"/>
      <c r="C976" s="48"/>
      <c r="D976" s="51"/>
      <c r="E976" s="50"/>
    </row>
    <row r="977" spans="1:5" x14ac:dyDescent="0.25">
      <c r="A977" t="str">
        <f t="shared" si="15"/>
        <v/>
      </c>
      <c r="B977" s="48"/>
      <c r="C977" s="48"/>
      <c r="D977" s="49"/>
      <c r="E977" s="50"/>
    </row>
    <row r="978" spans="1:5" x14ac:dyDescent="0.25">
      <c r="A978" t="str">
        <f t="shared" si="15"/>
        <v/>
      </c>
      <c r="B978" s="48"/>
      <c r="C978" s="48"/>
      <c r="D978" s="49"/>
      <c r="E978" s="50"/>
    </row>
    <row r="979" spans="1:5" x14ac:dyDescent="0.25">
      <c r="A979" t="str">
        <f t="shared" si="15"/>
        <v/>
      </c>
      <c r="B979" s="48"/>
      <c r="C979" s="48"/>
      <c r="D979" s="51"/>
      <c r="E979" s="50"/>
    </row>
    <row r="980" spans="1:5" x14ac:dyDescent="0.25">
      <c r="A980" t="str">
        <f t="shared" si="15"/>
        <v/>
      </c>
      <c r="B980" s="48"/>
      <c r="C980" s="48"/>
      <c r="D980" s="49"/>
      <c r="E980" s="50"/>
    </row>
    <row r="981" spans="1:5" x14ac:dyDescent="0.25">
      <c r="A981" t="str">
        <f t="shared" si="15"/>
        <v/>
      </c>
      <c r="B981" s="48"/>
      <c r="C981" s="48"/>
      <c r="D981" s="49"/>
      <c r="E981" s="50"/>
    </row>
    <row r="982" spans="1:5" x14ac:dyDescent="0.25">
      <c r="A982" t="str">
        <f t="shared" si="15"/>
        <v/>
      </c>
      <c r="B982" s="48"/>
      <c r="C982" s="48"/>
      <c r="D982" s="51"/>
      <c r="E982" s="50"/>
    </row>
    <row r="983" spans="1:5" x14ac:dyDescent="0.25">
      <c r="A983" t="str">
        <f t="shared" si="15"/>
        <v/>
      </c>
      <c r="B983" s="48"/>
      <c r="C983" s="48"/>
      <c r="D983" s="49"/>
      <c r="E983" s="50"/>
    </row>
    <row r="984" spans="1:5" x14ac:dyDescent="0.25">
      <c r="A984" t="str">
        <f t="shared" si="15"/>
        <v/>
      </c>
      <c r="B984" s="48"/>
      <c r="C984" s="48"/>
      <c r="D984" s="49"/>
      <c r="E984" s="50"/>
    </row>
    <row r="985" spans="1:5" x14ac:dyDescent="0.25">
      <c r="A985" t="str">
        <f t="shared" si="15"/>
        <v/>
      </c>
      <c r="B985" s="48"/>
      <c r="C985" s="48"/>
      <c r="D985" s="49"/>
      <c r="E985" s="50"/>
    </row>
    <row r="986" spans="1:5" x14ac:dyDescent="0.25">
      <c r="A986" t="str">
        <f t="shared" si="15"/>
        <v/>
      </c>
      <c r="B986" s="48"/>
      <c r="C986" s="48"/>
      <c r="D986" s="49"/>
      <c r="E986" s="50"/>
    </row>
    <row r="987" spans="1:5" x14ac:dyDescent="0.25">
      <c r="A987" t="str">
        <f t="shared" si="15"/>
        <v/>
      </c>
      <c r="B987" s="48"/>
      <c r="C987" s="48"/>
      <c r="D987" s="49"/>
      <c r="E987" s="50"/>
    </row>
    <row r="988" spans="1:5" x14ac:dyDescent="0.25">
      <c r="A988" t="str">
        <f t="shared" si="15"/>
        <v/>
      </c>
      <c r="B988" s="48"/>
      <c r="C988" s="48"/>
      <c r="D988" s="49"/>
      <c r="E988" s="50"/>
    </row>
    <row r="989" spans="1:5" x14ac:dyDescent="0.25">
      <c r="A989" t="str">
        <f t="shared" si="15"/>
        <v/>
      </c>
      <c r="B989" s="48"/>
      <c r="C989" s="48"/>
      <c r="D989" s="51"/>
      <c r="E989" s="50"/>
    </row>
    <row r="990" spans="1:5" x14ac:dyDescent="0.25">
      <c r="A990" t="str">
        <f t="shared" si="15"/>
        <v/>
      </c>
      <c r="B990" s="48"/>
      <c r="C990" s="48"/>
      <c r="D990" s="49"/>
      <c r="E990" s="50"/>
    </row>
    <row r="991" spans="1:5" x14ac:dyDescent="0.25">
      <c r="A991" t="str">
        <f t="shared" si="15"/>
        <v/>
      </c>
      <c r="B991" s="48"/>
      <c r="C991" s="48"/>
      <c r="D991" s="49"/>
      <c r="E991" s="50"/>
    </row>
    <row r="992" spans="1:5" x14ac:dyDescent="0.25">
      <c r="A992" t="str">
        <f t="shared" si="15"/>
        <v/>
      </c>
      <c r="B992" s="48"/>
      <c r="C992" s="48"/>
      <c r="D992" s="51"/>
      <c r="E992" s="50"/>
    </row>
    <row r="993" spans="1:5" x14ac:dyDescent="0.25">
      <c r="A993" t="str">
        <f t="shared" si="15"/>
        <v/>
      </c>
      <c r="B993" s="48"/>
      <c r="C993" s="48"/>
      <c r="D993" s="49"/>
      <c r="E993" s="50"/>
    </row>
    <row r="994" spans="1:5" x14ac:dyDescent="0.25">
      <c r="A994" t="str">
        <f t="shared" si="15"/>
        <v/>
      </c>
      <c r="B994" s="48"/>
      <c r="C994" s="48"/>
      <c r="D994" s="48"/>
      <c r="E994" s="50"/>
    </row>
    <row r="995" spans="1:5" x14ac:dyDescent="0.25">
      <c r="A995" t="str">
        <f t="shared" si="15"/>
        <v/>
      </c>
      <c r="B995" s="48"/>
      <c r="C995" s="48"/>
      <c r="D995" s="49"/>
      <c r="E995" s="50"/>
    </row>
    <row r="996" spans="1:5" x14ac:dyDescent="0.25">
      <c r="A996" t="str">
        <f t="shared" si="15"/>
        <v/>
      </c>
      <c r="B996" s="48"/>
      <c r="C996" s="48"/>
      <c r="D996" s="49"/>
      <c r="E996" s="50"/>
    </row>
    <row r="997" spans="1:5" x14ac:dyDescent="0.25">
      <c r="A997" t="str">
        <f t="shared" si="15"/>
        <v/>
      </c>
      <c r="B997" s="48"/>
      <c r="C997" s="48"/>
      <c r="D997" s="48"/>
      <c r="E997" s="50"/>
    </row>
    <row r="998" spans="1:5" x14ac:dyDescent="0.25">
      <c r="A998" t="str">
        <f t="shared" si="15"/>
        <v/>
      </c>
      <c r="B998" s="48"/>
      <c r="C998" s="48"/>
      <c r="D998" s="48"/>
      <c r="E998" s="50"/>
    </row>
    <row r="999" spans="1:5" x14ac:dyDescent="0.25">
      <c r="A999" t="str">
        <f t="shared" si="15"/>
        <v/>
      </c>
      <c r="C999" s="48"/>
      <c r="D999" s="48"/>
      <c r="E999" s="50"/>
    </row>
    <row r="1000" spans="1:5" x14ac:dyDescent="0.25">
      <c r="A1000" t="str">
        <f t="shared" si="15"/>
        <v/>
      </c>
      <c r="C1000" s="48"/>
      <c r="E1000" s="50"/>
    </row>
    <row r="1001" spans="1:5" x14ac:dyDescent="0.25">
      <c r="A1001" t="str">
        <f t="shared" si="15"/>
        <v/>
      </c>
      <c r="C1001" s="48"/>
      <c r="D1001" s="50"/>
      <c r="E1001" s="50"/>
    </row>
    <row r="1002" spans="1:5" x14ac:dyDescent="0.25">
      <c r="A1002" t="str">
        <f t="shared" si="15"/>
        <v/>
      </c>
      <c r="C1002" s="48"/>
      <c r="D1002" s="50"/>
      <c r="E1002" s="50"/>
    </row>
    <row r="1003" spans="1:5" x14ac:dyDescent="0.25">
      <c r="A1003" t="str">
        <f t="shared" si="15"/>
        <v/>
      </c>
      <c r="C1003" s="48"/>
      <c r="D1003" s="50"/>
      <c r="E1003" s="50"/>
    </row>
    <row r="1004" spans="1:5" x14ac:dyDescent="0.25">
      <c r="A1004" t="str">
        <f t="shared" si="15"/>
        <v/>
      </c>
      <c r="C1004" s="48"/>
      <c r="D1004" s="50"/>
      <c r="E1004" s="50"/>
    </row>
    <row r="1005" spans="1:5" x14ac:dyDescent="0.25">
      <c r="A1005" t="str">
        <f t="shared" si="15"/>
        <v/>
      </c>
      <c r="C1005" s="48"/>
      <c r="D1005" s="50"/>
      <c r="E1005" s="50"/>
    </row>
    <row r="1006" spans="1:5" x14ac:dyDescent="0.25">
      <c r="A1006" t="str">
        <f t="shared" si="15"/>
        <v/>
      </c>
      <c r="C1006" s="48"/>
      <c r="D1006" s="50"/>
      <c r="E1006" s="50"/>
    </row>
    <row r="1007" spans="1:5" x14ac:dyDescent="0.25">
      <c r="A1007" t="str">
        <f t="shared" si="15"/>
        <v/>
      </c>
      <c r="C1007" s="48"/>
      <c r="E1007" s="50"/>
    </row>
    <row r="1008" spans="1:5" x14ac:dyDescent="0.25">
      <c r="A1008" t="str">
        <f t="shared" si="15"/>
        <v/>
      </c>
      <c r="C1008" s="48"/>
      <c r="E1008" s="50"/>
    </row>
    <row r="1009" spans="1:5" x14ac:dyDescent="0.25">
      <c r="A1009" t="str">
        <f t="shared" si="15"/>
        <v/>
      </c>
    </row>
    <row r="1010" spans="1:5" x14ac:dyDescent="0.25">
      <c r="A1010" t="str">
        <f t="shared" si="15"/>
        <v/>
      </c>
      <c r="E1010" s="47"/>
    </row>
    <row r="1011" spans="1:5" x14ac:dyDescent="0.25">
      <c r="A1011" t="str">
        <f t="shared" si="15"/>
        <v/>
      </c>
      <c r="E1011" s="47"/>
    </row>
    <row r="1012" spans="1:5" x14ac:dyDescent="0.25">
      <c r="A1012" t="str">
        <f t="shared" si="15"/>
        <v/>
      </c>
      <c r="E1012" s="47"/>
    </row>
    <row r="1013" spans="1:5" x14ac:dyDescent="0.25">
      <c r="A1013" t="str">
        <f t="shared" si="15"/>
        <v/>
      </c>
      <c r="E1013" s="47"/>
    </row>
    <row r="1014" spans="1:5" x14ac:dyDescent="0.25">
      <c r="A1014" t="str">
        <f t="shared" si="15"/>
        <v/>
      </c>
      <c r="E1014" s="47"/>
    </row>
    <row r="1015" spans="1:5" x14ac:dyDescent="0.25">
      <c r="A1015" t="str">
        <f t="shared" si="15"/>
        <v/>
      </c>
      <c r="E1015" s="47"/>
    </row>
    <row r="1016" spans="1:5" x14ac:dyDescent="0.25">
      <c r="A1016" t="str">
        <f t="shared" si="15"/>
        <v/>
      </c>
      <c r="E1016" s="47"/>
    </row>
    <row r="1017" spans="1:5" x14ac:dyDescent="0.25">
      <c r="A1017" t="str">
        <f t="shared" si="15"/>
        <v/>
      </c>
      <c r="E1017" s="47"/>
    </row>
    <row r="1018" spans="1:5" x14ac:dyDescent="0.25">
      <c r="A1018" t="str">
        <f t="shared" si="15"/>
        <v/>
      </c>
      <c r="E1018" s="47"/>
    </row>
    <row r="1019" spans="1:5" x14ac:dyDescent="0.25">
      <c r="A1019" t="str">
        <f t="shared" si="15"/>
        <v/>
      </c>
      <c r="E1019" s="47"/>
    </row>
    <row r="1020" spans="1:5" x14ac:dyDescent="0.25">
      <c r="A1020" t="str">
        <f t="shared" si="15"/>
        <v/>
      </c>
      <c r="E1020" s="47"/>
    </row>
    <row r="1021" spans="1:5" x14ac:dyDescent="0.25">
      <c r="A1021" t="str">
        <f t="shared" si="15"/>
        <v/>
      </c>
      <c r="E1021" s="47"/>
    </row>
    <row r="1022" spans="1:5" x14ac:dyDescent="0.25">
      <c r="A1022" t="str">
        <f t="shared" si="15"/>
        <v/>
      </c>
      <c r="E1022" s="47"/>
    </row>
    <row r="1023" spans="1:5" x14ac:dyDescent="0.25">
      <c r="A1023" t="str">
        <f t="shared" si="15"/>
        <v/>
      </c>
      <c r="E1023" s="47"/>
    </row>
    <row r="1024" spans="1:5" x14ac:dyDescent="0.25">
      <c r="A1024" t="str">
        <f t="shared" si="15"/>
        <v/>
      </c>
      <c r="E1024" s="47"/>
    </row>
    <row r="1025" spans="1:5" x14ac:dyDescent="0.25">
      <c r="A1025" t="str">
        <f t="shared" si="15"/>
        <v/>
      </c>
      <c r="C1025" s="48"/>
      <c r="D1025" s="49"/>
      <c r="E1025" s="50"/>
    </row>
    <row r="1026" spans="1:5" x14ac:dyDescent="0.25">
      <c r="A1026" t="str">
        <f t="shared" ref="A1026:A1089" si="16">CONCATENATE(B1026, C1026, D1026)</f>
        <v/>
      </c>
      <c r="C1026" s="48"/>
      <c r="D1026" s="49"/>
      <c r="E1026" s="50"/>
    </row>
    <row r="1027" spans="1:5" x14ac:dyDescent="0.25">
      <c r="A1027" t="str">
        <f t="shared" si="16"/>
        <v/>
      </c>
      <c r="C1027" s="48"/>
      <c r="D1027" s="49"/>
      <c r="E1027" s="50"/>
    </row>
    <row r="1028" spans="1:5" x14ac:dyDescent="0.25">
      <c r="A1028" t="str">
        <f t="shared" si="16"/>
        <v/>
      </c>
      <c r="C1028" s="48"/>
      <c r="D1028" s="49"/>
      <c r="E1028" s="50"/>
    </row>
    <row r="1029" spans="1:5" x14ac:dyDescent="0.25">
      <c r="A1029" t="str">
        <f t="shared" si="16"/>
        <v/>
      </c>
      <c r="C1029" s="48"/>
      <c r="D1029" s="49"/>
      <c r="E1029" s="50"/>
    </row>
    <row r="1030" spans="1:5" x14ac:dyDescent="0.25">
      <c r="A1030" t="str">
        <f t="shared" si="16"/>
        <v/>
      </c>
      <c r="C1030" s="48"/>
      <c r="D1030" s="49"/>
      <c r="E1030" s="50"/>
    </row>
    <row r="1031" spans="1:5" x14ac:dyDescent="0.25">
      <c r="A1031" t="str">
        <f t="shared" si="16"/>
        <v/>
      </c>
      <c r="C1031" s="48"/>
      <c r="D1031" s="49"/>
      <c r="E1031" s="50"/>
    </row>
    <row r="1032" spans="1:5" x14ac:dyDescent="0.25">
      <c r="A1032" t="str">
        <f t="shared" si="16"/>
        <v/>
      </c>
      <c r="C1032" s="48"/>
      <c r="D1032" s="49"/>
      <c r="E1032" s="50"/>
    </row>
    <row r="1033" spans="1:5" x14ac:dyDescent="0.25">
      <c r="A1033" t="str">
        <f t="shared" si="16"/>
        <v/>
      </c>
      <c r="C1033" s="48"/>
      <c r="D1033" s="49"/>
      <c r="E1033" s="50"/>
    </row>
    <row r="1034" spans="1:5" x14ac:dyDescent="0.25">
      <c r="A1034" t="str">
        <f t="shared" si="16"/>
        <v/>
      </c>
      <c r="C1034" s="48"/>
      <c r="D1034" s="49"/>
      <c r="E1034" s="50"/>
    </row>
    <row r="1035" spans="1:5" x14ac:dyDescent="0.25">
      <c r="A1035" t="str">
        <f t="shared" si="16"/>
        <v/>
      </c>
      <c r="C1035" s="48"/>
      <c r="D1035" s="49"/>
      <c r="E1035" s="50"/>
    </row>
    <row r="1036" spans="1:5" x14ac:dyDescent="0.25">
      <c r="A1036" t="str">
        <f t="shared" si="16"/>
        <v/>
      </c>
      <c r="C1036" s="48"/>
      <c r="D1036" s="49"/>
      <c r="E1036" s="50"/>
    </row>
    <row r="1037" spans="1:5" x14ac:dyDescent="0.25">
      <c r="A1037" t="str">
        <f t="shared" si="16"/>
        <v/>
      </c>
      <c r="C1037" s="48"/>
      <c r="D1037" s="49"/>
      <c r="E1037" s="50"/>
    </row>
    <row r="1038" spans="1:5" x14ac:dyDescent="0.25">
      <c r="A1038" t="str">
        <f t="shared" si="16"/>
        <v/>
      </c>
      <c r="C1038" s="48"/>
      <c r="D1038" s="49"/>
      <c r="E1038" s="50"/>
    </row>
    <row r="1039" spans="1:5" x14ac:dyDescent="0.25">
      <c r="A1039" t="str">
        <f t="shared" si="16"/>
        <v/>
      </c>
      <c r="C1039" s="48"/>
      <c r="D1039" s="49"/>
      <c r="E1039" s="50"/>
    </row>
    <row r="1040" spans="1:5" x14ac:dyDescent="0.25">
      <c r="A1040" t="str">
        <f t="shared" si="16"/>
        <v/>
      </c>
      <c r="C1040" s="48"/>
      <c r="D1040" s="49"/>
      <c r="E1040" s="50"/>
    </row>
    <row r="1041" spans="1:5" x14ac:dyDescent="0.25">
      <c r="A1041" t="str">
        <f t="shared" si="16"/>
        <v/>
      </c>
      <c r="C1041" s="48"/>
      <c r="D1041" s="49"/>
      <c r="E1041" s="50"/>
    </row>
    <row r="1042" spans="1:5" x14ac:dyDescent="0.25">
      <c r="A1042" t="str">
        <f t="shared" si="16"/>
        <v/>
      </c>
      <c r="C1042" s="48"/>
      <c r="D1042" s="49"/>
      <c r="E1042" s="50"/>
    </row>
    <row r="1043" spans="1:5" x14ac:dyDescent="0.25">
      <c r="A1043" t="str">
        <f t="shared" si="16"/>
        <v/>
      </c>
      <c r="C1043" s="48"/>
      <c r="D1043" s="49"/>
      <c r="E1043" s="50"/>
    </row>
    <row r="1044" spans="1:5" x14ac:dyDescent="0.25">
      <c r="A1044" t="str">
        <f t="shared" si="16"/>
        <v/>
      </c>
      <c r="C1044" s="48"/>
      <c r="D1044" s="49"/>
      <c r="E1044" s="50"/>
    </row>
    <row r="1045" spans="1:5" x14ac:dyDescent="0.25">
      <c r="A1045" t="str">
        <f t="shared" si="16"/>
        <v/>
      </c>
      <c r="C1045" s="48"/>
      <c r="D1045" s="49"/>
      <c r="E1045" s="50"/>
    </row>
    <row r="1046" spans="1:5" x14ac:dyDescent="0.25">
      <c r="A1046" t="str">
        <f t="shared" si="16"/>
        <v/>
      </c>
      <c r="C1046" s="48"/>
      <c r="D1046" s="49"/>
      <c r="E1046" s="50"/>
    </row>
    <row r="1047" spans="1:5" x14ac:dyDescent="0.25">
      <c r="A1047" t="str">
        <f t="shared" si="16"/>
        <v/>
      </c>
      <c r="C1047" s="48"/>
      <c r="D1047" s="49"/>
      <c r="E1047" s="50"/>
    </row>
    <row r="1048" spans="1:5" x14ac:dyDescent="0.25">
      <c r="A1048" t="str">
        <f t="shared" si="16"/>
        <v/>
      </c>
      <c r="C1048" s="48"/>
      <c r="D1048" s="49"/>
      <c r="E1048" s="50"/>
    </row>
    <row r="1049" spans="1:5" x14ac:dyDescent="0.25">
      <c r="A1049" t="str">
        <f t="shared" si="16"/>
        <v/>
      </c>
      <c r="C1049" s="48"/>
      <c r="D1049" s="49"/>
      <c r="E1049" s="50"/>
    </row>
    <row r="1050" spans="1:5" x14ac:dyDescent="0.25">
      <c r="A1050" t="str">
        <f t="shared" si="16"/>
        <v/>
      </c>
      <c r="C1050" s="48"/>
      <c r="D1050" s="49"/>
      <c r="E1050" s="50"/>
    </row>
    <row r="1051" spans="1:5" x14ac:dyDescent="0.25">
      <c r="A1051" t="str">
        <f t="shared" si="16"/>
        <v/>
      </c>
      <c r="C1051" s="48"/>
      <c r="D1051" s="49"/>
      <c r="E1051" s="50"/>
    </row>
    <row r="1052" spans="1:5" x14ac:dyDescent="0.25">
      <c r="A1052" t="str">
        <f t="shared" si="16"/>
        <v/>
      </c>
      <c r="C1052" s="48"/>
      <c r="D1052" s="49"/>
      <c r="E1052" s="50"/>
    </row>
    <row r="1053" spans="1:5" x14ac:dyDescent="0.25">
      <c r="A1053" t="str">
        <f t="shared" si="16"/>
        <v/>
      </c>
      <c r="C1053" s="48"/>
      <c r="D1053" s="49"/>
      <c r="E1053" s="50"/>
    </row>
    <row r="1054" spans="1:5" x14ac:dyDescent="0.25">
      <c r="A1054" t="str">
        <f t="shared" si="16"/>
        <v/>
      </c>
      <c r="C1054" s="48"/>
      <c r="D1054" s="49"/>
      <c r="E1054" s="50"/>
    </row>
    <row r="1055" spans="1:5" x14ac:dyDescent="0.25">
      <c r="A1055" t="str">
        <f t="shared" si="16"/>
        <v/>
      </c>
      <c r="C1055" s="48"/>
      <c r="D1055" s="49"/>
      <c r="E1055" s="50"/>
    </row>
    <row r="1056" spans="1:5" x14ac:dyDescent="0.25">
      <c r="A1056" t="str">
        <f t="shared" si="16"/>
        <v/>
      </c>
      <c r="C1056" s="48"/>
      <c r="D1056" s="49"/>
      <c r="E1056" s="50"/>
    </row>
    <row r="1057" spans="1:5" x14ac:dyDescent="0.25">
      <c r="A1057" t="str">
        <f t="shared" si="16"/>
        <v/>
      </c>
      <c r="C1057" s="48"/>
      <c r="D1057" s="49"/>
      <c r="E1057" s="50"/>
    </row>
    <row r="1058" spans="1:5" x14ac:dyDescent="0.25">
      <c r="A1058" t="str">
        <f t="shared" si="16"/>
        <v/>
      </c>
      <c r="C1058" s="48"/>
      <c r="D1058" s="49"/>
      <c r="E1058" s="50"/>
    </row>
    <row r="1059" spans="1:5" x14ac:dyDescent="0.25">
      <c r="A1059" t="str">
        <f t="shared" si="16"/>
        <v/>
      </c>
      <c r="C1059" s="48"/>
      <c r="D1059" s="49"/>
      <c r="E1059" s="50"/>
    </row>
    <row r="1060" spans="1:5" x14ac:dyDescent="0.25">
      <c r="A1060" t="str">
        <f t="shared" si="16"/>
        <v/>
      </c>
      <c r="C1060" s="48"/>
      <c r="D1060" s="49"/>
      <c r="E1060" s="50"/>
    </row>
    <row r="1061" spans="1:5" x14ac:dyDescent="0.25">
      <c r="A1061" t="str">
        <f t="shared" si="16"/>
        <v/>
      </c>
      <c r="C1061" s="48"/>
      <c r="D1061" s="49"/>
      <c r="E1061" s="50"/>
    </row>
    <row r="1062" spans="1:5" x14ac:dyDescent="0.25">
      <c r="A1062" t="str">
        <f t="shared" si="16"/>
        <v/>
      </c>
      <c r="C1062" s="48"/>
      <c r="D1062" s="49"/>
      <c r="E1062" s="50"/>
    </row>
    <row r="1063" spans="1:5" x14ac:dyDescent="0.25">
      <c r="A1063" t="str">
        <f t="shared" si="16"/>
        <v/>
      </c>
      <c r="C1063" s="48"/>
      <c r="D1063" s="49"/>
      <c r="E1063" s="50"/>
    </row>
    <row r="1064" spans="1:5" x14ac:dyDescent="0.25">
      <c r="A1064" t="str">
        <f t="shared" si="16"/>
        <v/>
      </c>
      <c r="C1064" s="48"/>
      <c r="D1064" s="49"/>
      <c r="E1064" s="50"/>
    </row>
    <row r="1065" spans="1:5" x14ac:dyDescent="0.25">
      <c r="A1065" t="str">
        <f t="shared" si="16"/>
        <v/>
      </c>
      <c r="C1065" s="48"/>
      <c r="D1065" s="49"/>
      <c r="E1065" s="50"/>
    </row>
    <row r="1066" spans="1:5" x14ac:dyDescent="0.25">
      <c r="A1066" t="str">
        <f t="shared" si="16"/>
        <v/>
      </c>
      <c r="C1066" s="48"/>
      <c r="D1066" s="49"/>
      <c r="E1066" s="50"/>
    </row>
    <row r="1067" spans="1:5" x14ac:dyDescent="0.25">
      <c r="A1067" t="str">
        <f t="shared" si="16"/>
        <v/>
      </c>
      <c r="C1067" s="48"/>
      <c r="D1067" s="49"/>
      <c r="E1067" s="50"/>
    </row>
    <row r="1068" spans="1:5" x14ac:dyDescent="0.25">
      <c r="A1068" t="str">
        <f t="shared" si="16"/>
        <v/>
      </c>
      <c r="C1068" s="48"/>
      <c r="D1068" s="49"/>
      <c r="E1068" s="50"/>
    </row>
    <row r="1069" spans="1:5" x14ac:dyDescent="0.25">
      <c r="A1069" t="str">
        <f t="shared" si="16"/>
        <v/>
      </c>
      <c r="C1069" s="48"/>
      <c r="D1069" s="49"/>
      <c r="E1069" s="50"/>
    </row>
    <row r="1070" spans="1:5" x14ac:dyDescent="0.25">
      <c r="A1070" t="str">
        <f t="shared" si="16"/>
        <v/>
      </c>
      <c r="C1070" s="48"/>
      <c r="D1070" s="49"/>
      <c r="E1070" s="50"/>
    </row>
    <row r="1071" spans="1:5" x14ac:dyDescent="0.25">
      <c r="A1071" t="str">
        <f t="shared" si="16"/>
        <v/>
      </c>
      <c r="C1071" s="48"/>
      <c r="D1071" s="49"/>
      <c r="E1071" s="50"/>
    </row>
    <row r="1072" spans="1:5" x14ac:dyDescent="0.25">
      <c r="A1072" t="str">
        <f t="shared" si="16"/>
        <v/>
      </c>
      <c r="C1072" s="48"/>
      <c r="D1072" s="49"/>
      <c r="E1072" s="50"/>
    </row>
    <row r="1073" spans="1:5" x14ac:dyDescent="0.25">
      <c r="A1073" t="str">
        <f t="shared" si="16"/>
        <v/>
      </c>
      <c r="C1073" s="48"/>
      <c r="D1073" s="49"/>
      <c r="E1073" s="50"/>
    </row>
    <row r="1074" spans="1:5" x14ac:dyDescent="0.25">
      <c r="A1074" t="str">
        <f t="shared" si="16"/>
        <v/>
      </c>
      <c r="C1074" s="48"/>
      <c r="D1074" s="49"/>
      <c r="E1074" s="50"/>
    </row>
    <row r="1075" spans="1:5" x14ac:dyDescent="0.25">
      <c r="A1075" t="str">
        <f t="shared" si="16"/>
        <v/>
      </c>
      <c r="C1075" s="48"/>
      <c r="D1075" s="49"/>
      <c r="E1075" s="50"/>
    </row>
    <row r="1076" spans="1:5" x14ac:dyDescent="0.25">
      <c r="A1076" t="str">
        <f t="shared" si="16"/>
        <v/>
      </c>
      <c r="C1076" s="48"/>
      <c r="D1076" s="49"/>
      <c r="E1076" s="50"/>
    </row>
    <row r="1077" spans="1:5" x14ac:dyDescent="0.25">
      <c r="A1077" t="str">
        <f t="shared" si="16"/>
        <v/>
      </c>
      <c r="C1077" s="48"/>
      <c r="D1077" s="49"/>
      <c r="E1077" s="50"/>
    </row>
    <row r="1078" spans="1:5" x14ac:dyDescent="0.25">
      <c r="A1078" t="str">
        <f t="shared" si="16"/>
        <v/>
      </c>
      <c r="C1078" s="48"/>
      <c r="D1078" s="49"/>
      <c r="E1078" s="50"/>
    </row>
    <row r="1079" spans="1:5" x14ac:dyDescent="0.25">
      <c r="A1079" t="str">
        <f t="shared" si="16"/>
        <v/>
      </c>
      <c r="C1079" s="48"/>
      <c r="D1079" s="49"/>
      <c r="E1079" s="50"/>
    </row>
    <row r="1080" spans="1:5" x14ac:dyDescent="0.25">
      <c r="A1080" t="str">
        <f t="shared" si="16"/>
        <v/>
      </c>
      <c r="C1080" s="48"/>
      <c r="D1080" s="49"/>
      <c r="E1080" s="50"/>
    </row>
    <row r="1081" spans="1:5" x14ac:dyDescent="0.25">
      <c r="A1081" t="str">
        <f t="shared" si="16"/>
        <v/>
      </c>
      <c r="C1081" s="48"/>
      <c r="D1081" s="49"/>
      <c r="E1081" s="50"/>
    </row>
    <row r="1082" spans="1:5" x14ac:dyDescent="0.25">
      <c r="A1082" t="str">
        <f t="shared" si="16"/>
        <v/>
      </c>
      <c r="C1082" s="48"/>
      <c r="D1082" s="49"/>
      <c r="E1082" s="50"/>
    </row>
    <row r="1083" spans="1:5" x14ac:dyDescent="0.25">
      <c r="A1083" t="str">
        <f t="shared" si="16"/>
        <v/>
      </c>
      <c r="C1083" s="48"/>
      <c r="D1083" s="49"/>
      <c r="E1083" s="50"/>
    </row>
    <row r="1084" spans="1:5" x14ac:dyDescent="0.25">
      <c r="A1084" t="str">
        <f t="shared" si="16"/>
        <v/>
      </c>
      <c r="C1084" s="48"/>
      <c r="D1084" s="49"/>
      <c r="E1084" s="50"/>
    </row>
    <row r="1085" spans="1:5" x14ac:dyDescent="0.25">
      <c r="A1085" t="str">
        <f t="shared" si="16"/>
        <v/>
      </c>
      <c r="C1085" s="48"/>
      <c r="D1085" s="49"/>
      <c r="E1085" s="50"/>
    </row>
    <row r="1086" spans="1:5" x14ac:dyDescent="0.25">
      <c r="A1086" t="str">
        <f t="shared" si="16"/>
        <v/>
      </c>
      <c r="C1086" s="48"/>
      <c r="D1086" s="49"/>
      <c r="E1086" s="50"/>
    </row>
    <row r="1087" spans="1:5" x14ac:dyDescent="0.25">
      <c r="A1087" t="str">
        <f t="shared" si="16"/>
        <v/>
      </c>
      <c r="C1087" s="48"/>
      <c r="D1087" s="49"/>
      <c r="E1087" s="50"/>
    </row>
    <row r="1088" spans="1:5" x14ac:dyDescent="0.25">
      <c r="A1088" t="str">
        <f t="shared" si="16"/>
        <v/>
      </c>
      <c r="C1088" s="48"/>
      <c r="D1088" s="51"/>
      <c r="E1088" s="50"/>
    </row>
    <row r="1089" spans="1:5" x14ac:dyDescent="0.25">
      <c r="A1089" t="str">
        <f t="shared" si="16"/>
        <v/>
      </c>
      <c r="C1089" s="48"/>
      <c r="D1089" s="49"/>
      <c r="E1089" s="50"/>
    </row>
    <row r="1090" spans="1:5" x14ac:dyDescent="0.25">
      <c r="A1090" t="str">
        <f t="shared" ref="A1090:A1153" si="17">CONCATENATE(B1090, C1090, D1090)</f>
        <v/>
      </c>
      <c r="C1090" s="48"/>
      <c r="D1090" s="49"/>
      <c r="E1090" s="50"/>
    </row>
    <row r="1091" spans="1:5" x14ac:dyDescent="0.25">
      <c r="A1091" t="str">
        <f t="shared" si="17"/>
        <v/>
      </c>
      <c r="C1091" s="48"/>
      <c r="D1091" s="51"/>
      <c r="E1091" s="50"/>
    </row>
    <row r="1092" spans="1:5" x14ac:dyDescent="0.25">
      <c r="A1092" t="str">
        <f t="shared" si="17"/>
        <v/>
      </c>
      <c r="C1092" s="48"/>
      <c r="D1092" s="49"/>
      <c r="E1092" s="50"/>
    </row>
    <row r="1093" spans="1:5" x14ac:dyDescent="0.25">
      <c r="A1093" t="str">
        <f t="shared" si="17"/>
        <v/>
      </c>
      <c r="C1093" s="48"/>
      <c r="D1093" s="49"/>
      <c r="E1093" s="50"/>
    </row>
    <row r="1094" spans="1:5" x14ac:dyDescent="0.25">
      <c r="A1094" t="str">
        <f t="shared" si="17"/>
        <v/>
      </c>
      <c r="C1094" s="48"/>
      <c r="D1094" s="51"/>
      <c r="E1094" s="50"/>
    </row>
    <row r="1095" spans="1:5" x14ac:dyDescent="0.25">
      <c r="A1095" t="str">
        <f t="shared" si="17"/>
        <v/>
      </c>
      <c r="C1095" s="48"/>
      <c r="D1095" s="49"/>
      <c r="E1095" s="50"/>
    </row>
    <row r="1096" spans="1:5" x14ac:dyDescent="0.25">
      <c r="A1096" t="str">
        <f t="shared" si="17"/>
        <v/>
      </c>
      <c r="C1096" s="48"/>
      <c r="D1096" s="49"/>
      <c r="E1096" s="50"/>
    </row>
    <row r="1097" spans="1:5" x14ac:dyDescent="0.25">
      <c r="A1097" t="str">
        <f t="shared" si="17"/>
        <v/>
      </c>
      <c r="C1097" s="48"/>
      <c r="D1097" s="49"/>
      <c r="E1097" s="50"/>
    </row>
    <row r="1098" spans="1:5" x14ac:dyDescent="0.25">
      <c r="A1098" t="str">
        <f t="shared" si="17"/>
        <v/>
      </c>
      <c r="C1098" s="48"/>
      <c r="D1098" s="49"/>
      <c r="E1098" s="50"/>
    </row>
    <row r="1099" spans="1:5" x14ac:dyDescent="0.25">
      <c r="A1099" t="str">
        <f t="shared" si="17"/>
        <v/>
      </c>
      <c r="C1099" s="48"/>
      <c r="D1099" s="49"/>
      <c r="E1099" s="50"/>
    </row>
    <row r="1100" spans="1:5" x14ac:dyDescent="0.25">
      <c r="A1100" t="str">
        <f t="shared" si="17"/>
        <v/>
      </c>
      <c r="C1100" s="48"/>
      <c r="D1100" s="49"/>
      <c r="E1100" s="50"/>
    </row>
    <row r="1101" spans="1:5" x14ac:dyDescent="0.25">
      <c r="A1101" t="str">
        <f t="shared" si="17"/>
        <v/>
      </c>
      <c r="C1101" s="48"/>
      <c r="D1101" s="51"/>
      <c r="E1101" s="50"/>
    </row>
    <row r="1102" spans="1:5" x14ac:dyDescent="0.25">
      <c r="A1102" t="str">
        <f t="shared" si="17"/>
        <v/>
      </c>
      <c r="C1102" s="48"/>
      <c r="D1102" s="49"/>
      <c r="E1102" s="50"/>
    </row>
    <row r="1103" spans="1:5" x14ac:dyDescent="0.25">
      <c r="A1103" t="str">
        <f t="shared" si="17"/>
        <v/>
      </c>
      <c r="C1103" s="48"/>
      <c r="D1103" s="49"/>
      <c r="E1103" s="50"/>
    </row>
    <row r="1104" spans="1:5" x14ac:dyDescent="0.25">
      <c r="A1104" t="str">
        <f t="shared" si="17"/>
        <v/>
      </c>
      <c r="C1104" s="48"/>
      <c r="D1104" s="51"/>
      <c r="E1104" s="50"/>
    </row>
    <row r="1105" spans="1:5" x14ac:dyDescent="0.25">
      <c r="A1105" t="str">
        <f t="shared" si="17"/>
        <v/>
      </c>
      <c r="C1105" s="48"/>
      <c r="D1105" s="49"/>
      <c r="E1105" s="50"/>
    </row>
    <row r="1106" spans="1:5" x14ac:dyDescent="0.25">
      <c r="A1106" t="str">
        <f t="shared" si="17"/>
        <v/>
      </c>
      <c r="C1106" s="48"/>
      <c r="D1106" s="48"/>
      <c r="E1106" s="50"/>
    </row>
    <row r="1107" spans="1:5" x14ac:dyDescent="0.25">
      <c r="A1107" t="str">
        <f t="shared" si="17"/>
        <v/>
      </c>
      <c r="C1107" s="48"/>
      <c r="D1107" s="49"/>
      <c r="E1107" s="50"/>
    </row>
    <row r="1108" spans="1:5" x14ac:dyDescent="0.25">
      <c r="A1108" t="str">
        <f t="shared" si="17"/>
        <v/>
      </c>
      <c r="C1108" s="48"/>
      <c r="D1108" s="49"/>
      <c r="E1108" s="50"/>
    </row>
    <row r="1109" spans="1:5" x14ac:dyDescent="0.25">
      <c r="A1109" t="str">
        <f t="shared" si="17"/>
        <v/>
      </c>
      <c r="C1109" s="48"/>
      <c r="D1109" s="48"/>
      <c r="E1109" s="50"/>
    </row>
    <row r="1110" spans="1:5" x14ac:dyDescent="0.25">
      <c r="A1110" t="str">
        <f t="shared" si="17"/>
        <v/>
      </c>
      <c r="C1110" s="48"/>
      <c r="D1110" s="48"/>
      <c r="E1110" s="50"/>
    </row>
    <row r="1111" spans="1:5" x14ac:dyDescent="0.25">
      <c r="A1111" t="str">
        <f t="shared" si="17"/>
        <v/>
      </c>
      <c r="C1111" s="48"/>
      <c r="D1111" s="48"/>
      <c r="E1111" s="50"/>
    </row>
    <row r="1112" spans="1:5" x14ac:dyDescent="0.25">
      <c r="A1112" t="str">
        <f t="shared" si="17"/>
        <v/>
      </c>
      <c r="C1112" s="48"/>
      <c r="E1112" s="50"/>
    </row>
    <row r="1113" spans="1:5" x14ac:dyDescent="0.25">
      <c r="A1113" t="str">
        <f t="shared" si="17"/>
        <v/>
      </c>
      <c r="C1113" s="48"/>
      <c r="D1113" s="50"/>
      <c r="E1113" s="50"/>
    </row>
    <row r="1114" spans="1:5" x14ac:dyDescent="0.25">
      <c r="A1114" t="str">
        <f t="shared" si="17"/>
        <v/>
      </c>
      <c r="C1114" s="48"/>
      <c r="D1114" s="50"/>
      <c r="E1114" s="50"/>
    </row>
    <row r="1115" spans="1:5" x14ac:dyDescent="0.25">
      <c r="A1115" t="str">
        <f t="shared" si="17"/>
        <v/>
      </c>
      <c r="C1115" s="48"/>
      <c r="D1115" s="50"/>
      <c r="E1115" s="50"/>
    </row>
    <row r="1116" spans="1:5" x14ac:dyDescent="0.25">
      <c r="A1116" t="str">
        <f t="shared" si="17"/>
        <v/>
      </c>
      <c r="C1116" s="48"/>
      <c r="D1116" s="50"/>
      <c r="E1116" s="50"/>
    </row>
    <row r="1117" spans="1:5" x14ac:dyDescent="0.25">
      <c r="A1117" t="str">
        <f t="shared" si="17"/>
        <v/>
      </c>
      <c r="C1117" s="48"/>
      <c r="D1117" s="50"/>
      <c r="E1117" s="50"/>
    </row>
    <row r="1118" spans="1:5" x14ac:dyDescent="0.25">
      <c r="A1118" t="str">
        <f t="shared" si="17"/>
        <v/>
      </c>
      <c r="C1118" s="48"/>
      <c r="D1118" s="50"/>
      <c r="E1118" s="50"/>
    </row>
    <row r="1119" spans="1:5" x14ac:dyDescent="0.25">
      <c r="A1119" t="str">
        <f t="shared" si="17"/>
        <v/>
      </c>
      <c r="C1119" s="48"/>
      <c r="E1119" s="50"/>
    </row>
    <row r="1120" spans="1:5" x14ac:dyDescent="0.25">
      <c r="A1120" t="str">
        <f t="shared" si="17"/>
        <v/>
      </c>
      <c r="C1120" s="48"/>
      <c r="E1120" s="50"/>
    </row>
    <row r="1121" spans="1:1" x14ac:dyDescent="0.25">
      <c r="A1121" t="str">
        <f t="shared" si="17"/>
        <v/>
      </c>
    </row>
    <row r="1122" spans="1:1" x14ac:dyDescent="0.25">
      <c r="A1122" t="str">
        <f t="shared" si="17"/>
        <v/>
      </c>
    </row>
    <row r="1123" spans="1:1" x14ac:dyDescent="0.25">
      <c r="A1123" t="str">
        <f t="shared" si="17"/>
        <v/>
      </c>
    </row>
    <row r="1124" spans="1:1" x14ac:dyDescent="0.25">
      <c r="A1124" t="str">
        <f t="shared" si="17"/>
        <v/>
      </c>
    </row>
    <row r="1125" spans="1:1" x14ac:dyDescent="0.25">
      <c r="A1125" t="str">
        <f t="shared" si="17"/>
        <v/>
      </c>
    </row>
    <row r="1126" spans="1:1" x14ac:dyDescent="0.25">
      <c r="A1126" t="str">
        <f t="shared" si="17"/>
        <v/>
      </c>
    </row>
    <row r="1127" spans="1:1" x14ac:dyDescent="0.25">
      <c r="A1127" t="str">
        <f t="shared" si="17"/>
        <v/>
      </c>
    </row>
    <row r="1128" spans="1:1" x14ac:dyDescent="0.25">
      <c r="A1128" t="str">
        <f t="shared" si="17"/>
        <v/>
      </c>
    </row>
    <row r="1129" spans="1:1" x14ac:dyDescent="0.25">
      <c r="A1129" t="str">
        <f t="shared" si="17"/>
        <v/>
      </c>
    </row>
    <row r="1130" spans="1:1" x14ac:dyDescent="0.25">
      <c r="A1130" t="str">
        <f t="shared" si="17"/>
        <v/>
      </c>
    </row>
    <row r="1131" spans="1:1" x14ac:dyDescent="0.25">
      <c r="A1131" t="str">
        <f t="shared" si="17"/>
        <v/>
      </c>
    </row>
    <row r="1132" spans="1:1" x14ac:dyDescent="0.25">
      <c r="A1132" t="str">
        <f t="shared" si="17"/>
        <v/>
      </c>
    </row>
    <row r="1133" spans="1:1" x14ac:dyDescent="0.25">
      <c r="A1133" t="str">
        <f t="shared" si="17"/>
        <v/>
      </c>
    </row>
    <row r="1134" spans="1:1" x14ac:dyDescent="0.25">
      <c r="A1134" t="str">
        <f t="shared" si="17"/>
        <v/>
      </c>
    </row>
    <row r="1135" spans="1:1" x14ac:dyDescent="0.25">
      <c r="A1135" t="str">
        <f t="shared" si="17"/>
        <v/>
      </c>
    </row>
    <row r="1136" spans="1:1" x14ac:dyDescent="0.25">
      <c r="A1136" t="str">
        <f t="shared" si="17"/>
        <v/>
      </c>
    </row>
    <row r="1137" spans="1:1" x14ac:dyDescent="0.25">
      <c r="A1137" t="str">
        <f t="shared" si="17"/>
        <v/>
      </c>
    </row>
    <row r="1138" spans="1:1" x14ac:dyDescent="0.25">
      <c r="A1138" t="str">
        <f t="shared" si="17"/>
        <v/>
      </c>
    </row>
    <row r="1139" spans="1:1" x14ac:dyDescent="0.25">
      <c r="A1139" t="str">
        <f t="shared" si="17"/>
        <v/>
      </c>
    </row>
    <row r="1140" spans="1:1" x14ac:dyDescent="0.25">
      <c r="A1140" t="str">
        <f t="shared" si="17"/>
        <v/>
      </c>
    </row>
    <row r="1141" spans="1:1" x14ac:dyDescent="0.25">
      <c r="A1141" t="str">
        <f t="shared" si="17"/>
        <v/>
      </c>
    </row>
    <row r="1142" spans="1:1" x14ac:dyDescent="0.25">
      <c r="A1142" t="str">
        <f t="shared" si="17"/>
        <v/>
      </c>
    </row>
    <row r="1143" spans="1:1" x14ac:dyDescent="0.25">
      <c r="A1143" t="str">
        <f t="shared" si="17"/>
        <v/>
      </c>
    </row>
    <row r="1144" spans="1:1" x14ac:dyDescent="0.25">
      <c r="A1144" t="str">
        <f t="shared" si="17"/>
        <v/>
      </c>
    </row>
    <row r="1145" spans="1:1" x14ac:dyDescent="0.25">
      <c r="A1145" t="str">
        <f t="shared" si="17"/>
        <v/>
      </c>
    </row>
    <row r="1146" spans="1:1" x14ac:dyDescent="0.25">
      <c r="A1146" t="str">
        <f t="shared" si="17"/>
        <v/>
      </c>
    </row>
    <row r="1147" spans="1:1" x14ac:dyDescent="0.25">
      <c r="A1147" t="str">
        <f t="shared" si="17"/>
        <v/>
      </c>
    </row>
    <row r="1148" spans="1:1" x14ac:dyDescent="0.25">
      <c r="A1148" t="str">
        <f t="shared" si="17"/>
        <v/>
      </c>
    </row>
    <row r="1149" spans="1:1" x14ac:dyDescent="0.25">
      <c r="A1149" t="str">
        <f t="shared" si="17"/>
        <v/>
      </c>
    </row>
    <row r="1150" spans="1:1" x14ac:dyDescent="0.25">
      <c r="A1150" t="str">
        <f t="shared" si="17"/>
        <v/>
      </c>
    </row>
    <row r="1151" spans="1:1" x14ac:dyDescent="0.25">
      <c r="A1151" t="str">
        <f t="shared" si="17"/>
        <v/>
      </c>
    </row>
    <row r="1152" spans="1:1" x14ac:dyDescent="0.25">
      <c r="A1152" t="str">
        <f t="shared" si="17"/>
        <v/>
      </c>
    </row>
    <row r="1153" spans="1:1" x14ac:dyDescent="0.25">
      <c r="A1153" t="str">
        <f t="shared" si="17"/>
        <v/>
      </c>
    </row>
    <row r="1154" spans="1:1" x14ac:dyDescent="0.25">
      <c r="A1154" t="str">
        <f t="shared" ref="A1154:A1217" si="18">CONCATENATE(B1154, C1154, D1154)</f>
        <v/>
      </c>
    </row>
    <row r="1155" spans="1:1" x14ac:dyDescent="0.25">
      <c r="A1155" t="str">
        <f t="shared" si="18"/>
        <v/>
      </c>
    </row>
    <row r="1156" spans="1:1" x14ac:dyDescent="0.25">
      <c r="A1156" t="str">
        <f t="shared" si="18"/>
        <v/>
      </c>
    </row>
    <row r="1157" spans="1:1" x14ac:dyDescent="0.25">
      <c r="A1157" t="str">
        <f t="shared" si="18"/>
        <v/>
      </c>
    </row>
    <row r="1158" spans="1:1" x14ac:dyDescent="0.25">
      <c r="A1158" t="str">
        <f t="shared" si="18"/>
        <v/>
      </c>
    </row>
    <row r="1159" spans="1:1" x14ac:dyDescent="0.25">
      <c r="A1159" t="str">
        <f t="shared" si="18"/>
        <v/>
      </c>
    </row>
    <row r="1160" spans="1:1" x14ac:dyDescent="0.25">
      <c r="A1160" t="str">
        <f t="shared" si="18"/>
        <v/>
      </c>
    </row>
    <row r="1161" spans="1:1" x14ac:dyDescent="0.25">
      <c r="A1161" t="str">
        <f t="shared" si="18"/>
        <v/>
      </c>
    </row>
    <row r="1162" spans="1:1" x14ac:dyDescent="0.25">
      <c r="A1162" t="str">
        <f t="shared" si="18"/>
        <v/>
      </c>
    </row>
    <row r="1163" spans="1:1" x14ac:dyDescent="0.25">
      <c r="A1163" t="str">
        <f t="shared" si="18"/>
        <v/>
      </c>
    </row>
    <row r="1164" spans="1:1" x14ac:dyDescent="0.25">
      <c r="A1164" t="str">
        <f t="shared" si="18"/>
        <v/>
      </c>
    </row>
    <row r="1165" spans="1:1" x14ac:dyDescent="0.25">
      <c r="A1165" t="str">
        <f t="shared" si="18"/>
        <v/>
      </c>
    </row>
    <row r="1166" spans="1:1" x14ac:dyDescent="0.25">
      <c r="A1166" t="str">
        <f t="shared" si="18"/>
        <v/>
      </c>
    </row>
    <row r="1167" spans="1:1" x14ac:dyDescent="0.25">
      <c r="A1167" t="str">
        <f t="shared" si="18"/>
        <v/>
      </c>
    </row>
    <row r="1168" spans="1:1" x14ac:dyDescent="0.25">
      <c r="A1168" t="str">
        <f t="shared" si="18"/>
        <v/>
      </c>
    </row>
    <row r="1169" spans="1:1" x14ac:dyDescent="0.25">
      <c r="A1169" t="str">
        <f t="shared" si="18"/>
        <v/>
      </c>
    </row>
    <row r="1170" spans="1:1" x14ac:dyDescent="0.25">
      <c r="A1170" t="str">
        <f t="shared" si="18"/>
        <v/>
      </c>
    </row>
    <row r="1171" spans="1:1" x14ac:dyDescent="0.25">
      <c r="A1171" t="str">
        <f t="shared" si="18"/>
        <v/>
      </c>
    </row>
    <row r="1172" spans="1:1" x14ac:dyDescent="0.25">
      <c r="A1172" t="str">
        <f t="shared" si="18"/>
        <v/>
      </c>
    </row>
    <row r="1173" spans="1:1" x14ac:dyDescent="0.25">
      <c r="A1173" t="str">
        <f t="shared" si="18"/>
        <v/>
      </c>
    </row>
    <row r="1174" spans="1:1" x14ac:dyDescent="0.25">
      <c r="A1174" t="str">
        <f t="shared" si="18"/>
        <v/>
      </c>
    </row>
    <row r="1175" spans="1:1" x14ac:dyDescent="0.25">
      <c r="A1175" t="str">
        <f t="shared" si="18"/>
        <v/>
      </c>
    </row>
    <row r="1176" spans="1:1" x14ac:dyDescent="0.25">
      <c r="A1176" t="str">
        <f t="shared" si="18"/>
        <v/>
      </c>
    </row>
    <row r="1177" spans="1:1" x14ac:dyDescent="0.25">
      <c r="A1177" t="str">
        <f t="shared" si="18"/>
        <v/>
      </c>
    </row>
    <row r="1178" spans="1:1" x14ac:dyDescent="0.25">
      <c r="A1178" t="str">
        <f t="shared" si="18"/>
        <v/>
      </c>
    </row>
    <row r="1179" spans="1:1" x14ac:dyDescent="0.25">
      <c r="A1179" t="str">
        <f t="shared" si="18"/>
        <v/>
      </c>
    </row>
    <row r="1180" spans="1:1" x14ac:dyDescent="0.25">
      <c r="A1180" t="str">
        <f t="shared" si="18"/>
        <v/>
      </c>
    </row>
    <row r="1181" spans="1:1" x14ac:dyDescent="0.25">
      <c r="A1181" t="str">
        <f t="shared" si="18"/>
        <v/>
      </c>
    </row>
    <row r="1182" spans="1:1" x14ac:dyDescent="0.25">
      <c r="A1182" t="str">
        <f t="shared" si="18"/>
        <v/>
      </c>
    </row>
    <row r="1183" spans="1:1" x14ac:dyDescent="0.25">
      <c r="A1183" t="str">
        <f t="shared" si="18"/>
        <v/>
      </c>
    </row>
    <row r="1184" spans="1:1" x14ac:dyDescent="0.25">
      <c r="A1184" t="str">
        <f t="shared" si="18"/>
        <v/>
      </c>
    </row>
    <row r="1185" spans="1:1" x14ac:dyDescent="0.25">
      <c r="A1185" t="str">
        <f t="shared" si="18"/>
        <v/>
      </c>
    </row>
    <row r="1186" spans="1:1" x14ac:dyDescent="0.25">
      <c r="A1186" t="str">
        <f t="shared" si="18"/>
        <v/>
      </c>
    </row>
    <row r="1187" spans="1:1" x14ac:dyDescent="0.25">
      <c r="A1187" t="str">
        <f t="shared" si="18"/>
        <v/>
      </c>
    </row>
    <row r="1188" spans="1:1" x14ac:dyDescent="0.25">
      <c r="A1188" t="str">
        <f t="shared" si="18"/>
        <v/>
      </c>
    </row>
    <row r="1189" spans="1:1" x14ac:dyDescent="0.25">
      <c r="A1189" t="str">
        <f t="shared" si="18"/>
        <v/>
      </c>
    </row>
    <row r="1190" spans="1:1" x14ac:dyDescent="0.25">
      <c r="A1190" t="str">
        <f t="shared" si="18"/>
        <v/>
      </c>
    </row>
    <row r="1191" spans="1:1" x14ac:dyDescent="0.25">
      <c r="A1191" t="str">
        <f t="shared" si="18"/>
        <v/>
      </c>
    </row>
    <row r="1192" spans="1:1" x14ac:dyDescent="0.25">
      <c r="A1192" t="str">
        <f t="shared" si="18"/>
        <v/>
      </c>
    </row>
    <row r="1193" spans="1:1" x14ac:dyDescent="0.25">
      <c r="A1193" t="str">
        <f t="shared" si="18"/>
        <v/>
      </c>
    </row>
    <row r="1194" spans="1:1" x14ac:dyDescent="0.25">
      <c r="A1194" t="str">
        <f t="shared" si="18"/>
        <v/>
      </c>
    </row>
    <row r="1195" spans="1:1" x14ac:dyDescent="0.25">
      <c r="A1195" t="str">
        <f t="shared" si="18"/>
        <v/>
      </c>
    </row>
    <row r="1196" spans="1:1" x14ac:dyDescent="0.25">
      <c r="A1196" t="str">
        <f t="shared" si="18"/>
        <v/>
      </c>
    </row>
    <row r="1197" spans="1:1" x14ac:dyDescent="0.25">
      <c r="A1197" t="str">
        <f t="shared" si="18"/>
        <v/>
      </c>
    </row>
    <row r="1198" spans="1:1" x14ac:dyDescent="0.25">
      <c r="A1198" t="str">
        <f t="shared" si="18"/>
        <v/>
      </c>
    </row>
    <row r="1199" spans="1:1" x14ac:dyDescent="0.25">
      <c r="A1199" t="str">
        <f t="shared" si="18"/>
        <v/>
      </c>
    </row>
    <row r="1200" spans="1:1" x14ac:dyDescent="0.25">
      <c r="A1200" t="str">
        <f t="shared" si="18"/>
        <v/>
      </c>
    </row>
    <row r="1201" spans="1:1" x14ac:dyDescent="0.25">
      <c r="A1201" t="str">
        <f t="shared" si="18"/>
        <v/>
      </c>
    </row>
    <row r="1202" spans="1:1" x14ac:dyDescent="0.25">
      <c r="A1202" t="str">
        <f t="shared" si="18"/>
        <v/>
      </c>
    </row>
    <row r="1203" spans="1:1" x14ac:dyDescent="0.25">
      <c r="A1203" t="str">
        <f t="shared" si="18"/>
        <v/>
      </c>
    </row>
    <row r="1204" spans="1:1" x14ac:dyDescent="0.25">
      <c r="A1204" t="str">
        <f t="shared" si="18"/>
        <v/>
      </c>
    </row>
    <row r="1205" spans="1:1" x14ac:dyDescent="0.25">
      <c r="A1205" t="str">
        <f t="shared" si="18"/>
        <v/>
      </c>
    </row>
    <row r="1206" spans="1:1" x14ac:dyDescent="0.25">
      <c r="A1206" t="str">
        <f t="shared" si="18"/>
        <v/>
      </c>
    </row>
    <row r="1207" spans="1:1" x14ac:dyDescent="0.25">
      <c r="A1207" t="str">
        <f t="shared" si="18"/>
        <v/>
      </c>
    </row>
    <row r="1208" spans="1:1" x14ac:dyDescent="0.25">
      <c r="A1208" t="str">
        <f t="shared" si="18"/>
        <v/>
      </c>
    </row>
    <row r="1209" spans="1:1" x14ac:dyDescent="0.25">
      <c r="A1209" t="str">
        <f t="shared" si="18"/>
        <v/>
      </c>
    </row>
    <row r="1210" spans="1:1" x14ac:dyDescent="0.25">
      <c r="A1210" t="str">
        <f t="shared" si="18"/>
        <v/>
      </c>
    </row>
    <row r="1211" spans="1:1" x14ac:dyDescent="0.25">
      <c r="A1211" t="str">
        <f t="shared" si="18"/>
        <v/>
      </c>
    </row>
    <row r="1212" spans="1:1" x14ac:dyDescent="0.25">
      <c r="A1212" t="str">
        <f t="shared" si="18"/>
        <v/>
      </c>
    </row>
    <row r="1213" spans="1:1" x14ac:dyDescent="0.25">
      <c r="A1213" t="str">
        <f t="shared" si="18"/>
        <v/>
      </c>
    </row>
    <row r="1214" spans="1:1" x14ac:dyDescent="0.25">
      <c r="A1214" t="str">
        <f t="shared" si="18"/>
        <v/>
      </c>
    </row>
    <row r="1215" spans="1:1" x14ac:dyDescent="0.25">
      <c r="A1215" t="str">
        <f t="shared" si="18"/>
        <v/>
      </c>
    </row>
    <row r="1216" spans="1:1" x14ac:dyDescent="0.25">
      <c r="A1216" t="str">
        <f t="shared" si="18"/>
        <v/>
      </c>
    </row>
    <row r="1217" spans="1:1" x14ac:dyDescent="0.25">
      <c r="A1217" t="str">
        <f t="shared" si="18"/>
        <v/>
      </c>
    </row>
    <row r="1218" spans="1:1" x14ac:dyDescent="0.25">
      <c r="A1218" t="str">
        <f t="shared" ref="A1218:A1281" si="19">CONCATENATE(B1218, C1218, D1218)</f>
        <v/>
      </c>
    </row>
    <row r="1219" spans="1:1" x14ac:dyDescent="0.25">
      <c r="A1219" t="str">
        <f t="shared" si="19"/>
        <v/>
      </c>
    </row>
    <row r="1220" spans="1:1" x14ac:dyDescent="0.25">
      <c r="A1220" t="str">
        <f t="shared" si="19"/>
        <v/>
      </c>
    </row>
    <row r="1221" spans="1:1" x14ac:dyDescent="0.25">
      <c r="A1221" t="str">
        <f t="shared" si="19"/>
        <v/>
      </c>
    </row>
    <row r="1222" spans="1:1" x14ac:dyDescent="0.25">
      <c r="A1222" t="str">
        <f t="shared" si="19"/>
        <v/>
      </c>
    </row>
    <row r="1223" spans="1:1" x14ac:dyDescent="0.25">
      <c r="A1223" t="str">
        <f t="shared" si="19"/>
        <v/>
      </c>
    </row>
    <row r="1224" spans="1:1" x14ac:dyDescent="0.25">
      <c r="A1224" t="str">
        <f t="shared" si="19"/>
        <v/>
      </c>
    </row>
    <row r="1225" spans="1:1" x14ac:dyDescent="0.25">
      <c r="A1225" t="str">
        <f t="shared" si="19"/>
        <v/>
      </c>
    </row>
    <row r="1226" spans="1:1" x14ac:dyDescent="0.25">
      <c r="A1226" t="str">
        <f t="shared" si="19"/>
        <v/>
      </c>
    </row>
    <row r="1227" spans="1:1" x14ac:dyDescent="0.25">
      <c r="A1227" t="str">
        <f t="shared" si="19"/>
        <v/>
      </c>
    </row>
    <row r="1228" spans="1:1" x14ac:dyDescent="0.25">
      <c r="A1228" t="str">
        <f t="shared" si="19"/>
        <v/>
      </c>
    </row>
    <row r="1229" spans="1:1" x14ac:dyDescent="0.25">
      <c r="A1229" t="str">
        <f t="shared" si="19"/>
        <v/>
      </c>
    </row>
    <row r="1230" spans="1:1" x14ac:dyDescent="0.25">
      <c r="A1230" t="str">
        <f t="shared" si="19"/>
        <v/>
      </c>
    </row>
    <row r="1231" spans="1:1" x14ac:dyDescent="0.25">
      <c r="A1231" t="str">
        <f t="shared" si="19"/>
        <v/>
      </c>
    </row>
    <row r="1232" spans="1:1" x14ac:dyDescent="0.25">
      <c r="A1232" t="str">
        <f t="shared" si="19"/>
        <v/>
      </c>
    </row>
    <row r="1233" spans="1:1" x14ac:dyDescent="0.25">
      <c r="A1233" t="str">
        <f t="shared" si="19"/>
        <v/>
      </c>
    </row>
    <row r="1234" spans="1:1" x14ac:dyDescent="0.25">
      <c r="A1234" t="str">
        <f t="shared" si="19"/>
        <v/>
      </c>
    </row>
    <row r="1235" spans="1:1" x14ac:dyDescent="0.25">
      <c r="A1235" t="str">
        <f t="shared" si="19"/>
        <v/>
      </c>
    </row>
    <row r="1236" spans="1:1" x14ac:dyDescent="0.25">
      <c r="A1236" t="str">
        <f t="shared" si="19"/>
        <v/>
      </c>
    </row>
    <row r="1237" spans="1:1" x14ac:dyDescent="0.25">
      <c r="A1237" t="str">
        <f t="shared" si="19"/>
        <v/>
      </c>
    </row>
    <row r="1238" spans="1:1" x14ac:dyDescent="0.25">
      <c r="A1238" t="str">
        <f t="shared" si="19"/>
        <v/>
      </c>
    </row>
    <row r="1239" spans="1:1" x14ac:dyDescent="0.25">
      <c r="A1239" t="str">
        <f t="shared" si="19"/>
        <v/>
      </c>
    </row>
    <row r="1240" spans="1:1" x14ac:dyDescent="0.25">
      <c r="A1240" t="str">
        <f t="shared" si="19"/>
        <v/>
      </c>
    </row>
    <row r="1241" spans="1:1" x14ac:dyDescent="0.25">
      <c r="A1241" t="str">
        <f t="shared" si="19"/>
        <v/>
      </c>
    </row>
    <row r="1242" spans="1:1" x14ac:dyDescent="0.25">
      <c r="A1242" t="str">
        <f t="shared" si="19"/>
        <v/>
      </c>
    </row>
    <row r="1243" spans="1:1" x14ac:dyDescent="0.25">
      <c r="A1243" t="str">
        <f t="shared" si="19"/>
        <v/>
      </c>
    </row>
    <row r="1244" spans="1:1" x14ac:dyDescent="0.25">
      <c r="A1244" t="str">
        <f t="shared" si="19"/>
        <v/>
      </c>
    </row>
    <row r="1245" spans="1:1" x14ac:dyDescent="0.25">
      <c r="A1245" t="str">
        <f t="shared" si="19"/>
        <v/>
      </c>
    </row>
    <row r="1246" spans="1:1" x14ac:dyDescent="0.25">
      <c r="A1246" t="str">
        <f t="shared" si="19"/>
        <v/>
      </c>
    </row>
    <row r="1247" spans="1:1" x14ac:dyDescent="0.25">
      <c r="A1247" t="str">
        <f t="shared" si="19"/>
        <v/>
      </c>
    </row>
    <row r="1248" spans="1:1" x14ac:dyDescent="0.25">
      <c r="A1248" t="str">
        <f t="shared" si="19"/>
        <v/>
      </c>
    </row>
    <row r="1249" spans="1:1" x14ac:dyDescent="0.25">
      <c r="A1249" t="str">
        <f t="shared" si="19"/>
        <v/>
      </c>
    </row>
    <row r="1250" spans="1:1" x14ac:dyDescent="0.25">
      <c r="A1250" t="str">
        <f t="shared" si="19"/>
        <v/>
      </c>
    </row>
    <row r="1251" spans="1:1" x14ac:dyDescent="0.25">
      <c r="A1251" t="str">
        <f t="shared" si="19"/>
        <v/>
      </c>
    </row>
    <row r="1252" spans="1:1" x14ac:dyDescent="0.25">
      <c r="A1252" t="str">
        <f t="shared" si="19"/>
        <v/>
      </c>
    </row>
    <row r="1253" spans="1:1" x14ac:dyDescent="0.25">
      <c r="A1253" t="str">
        <f t="shared" si="19"/>
        <v/>
      </c>
    </row>
    <row r="1254" spans="1:1" x14ac:dyDescent="0.25">
      <c r="A1254" t="str">
        <f t="shared" si="19"/>
        <v/>
      </c>
    </row>
    <row r="1255" spans="1:1" x14ac:dyDescent="0.25">
      <c r="A1255" t="str">
        <f t="shared" si="19"/>
        <v/>
      </c>
    </row>
    <row r="1256" spans="1:1" x14ac:dyDescent="0.25">
      <c r="A1256" t="str">
        <f t="shared" si="19"/>
        <v/>
      </c>
    </row>
    <row r="1257" spans="1:1" x14ac:dyDescent="0.25">
      <c r="A1257" t="str">
        <f t="shared" si="19"/>
        <v/>
      </c>
    </row>
    <row r="1258" spans="1:1" x14ac:dyDescent="0.25">
      <c r="A1258" t="str">
        <f t="shared" si="19"/>
        <v/>
      </c>
    </row>
    <row r="1259" spans="1:1" x14ac:dyDescent="0.25">
      <c r="A1259" t="str">
        <f t="shared" si="19"/>
        <v/>
      </c>
    </row>
    <row r="1260" spans="1:1" x14ac:dyDescent="0.25">
      <c r="A1260" t="str">
        <f t="shared" si="19"/>
        <v/>
      </c>
    </row>
    <row r="1261" spans="1:1" x14ac:dyDescent="0.25">
      <c r="A1261" t="str">
        <f t="shared" si="19"/>
        <v/>
      </c>
    </row>
    <row r="1262" spans="1:1" x14ac:dyDescent="0.25">
      <c r="A1262" t="str">
        <f t="shared" si="19"/>
        <v/>
      </c>
    </row>
    <row r="1263" spans="1:1" x14ac:dyDescent="0.25">
      <c r="A1263" t="str">
        <f t="shared" si="19"/>
        <v/>
      </c>
    </row>
    <row r="1264" spans="1:1" x14ac:dyDescent="0.25">
      <c r="A1264" t="str">
        <f t="shared" si="19"/>
        <v/>
      </c>
    </row>
    <row r="1265" spans="1:1" x14ac:dyDescent="0.25">
      <c r="A1265" t="str">
        <f t="shared" si="19"/>
        <v/>
      </c>
    </row>
    <row r="1266" spans="1:1" x14ac:dyDescent="0.25">
      <c r="A1266" t="str">
        <f t="shared" si="19"/>
        <v/>
      </c>
    </row>
    <row r="1267" spans="1:1" x14ac:dyDescent="0.25">
      <c r="A1267" t="str">
        <f t="shared" si="19"/>
        <v/>
      </c>
    </row>
    <row r="1268" spans="1:1" x14ac:dyDescent="0.25">
      <c r="A1268" t="str">
        <f t="shared" si="19"/>
        <v/>
      </c>
    </row>
    <row r="1269" spans="1:1" x14ac:dyDescent="0.25">
      <c r="A1269" t="str">
        <f t="shared" si="19"/>
        <v/>
      </c>
    </row>
    <row r="1270" spans="1:1" x14ac:dyDescent="0.25">
      <c r="A1270" t="str">
        <f t="shared" si="19"/>
        <v/>
      </c>
    </row>
    <row r="1271" spans="1:1" x14ac:dyDescent="0.25">
      <c r="A1271" t="str">
        <f t="shared" si="19"/>
        <v/>
      </c>
    </row>
    <row r="1272" spans="1:1" x14ac:dyDescent="0.25">
      <c r="A1272" t="str">
        <f t="shared" si="19"/>
        <v/>
      </c>
    </row>
    <row r="1273" spans="1:1" x14ac:dyDescent="0.25">
      <c r="A1273" t="str">
        <f t="shared" si="19"/>
        <v/>
      </c>
    </row>
    <row r="1274" spans="1:1" x14ac:dyDescent="0.25">
      <c r="A1274" t="str">
        <f t="shared" si="19"/>
        <v/>
      </c>
    </row>
    <row r="1275" spans="1:1" x14ac:dyDescent="0.25">
      <c r="A1275" t="str">
        <f t="shared" si="19"/>
        <v/>
      </c>
    </row>
    <row r="1276" spans="1:1" x14ac:dyDescent="0.25">
      <c r="A1276" t="str">
        <f t="shared" si="19"/>
        <v/>
      </c>
    </row>
    <row r="1277" spans="1:1" x14ac:dyDescent="0.25">
      <c r="A1277" t="str">
        <f t="shared" si="19"/>
        <v/>
      </c>
    </row>
    <row r="1278" spans="1:1" x14ac:dyDescent="0.25">
      <c r="A1278" t="str">
        <f t="shared" si="19"/>
        <v/>
      </c>
    </row>
    <row r="1279" spans="1:1" x14ac:dyDescent="0.25">
      <c r="A1279" t="str">
        <f t="shared" si="19"/>
        <v/>
      </c>
    </row>
    <row r="1280" spans="1:1" x14ac:dyDescent="0.25">
      <c r="A1280" t="str">
        <f t="shared" si="19"/>
        <v/>
      </c>
    </row>
    <row r="1281" spans="1:1" x14ac:dyDescent="0.25">
      <c r="A1281" t="str">
        <f t="shared" si="19"/>
        <v/>
      </c>
    </row>
    <row r="1282" spans="1:1" x14ac:dyDescent="0.25">
      <c r="A1282" t="str">
        <f t="shared" ref="A1282:A1345" si="20">CONCATENATE(B1282, C1282, D1282)</f>
        <v/>
      </c>
    </row>
    <row r="1283" spans="1:1" x14ac:dyDescent="0.25">
      <c r="A1283" t="str">
        <f t="shared" si="20"/>
        <v/>
      </c>
    </row>
    <row r="1284" spans="1:1" x14ac:dyDescent="0.25">
      <c r="A1284" t="str">
        <f t="shared" si="20"/>
        <v/>
      </c>
    </row>
    <row r="1285" spans="1:1" x14ac:dyDescent="0.25">
      <c r="A1285" t="str">
        <f t="shared" si="20"/>
        <v/>
      </c>
    </row>
    <row r="1286" spans="1:1" x14ac:dyDescent="0.25">
      <c r="A1286" t="str">
        <f t="shared" si="20"/>
        <v/>
      </c>
    </row>
    <row r="1287" spans="1:1" x14ac:dyDescent="0.25">
      <c r="A1287" t="str">
        <f t="shared" si="20"/>
        <v/>
      </c>
    </row>
    <row r="1288" spans="1:1" x14ac:dyDescent="0.25">
      <c r="A1288" t="str">
        <f t="shared" si="20"/>
        <v/>
      </c>
    </row>
    <row r="1289" spans="1:1" x14ac:dyDescent="0.25">
      <c r="A1289" t="str">
        <f t="shared" si="20"/>
        <v/>
      </c>
    </row>
    <row r="1290" spans="1:1" x14ac:dyDescent="0.25">
      <c r="A1290" t="str">
        <f t="shared" si="20"/>
        <v/>
      </c>
    </row>
    <row r="1291" spans="1:1" x14ac:dyDescent="0.25">
      <c r="A1291" t="str">
        <f t="shared" si="20"/>
        <v/>
      </c>
    </row>
    <row r="1292" spans="1:1" x14ac:dyDescent="0.25">
      <c r="A1292" t="str">
        <f t="shared" si="20"/>
        <v/>
      </c>
    </row>
    <row r="1293" spans="1:1" x14ac:dyDescent="0.25">
      <c r="A1293" t="str">
        <f t="shared" si="20"/>
        <v/>
      </c>
    </row>
    <row r="1294" spans="1:1" x14ac:dyDescent="0.25">
      <c r="A1294" t="str">
        <f t="shared" si="20"/>
        <v/>
      </c>
    </row>
    <row r="1295" spans="1:1" x14ac:dyDescent="0.25">
      <c r="A1295" t="str">
        <f t="shared" si="20"/>
        <v/>
      </c>
    </row>
    <row r="1296" spans="1:1" x14ac:dyDescent="0.25">
      <c r="A1296" t="str">
        <f t="shared" si="20"/>
        <v/>
      </c>
    </row>
    <row r="1297" spans="1:1" x14ac:dyDescent="0.25">
      <c r="A1297" t="str">
        <f t="shared" si="20"/>
        <v/>
      </c>
    </row>
    <row r="1298" spans="1:1" x14ac:dyDescent="0.25">
      <c r="A1298" t="str">
        <f t="shared" si="20"/>
        <v/>
      </c>
    </row>
    <row r="1299" spans="1:1" x14ac:dyDescent="0.25">
      <c r="A1299" t="str">
        <f t="shared" si="20"/>
        <v/>
      </c>
    </row>
    <row r="1300" spans="1:1" x14ac:dyDescent="0.25">
      <c r="A1300" t="str">
        <f t="shared" si="20"/>
        <v/>
      </c>
    </row>
    <row r="1301" spans="1:1" x14ac:dyDescent="0.25">
      <c r="A1301" t="str">
        <f t="shared" si="20"/>
        <v/>
      </c>
    </row>
    <row r="1302" spans="1:1" x14ac:dyDescent="0.25">
      <c r="A1302" t="str">
        <f t="shared" si="20"/>
        <v/>
      </c>
    </row>
    <row r="1303" spans="1:1" x14ac:dyDescent="0.25">
      <c r="A1303" t="str">
        <f t="shared" si="20"/>
        <v/>
      </c>
    </row>
    <row r="1304" spans="1:1" x14ac:dyDescent="0.25">
      <c r="A1304" t="str">
        <f t="shared" si="20"/>
        <v/>
      </c>
    </row>
    <row r="1305" spans="1:1" x14ac:dyDescent="0.25">
      <c r="A1305" t="str">
        <f t="shared" si="20"/>
        <v/>
      </c>
    </row>
    <row r="1306" spans="1:1" x14ac:dyDescent="0.25">
      <c r="A1306" t="str">
        <f t="shared" si="20"/>
        <v/>
      </c>
    </row>
    <row r="1307" spans="1:1" x14ac:dyDescent="0.25">
      <c r="A1307" t="str">
        <f t="shared" si="20"/>
        <v/>
      </c>
    </row>
    <row r="1308" spans="1:1" x14ac:dyDescent="0.25">
      <c r="A1308" t="str">
        <f t="shared" si="20"/>
        <v/>
      </c>
    </row>
    <row r="1309" spans="1:1" x14ac:dyDescent="0.25">
      <c r="A1309" t="str">
        <f t="shared" si="20"/>
        <v/>
      </c>
    </row>
    <row r="1310" spans="1:1" x14ac:dyDescent="0.25">
      <c r="A1310" t="str">
        <f t="shared" si="20"/>
        <v/>
      </c>
    </row>
    <row r="1311" spans="1:1" x14ac:dyDescent="0.25">
      <c r="A1311" t="str">
        <f t="shared" si="20"/>
        <v/>
      </c>
    </row>
    <row r="1312" spans="1:1" x14ac:dyDescent="0.25">
      <c r="A1312" t="str">
        <f t="shared" si="20"/>
        <v/>
      </c>
    </row>
    <row r="1313" spans="1:1" x14ac:dyDescent="0.25">
      <c r="A1313" t="str">
        <f t="shared" si="20"/>
        <v/>
      </c>
    </row>
    <row r="1314" spans="1:1" x14ac:dyDescent="0.25">
      <c r="A1314" t="str">
        <f t="shared" si="20"/>
        <v/>
      </c>
    </row>
    <row r="1315" spans="1:1" x14ac:dyDescent="0.25">
      <c r="A1315" t="str">
        <f t="shared" si="20"/>
        <v/>
      </c>
    </row>
    <row r="1316" spans="1:1" x14ac:dyDescent="0.25">
      <c r="A1316" t="str">
        <f t="shared" si="20"/>
        <v/>
      </c>
    </row>
    <row r="1317" spans="1:1" x14ac:dyDescent="0.25">
      <c r="A1317" t="str">
        <f t="shared" si="20"/>
        <v/>
      </c>
    </row>
    <row r="1318" spans="1:1" x14ac:dyDescent="0.25">
      <c r="A1318" t="str">
        <f t="shared" si="20"/>
        <v/>
      </c>
    </row>
    <row r="1319" spans="1:1" x14ac:dyDescent="0.25">
      <c r="A1319" t="str">
        <f t="shared" si="20"/>
        <v/>
      </c>
    </row>
    <row r="1320" spans="1:1" x14ac:dyDescent="0.25">
      <c r="A1320" t="str">
        <f t="shared" si="20"/>
        <v/>
      </c>
    </row>
    <row r="1321" spans="1:1" x14ac:dyDescent="0.25">
      <c r="A1321" t="str">
        <f t="shared" si="20"/>
        <v/>
      </c>
    </row>
    <row r="1322" spans="1:1" x14ac:dyDescent="0.25">
      <c r="A1322" t="str">
        <f t="shared" si="20"/>
        <v/>
      </c>
    </row>
    <row r="1323" spans="1:1" x14ac:dyDescent="0.25">
      <c r="A1323" t="str">
        <f t="shared" si="20"/>
        <v/>
      </c>
    </row>
    <row r="1324" spans="1:1" x14ac:dyDescent="0.25">
      <c r="A1324" t="str">
        <f t="shared" si="20"/>
        <v/>
      </c>
    </row>
    <row r="1325" spans="1:1" x14ac:dyDescent="0.25">
      <c r="A1325" t="str">
        <f t="shared" si="20"/>
        <v/>
      </c>
    </row>
    <row r="1326" spans="1:1" x14ac:dyDescent="0.25">
      <c r="A1326" t="str">
        <f t="shared" si="20"/>
        <v/>
      </c>
    </row>
    <row r="1327" spans="1:1" x14ac:dyDescent="0.25">
      <c r="A1327" t="str">
        <f t="shared" si="20"/>
        <v/>
      </c>
    </row>
    <row r="1328" spans="1:1" x14ac:dyDescent="0.25">
      <c r="A1328" t="str">
        <f t="shared" si="20"/>
        <v/>
      </c>
    </row>
    <row r="1329" spans="1:1" x14ac:dyDescent="0.25">
      <c r="A1329" t="str">
        <f t="shared" si="20"/>
        <v/>
      </c>
    </row>
    <row r="1330" spans="1:1" x14ac:dyDescent="0.25">
      <c r="A1330" t="str">
        <f t="shared" si="20"/>
        <v/>
      </c>
    </row>
    <row r="1331" spans="1:1" x14ac:dyDescent="0.25">
      <c r="A1331" t="str">
        <f t="shared" si="20"/>
        <v/>
      </c>
    </row>
    <row r="1332" spans="1:1" x14ac:dyDescent="0.25">
      <c r="A1332" t="str">
        <f t="shared" si="20"/>
        <v/>
      </c>
    </row>
    <row r="1333" spans="1:1" x14ac:dyDescent="0.25">
      <c r="A1333" t="str">
        <f t="shared" si="20"/>
        <v/>
      </c>
    </row>
    <row r="1334" spans="1:1" x14ac:dyDescent="0.25">
      <c r="A1334" t="str">
        <f t="shared" si="20"/>
        <v/>
      </c>
    </row>
    <row r="1335" spans="1:1" x14ac:dyDescent="0.25">
      <c r="A1335" t="str">
        <f t="shared" si="20"/>
        <v/>
      </c>
    </row>
    <row r="1336" spans="1:1" x14ac:dyDescent="0.25">
      <c r="A1336" t="str">
        <f t="shared" si="20"/>
        <v/>
      </c>
    </row>
    <row r="1337" spans="1:1" x14ac:dyDescent="0.25">
      <c r="A1337" t="str">
        <f t="shared" si="20"/>
        <v/>
      </c>
    </row>
    <row r="1338" spans="1:1" x14ac:dyDescent="0.25">
      <c r="A1338" t="str">
        <f t="shared" si="20"/>
        <v/>
      </c>
    </row>
    <row r="1339" spans="1:1" x14ac:dyDescent="0.25">
      <c r="A1339" t="str">
        <f t="shared" si="20"/>
        <v/>
      </c>
    </row>
    <row r="1340" spans="1:1" x14ac:dyDescent="0.25">
      <c r="A1340" t="str">
        <f t="shared" si="20"/>
        <v/>
      </c>
    </row>
    <row r="1341" spans="1:1" x14ac:dyDescent="0.25">
      <c r="A1341" t="str">
        <f t="shared" si="20"/>
        <v/>
      </c>
    </row>
    <row r="1342" spans="1:1" x14ac:dyDescent="0.25">
      <c r="A1342" t="str">
        <f t="shared" si="20"/>
        <v/>
      </c>
    </row>
    <row r="1343" spans="1:1" x14ac:dyDescent="0.25">
      <c r="A1343" t="str">
        <f t="shared" si="20"/>
        <v/>
      </c>
    </row>
    <row r="1344" spans="1:1" x14ac:dyDescent="0.25">
      <c r="A1344" t="str">
        <f t="shared" si="20"/>
        <v/>
      </c>
    </row>
    <row r="1345" spans="1:1" x14ac:dyDescent="0.25">
      <c r="A1345" t="str">
        <f t="shared" si="20"/>
        <v/>
      </c>
    </row>
    <row r="1346" spans="1:1" x14ac:dyDescent="0.25">
      <c r="A1346" t="str">
        <f t="shared" ref="A1346:A1409" si="21">CONCATENATE(B1346, C1346, D1346)</f>
        <v/>
      </c>
    </row>
    <row r="1347" spans="1:1" x14ac:dyDescent="0.25">
      <c r="A1347" t="str">
        <f t="shared" si="21"/>
        <v/>
      </c>
    </row>
    <row r="1348" spans="1:1" x14ac:dyDescent="0.25">
      <c r="A1348" t="str">
        <f t="shared" si="21"/>
        <v/>
      </c>
    </row>
    <row r="1349" spans="1:1" x14ac:dyDescent="0.25">
      <c r="A1349" t="str">
        <f t="shared" si="21"/>
        <v/>
      </c>
    </row>
    <row r="1350" spans="1:1" x14ac:dyDescent="0.25">
      <c r="A1350" t="str">
        <f t="shared" si="21"/>
        <v/>
      </c>
    </row>
    <row r="1351" spans="1:1" x14ac:dyDescent="0.25">
      <c r="A1351" t="str">
        <f t="shared" si="21"/>
        <v/>
      </c>
    </row>
    <row r="1352" spans="1:1" x14ac:dyDescent="0.25">
      <c r="A1352" t="str">
        <f t="shared" si="21"/>
        <v/>
      </c>
    </row>
    <row r="1353" spans="1:1" x14ac:dyDescent="0.25">
      <c r="A1353" t="str">
        <f t="shared" si="21"/>
        <v/>
      </c>
    </row>
    <row r="1354" spans="1:1" x14ac:dyDescent="0.25">
      <c r="A1354" t="str">
        <f t="shared" si="21"/>
        <v/>
      </c>
    </row>
    <row r="1355" spans="1:1" x14ac:dyDescent="0.25">
      <c r="A1355" t="str">
        <f t="shared" si="21"/>
        <v/>
      </c>
    </row>
    <row r="1356" spans="1:1" x14ac:dyDescent="0.25">
      <c r="A1356" t="str">
        <f t="shared" si="21"/>
        <v/>
      </c>
    </row>
    <row r="1357" spans="1:1" x14ac:dyDescent="0.25">
      <c r="A1357" t="str">
        <f t="shared" si="21"/>
        <v/>
      </c>
    </row>
    <row r="1358" spans="1:1" x14ac:dyDescent="0.25">
      <c r="A1358" t="str">
        <f t="shared" si="21"/>
        <v/>
      </c>
    </row>
    <row r="1359" spans="1:1" x14ac:dyDescent="0.25">
      <c r="A1359" t="str">
        <f t="shared" si="21"/>
        <v/>
      </c>
    </row>
    <row r="1360" spans="1:1" x14ac:dyDescent="0.25">
      <c r="A1360" t="str">
        <f t="shared" si="21"/>
        <v/>
      </c>
    </row>
    <row r="1361" spans="1:1" x14ac:dyDescent="0.25">
      <c r="A1361" t="str">
        <f t="shared" si="21"/>
        <v/>
      </c>
    </row>
    <row r="1362" spans="1:1" x14ac:dyDescent="0.25">
      <c r="A1362" t="str">
        <f t="shared" si="21"/>
        <v/>
      </c>
    </row>
    <row r="1363" spans="1:1" x14ac:dyDescent="0.25">
      <c r="A1363" t="str">
        <f t="shared" si="21"/>
        <v/>
      </c>
    </row>
    <row r="1364" spans="1:1" x14ac:dyDescent="0.25">
      <c r="A1364" t="str">
        <f t="shared" si="21"/>
        <v/>
      </c>
    </row>
    <row r="1365" spans="1:1" x14ac:dyDescent="0.25">
      <c r="A1365" t="str">
        <f t="shared" si="21"/>
        <v/>
      </c>
    </row>
    <row r="1366" spans="1:1" x14ac:dyDescent="0.25">
      <c r="A1366" t="str">
        <f t="shared" si="21"/>
        <v/>
      </c>
    </row>
    <row r="1367" spans="1:1" x14ac:dyDescent="0.25">
      <c r="A1367" t="str">
        <f t="shared" si="21"/>
        <v/>
      </c>
    </row>
    <row r="1368" spans="1:1" x14ac:dyDescent="0.25">
      <c r="A1368" t="str">
        <f t="shared" si="21"/>
        <v/>
      </c>
    </row>
    <row r="1369" spans="1:1" x14ac:dyDescent="0.25">
      <c r="A1369" t="str">
        <f t="shared" si="21"/>
        <v/>
      </c>
    </row>
    <row r="1370" spans="1:1" x14ac:dyDescent="0.25">
      <c r="A1370" t="str">
        <f t="shared" si="21"/>
        <v/>
      </c>
    </row>
    <row r="1371" spans="1:1" x14ac:dyDescent="0.25">
      <c r="A1371" t="str">
        <f t="shared" si="21"/>
        <v/>
      </c>
    </row>
    <row r="1372" spans="1:1" x14ac:dyDescent="0.25">
      <c r="A1372" t="str">
        <f t="shared" si="21"/>
        <v/>
      </c>
    </row>
    <row r="1373" spans="1:1" x14ac:dyDescent="0.25">
      <c r="A1373" t="str">
        <f t="shared" si="21"/>
        <v/>
      </c>
    </row>
    <row r="1374" spans="1:1" x14ac:dyDescent="0.25">
      <c r="A1374" t="str">
        <f t="shared" si="21"/>
        <v/>
      </c>
    </row>
    <row r="1375" spans="1:1" x14ac:dyDescent="0.25">
      <c r="A1375" t="str">
        <f t="shared" si="21"/>
        <v/>
      </c>
    </row>
    <row r="1376" spans="1:1" x14ac:dyDescent="0.25">
      <c r="A1376" t="str">
        <f t="shared" si="21"/>
        <v/>
      </c>
    </row>
    <row r="1377" spans="1:1" x14ac:dyDescent="0.25">
      <c r="A1377" t="str">
        <f t="shared" si="21"/>
        <v/>
      </c>
    </row>
    <row r="1378" spans="1:1" x14ac:dyDescent="0.25">
      <c r="A1378" t="str">
        <f t="shared" si="21"/>
        <v/>
      </c>
    </row>
    <row r="1379" spans="1:1" x14ac:dyDescent="0.25">
      <c r="A1379" t="str">
        <f t="shared" si="21"/>
        <v/>
      </c>
    </row>
    <row r="1380" spans="1:1" x14ac:dyDescent="0.25">
      <c r="A1380" t="str">
        <f t="shared" si="21"/>
        <v/>
      </c>
    </row>
    <row r="1381" spans="1:1" x14ac:dyDescent="0.25">
      <c r="A1381" t="str">
        <f t="shared" si="21"/>
        <v/>
      </c>
    </row>
    <row r="1382" spans="1:1" x14ac:dyDescent="0.25">
      <c r="A1382" t="str">
        <f t="shared" si="21"/>
        <v/>
      </c>
    </row>
    <row r="1383" spans="1:1" x14ac:dyDescent="0.25">
      <c r="A1383" t="str">
        <f t="shared" si="21"/>
        <v/>
      </c>
    </row>
    <row r="1384" spans="1:1" x14ac:dyDescent="0.25">
      <c r="A1384" t="str">
        <f t="shared" si="21"/>
        <v/>
      </c>
    </row>
    <row r="1385" spans="1:1" x14ac:dyDescent="0.25">
      <c r="A1385" t="str">
        <f t="shared" si="21"/>
        <v/>
      </c>
    </row>
    <row r="1386" spans="1:1" x14ac:dyDescent="0.25">
      <c r="A1386" t="str">
        <f t="shared" si="21"/>
        <v/>
      </c>
    </row>
    <row r="1387" spans="1:1" x14ac:dyDescent="0.25">
      <c r="A1387" t="str">
        <f t="shared" si="21"/>
        <v/>
      </c>
    </row>
    <row r="1388" spans="1:1" x14ac:dyDescent="0.25">
      <c r="A1388" t="str">
        <f t="shared" si="21"/>
        <v/>
      </c>
    </row>
    <row r="1389" spans="1:1" x14ac:dyDescent="0.25">
      <c r="A1389" t="str">
        <f t="shared" si="21"/>
        <v/>
      </c>
    </row>
    <row r="1390" spans="1:1" x14ac:dyDescent="0.25">
      <c r="A1390" t="str">
        <f t="shared" si="21"/>
        <v/>
      </c>
    </row>
    <row r="1391" spans="1:1" x14ac:dyDescent="0.25">
      <c r="A1391" t="str">
        <f t="shared" si="21"/>
        <v/>
      </c>
    </row>
    <row r="1392" spans="1:1" x14ac:dyDescent="0.25">
      <c r="A1392" t="str">
        <f t="shared" si="21"/>
        <v/>
      </c>
    </row>
    <row r="1393" spans="1:1" x14ac:dyDescent="0.25">
      <c r="A1393" t="str">
        <f t="shared" si="21"/>
        <v/>
      </c>
    </row>
    <row r="1394" spans="1:1" x14ac:dyDescent="0.25">
      <c r="A1394" t="str">
        <f t="shared" si="21"/>
        <v/>
      </c>
    </row>
    <row r="1395" spans="1:1" x14ac:dyDescent="0.25">
      <c r="A1395" t="str">
        <f t="shared" si="21"/>
        <v/>
      </c>
    </row>
    <row r="1396" spans="1:1" x14ac:dyDescent="0.25">
      <c r="A1396" t="str">
        <f t="shared" si="21"/>
        <v/>
      </c>
    </row>
    <row r="1397" spans="1:1" x14ac:dyDescent="0.25">
      <c r="A1397" t="str">
        <f t="shared" si="21"/>
        <v/>
      </c>
    </row>
    <row r="1398" spans="1:1" x14ac:dyDescent="0.25">
      <c r="A1398" t="str">
        <f t="shared" si="21"/>
        <v/>
      </c>
    </row>
    <row r="1399" spans="1:1" x14ac:dyDescent="0.25">
      <c r="A1399" t="str">
        <f t="shared" si="21"/>
        <v/>
      </c>
    </row>
    <row r="1400" spans="1:1" x14ac:dyDescent="0.25">
      <c r="A1400" t="str">
        <f t="shared" si="21"/>
        <v/>
      </c>
    </row>
    <row r="1401" spans="1:1" x14ac:dyDescent="0.25">
      <c r="A1401" t="str">
        <f t="shared" si="21"/>
        <v/>
      </c>
    </row>
    <row r="1402" spans="1:1" x14ac:dyDescent="0.25">
      <c r="A1402" t="str">
        <f t="shared" si="21"/>
        <v/>
      </c>
    </row>
    <row r="1403" spans="1:1" x14ac:dyDescent="0.25">
      <c r="A1403" t="str">
        <f t="shared" si="21"/>
        <v/>
      </c>
    </row>
    <row r="1404" spans="1:1" x14ac:dyDescent="0.25">
      <c r="A1404" t="str">
        <f t="shared" si="21"/>
        <v/>
      </c>
    </row>
    <row r="1405" spans="1:1" x14ac:dyDescent="0.25">
      <c r="A1405" t="str">
        <f t="shared" si="21"/>
        <v/>
      </c>
    </row>
    <row r="1406" spans="1:1" x14ac:dyDescent="0.25">
      <c r="A1406" t="str">
        <f t="shared" si="21"/>
        <v/>
      </c>
    </row>
    <row r="1407" spans="1:1" x14ac:dyDescent="0.25">
      <c r="A1407" t="str">
        <f t="shared" si="21"/>
        <v/>
      </c>
    </row>
    <row r="1408" spans="1:1" x14ac:dyDescent="0.25">
      <c r="A1408" t="str">
        <f t="shared" si="21"/>
        <v/>
      </c>
    </row>
    <row r="1409" spans="1:1" x14ac:dyDescent="0.25">
      <c r="A1409" t="str">
        <f t="shared" si="21"/>
        <v/>
      </c>
    </row>
    <row r="1410" spans="1:1" x14ac:dyDescent="0.25">
      <c r="A1410" t="str">
        <f t="shared" ref="A1410:A1473" si="22">CONCATENATE(B1410, C1410, D1410)</f>
        <v/>
      </c>
    </row>
    <row r="1411" spans="1:1" x14ac:dyDescent="0.25">
      <c r="A1411" t="str">
        <f t="shared" si="22"/>
        <v/>
      </c>
    </row>
    <row r="1412" spans="1:1" x14ac:dyDescent="0.25">
      <c r="A1412" t="str">
        <f t="shared" si="22"/>
        <v/>
      </c>
    </row>
    <row r="1413" spans="1:1" x14ac:dyDescent="0.25">
      <c r="A1413" t="str">
        <f t="shared" si="22"/>
        <v/>
      </c>
    </row>
    <row r="1414" spans="1:1" x14ac:dyDescent="0.25">
      <c r="A1414" t="str">
        <f t="shared" si="22"/>
        <v/>
      </c>
    </row>
    <row r="1415" spans="1:1" x14ac:dyDescent="0.25">
      <c r="A1415" t="str">
        <f t="shared" si="22"/>
        <v/>
      </c>
    </row>
    <row r="1416" spans="1:1" x14ac:dyDescent="0.25">
      <c r="A1416" t="str">
        <f t="shared" si="22"/>
        <v/>
      </c>
    </row>
    <row r="1417" spans="1:1" x14ac:dyDescent="0.25">
      <c r="A1417" t="str">
        <f t="shared" si="22"/>
        <v/>
      </c>
    </row>
    <row r="1418" spans="1:1" x14ac:dyDescent="0.25">
      <c r="A1418" t="str">
        <f t="shared" si="22"/>
        <v/>
      </c>
    </row>
    <row r="1419" spans="1:1" x14ac:dyDescent="0.25">
      <c r="A1419" t="str">
        <f t="shared" si="22"/>
        <v/>
      </c>
    </row>
    <row r="1420" spans="1:1" x14ac:dyDescent="0.25">
      <c r="A1420" t="str">
        <f t="shared" si="22"/>
        <v/>
      </c>
    </row>
    <row r="1421" spans="1:1" x14ac:dyDescent="0.25">
      <c r="A1421" t="str">
        <f t="shared" si="22"/>
        <v/>
      </c>
    </row>
    <row r="1422" spans="1:1" x14ac:dyDescent="0.25">
      <c r="A1422" t="str">
        <f t="shared" si="22"/>
        <v/>
      </c>
    </row>
    <row r="1423" spans="1:1" x14ac:dyDescent="0.25">
      <c r="A1423" t="str">
        <f t="shared" si="22"/>
        <v/>
      </c>
    </row>
    <row r="1424" spans="1:1" x14ac:dyDescent="0.25">
      <c r="A1424" t="str">
        <f t="shared" si="22"/>
        <v/>
      </c>
    </row>
    <row r="1425" spans="1:1" x14ac:dyDescent="0.25">
      <c r="A1425" t="str">
        <f t="shared" si="22"/>
        <v/>
      </c>
    </row>
    <row r="1426" spans="1:1" x14ac:dyDescent="0.25">
      <c r="A1426" t="str">
        <f t="shared" si="22"/>
        <v/>
      </c>
    </row>
    <row r="1427" spans="1:1" x14ac:dyDescent="0.25">
      <c r="A1427" t="str">
        <f t="shared" si="22"/>
        <v/>
      </c>
    </row>
    <row r="1428" spans="1:1" x14ac:dyDescent="0.25">
      <c r="A1428" t="str">
        <f t="shared" si="22"/>
        <v/>
      </c>
    </row>
    <row r="1429" spans="1:1" x14ac:dyDescent="0.25">
      <c r="A1429" t="str">
        <f t="shared" si="22"/>
        <v/>
      </c>
    </row>
    <row r="1430" spans="1:1" x14ac:dyDescent="0.25">
      <c r="A1430" t="str">
        <f t="shared" si="22"/>
        <v/>
      </c>
    </row>
    <row r="1431" spans="1:1" x14ac:dyDescent="0.25">
      <c r="A1431" t="str">
        <f t="shared" si="22"/>
        <v/>
      </c>
    </row>
    <row r="1432" spans="1:1" x14ac:dyDescent="0.25">
      <c r="A1432" t="str">
        <f t="shared" si="22"/>
        <v/>
      </c>
    </row>
    <row r="1433" spans="1:1" x14ac:dyDescent="0.25">
      <c r="A1433" t="str">
        <f t="shared" si="22"/>
        <v/>
      </c>
    </row>
    <row r="1434" spans="1:1" x14ac:dyDescent="0.25">
      <c r="A1434" t="str">
        <f t="shared" si="22"/>
        <v/>
      </c>
    </row>
    <row r="1435" spans="1:1" x14ac:dyDescent="0.25">
      <c r="A1435" t="str">
        <f t="shared" si="22"/>
        <v/>
      </c>
    </row>
    <row r="1436" spans="1:1" x14ac:dyDescent="0.25">
      <c r="A1436" t="str">
        <f t="shared" si="22"/>
        <v/>
      </c>
    </row>
    <row r="1437" spans="1:1" x14ac:dyDescent="0.25">
      <c r="A1437" t="str">
        <f t="shared" si="22"/>
        <v/>
      </c>
    </row>
    <row r="1438" spans="1:1" x14ac:dyDescent="0.25">
      <c r="A1438" t="str">
        <f t="shared" si="22"/>
        <v/>
      </c>
    </row>
    <row r="1439" spans="1:1" x14ac:dyDescent="0.25">
      <c r="A1439" t="str">
        <f t="shared" si="22"/>
        <v/>
      </c>
    </row>
    <row r="1440" spans="1:1" x14ac:dyDescent="0.25">
      <c r="A1440" t="str">
        <f t="shared" si="22"/>
        <v/>
      </c>
    </row>
    <row r="1441" spans="1:1" x14ac:dyDescent="0.25">
      <c r="A1441" t="str">
        <f t="shared" si="22"/>
        <v/>
      </c>
    </row>
    <row r="1442" spans="1:1" x14ac:dyDescent="0.25">
      <c r="A1442" t="str">
        <f t="shared" si="22"/>
        <v/>
      </c>
    </row>
    <row r="1443" spans="1:1" x14ac:dyDescent="0.25">
      <c r="A1443" t="str">
        <f t="shared" si="22"/>
        <v/>
      </c>
    </row>
    <row r="1444" spans="1:1" x14ac:dyDescent="0.25">
      <c r="A1444" t="str">
        <f t="shared" si="22"/>
        <v/>
      </c>
    </row>
    <row r="1445" spans="1:1" x14ac:dyDescent="0.25">
      <c r="A1445" t="str">
        <f t="shared" si="22"/>
        <v/>
      </c>
    </row>
    <row r="1446" spans="1:1" x14ac:dyDescent="0.25">
      <c r="A1446" t="str">
        <f t="shared" si="22"/>
        <v/>
      </c>
    </row>
    <row r="1447" spans="1:1" x14ac:dyDescent="0.25">
      <c r="A1447" t="str">
        <f t="shared" si="22"/>
        <v/>
      </c>
    </row>
    <row r="1448" spans="1:1" x14ac:dyDescent="0.25">
      <c r="A1448" t="str">
        <f t="shared" si="22"/>
        <v/>
      </c>
    </row>
    <row r="1449" spans="1:1" x14ac:dyDescent="0.25">
      <c r="A1449" t="str">
        <f t="shared" si="22"/>
        <v/>
      </c>
    </row>
    <row r="1450" spans="1:1" x14ac:dyDescent="0.25">
      <c r="A1450" t="str">
        <f t="shared" si="22"/>
        <v/>
      </c>
    </row>
    <row r="1451" spans="1:1" x14ac:dyDescent="0.25">
      <c r="A1451" t="str">
        <f t="shared" si="22"/>
        <v/>
      </c>
    </row>
    <row r="1452" spans="1:1" x14ac:dyDescent="0.25">
      <c r="A1452" t="str">
        <f t="shared" si="22"/>
        <v/>
      </c>
    </row>
    <row r="1453" spans="1:1" x14ac:dyDescent="0.25">
      <c r="A1453" t="str">
        <f t="shared" si="22"/>
        <v/>
      </c>
    </row>
    <row r="1454" spans="1:1" x14ac:dyDescent="0.25">
      <c r="A1454" t="str">
        <f t="shared" si="22"/>
        <v/>
      </c>
    </row>
    <row r="1455" spans="1:1" x14ac:dyDescent="0.25">
      <c r="A1455" t="str">
        <f t="shared" si="22"/>
        <v/>
      </c>
    </row>
    <row r="1456" spans="1:1" x14ac:dyDescent="0.25">
      <c r="A1456" t="str">
        <f t="shared" si="22"/>
        <v/>
      </c>
    </row>
    <row r="1457" spans="1:1" x14ac:dyDescent="0.25">
      <c r="A1457" t="str">
        <f t="shared" si="22"/>
        <v/>
      </c>
    </row>
    <row r="1458" spans="1:1" x14ac:dyDescent="0.25">
      <c r="A1458" t="str">
        <f t="shared" si="22"/>
        <v/>
      </c>
    </row>
    <row r="1459" spans="1:1" x14ac:dyDescent="0.25">
      <c r="A1459" t="str">
        <f t="shared" si="22"/>
        <v/>
      </c>
    </row>
    <row r="1460" spans="1:1" x14ac:dyDescent="0.25">
      <c r="A1460" t="str">
        <f t="shared" si="22"/>
        <v/>
      </c>
    </row>
    <row r="1461" spans="1:1" x14ac:dyDescent="0.25">
      <c r="A1461" t="str">
        <f t="shared" si="22"/>
        <v/>
      </c>
    </row>
    <row r="1462" spans="1:1" x14ac:dyDescent="0.25">
      <c r="A1462" t="str">
        <f t="shared" si="22"/>
        <v/>
      </c>
    </row>
    <row r="1463" spans="1:1" x14ac:dyDescent="0.25">
      <c r="A1463" t="str">
        <f t="shared" si="22"/>
        <v/>
      </c>
    </row>
    <row r="1464" spans="1:1" x14ac:dyDescent="0.25">
      <c r="A1464" t="str">
        <f t="shared" si="22"/>
        <v/>
      </c>
    </row>
    <row r="1465" spans="1:1" x14ac:dyDescent="0.25">
      <c r="A1465" t="str">
        <f t="shared" si="22"/>
        <v/>
      </c>
    </row>
    <row r="1466" spans="1:1" x14ac:dyDescent="0.25">
      <c r="A1466" t="str">
        <f t="shared" si="22"/>
        <v/>
      </c>
    </row>
    <row r="1467" spans="1:1" x14ac:dyDescent="0.25">
      <c r="A1467" t="str">
        <f t="shared" si="22"/>
        <v/>
      </c>
    </row>
    <row r="1468" spans="1:1" x14ac:dyDescent="0.25">
      <c r="A1468" t="str">
        <f t="shared" si="22"/>
        <v/>
      </c>
    </row>
    <row r="1469" spans="1:1" x14ac:dyDescent="0.25">
      <c r="A1469" t="str">
        <f t="shared" si="22"/>
        <v/>
      </c>
    </row>
    <row r="1470" spans="1:1" x14ac:dyDescent="0.25">
      <c r="A1470" t="str">
        <f t="shared" si="22"/>
        <v/>
      </c>
    </row>
    <row r="1471" spans="1:1" x14ac:dyDescent="0.25">
      <c r="A1471" t="str">
        <f t="shared" si="22"/>
        <v/>
      </c>
    </row>
    <row r="1472" spans="1:1" x14ac:dyDescent="0.25">
      <c r="A1472" t="str">
        <f t="shared" si="22"/>
        <v/>
      </c>
    </row>
    <row r="1473" spans="1:1" x14ac:dyDescent="0.25">
      <c r="A1473" t="str">
        <f t="shared" si="22"/>
        <v/>
      </c>
    </row>
    <row r="1474" spans="1:1" x14ac:dyDescent="0.25">
      <c r="A1474" t="str">
        <f t="shared" ref="A1474:A1537" si="23">CONCATENATE(B1474, C1474, D1474)</f>
        <v/>
      </c>
    </row>
    <row r="1475" spans="1:1" x14ac:dyDescent="0.25">
      <c r="A1475" t="str">
        <f t="shared" si="23"/>
        <v/>
      </c>
    </row>
    <row r="1476" spans="1:1" x14ac:dyDescent="0.25">
      <c r="A1476" t="str">
        <f t="shared" si="23"/>
        <v/>
      </c>
    </row>
    <row r="1477" spans="1:1" x14ac:dyDescent="0.25">
      <c r="A1477" t="str">
        <f t="shared" si="23"/>
        <v/>
      </c>
    </row>
    <row r="1478" spans="1:1" x14ac:dyDescent="0.25">
      <c r="A1478" t="str">
        <f t="shared" si="23"/>
        <v/>
      </c>
    </row>
    <row r="1479" spans="1:1" x14ac:dyDescent="0.25">
      <c r="A1479" t="str">
        <f t="shared" si="23"/>
        <v/>
      </c>
    </row>
    <row r="1480" spans="1:1" x14ac:dyDescent="0.25">
      <c r="A1480" t="str">
        <f t="shared" si="23"/>
        <v/>
      </c>
    </row>
    <row r="1481" spans="1:1" x14ac:dyDescent="0.25">
      <c r="A1481" t="str">
        <f t="shared" si="23"/>
        <v/>
      </c>
    </row>
    <row r="1482" spans="1:1" x14ac:dyDescent="0.25">
      <c r="A1482" t="str">
        <f t="shared" si="23"/>
        <v/>
      </c>
    </row>
    <row r="1483" spans="1:1" x14ac:dyDescent="0.25">
      <c r="A1483" t="str">
        <f t="shared" si="23"/>
        <v/>
      </c>
    </row>
    <row r="1484" spans="1:1" x14ac:dyDescent="0.25">
      <c r="A1484" t="str">
        <f t="shared" si="23"/>
        <v/>
      </c>
    </row>
    <row r="1485" spans="1:1" x14ac:dyDescent="0.25">
      <c r="A1485" t="str">
        <f t="shared" si="23"/>
        <v/>
      </c>
    </row>
    <row r="1486" spans="1:1" x14ac:dyDescent="0.25">
      <c r="A1486" t="str">
        <f t="shared" si="23"/>
        <v/>
      </c>
    </row>
    <row r="1487" spans="1:1" x14ac:dyDescent="0.25">
      <c r="A1487" t="str">
        <f t="shared" si="23"/>
        <v/>
      </c>
    </row>
    <row r="1488" spans="1:1" x14ac:dyDescent="0.25">
      <c r="A1488" t="str">
        <f t="shared" si="23"/>
        <v/>
      </c>
    </row>
    <row r="1489" spans="1:1" x14ac:dyDescent="0.25">
      <c r="A1489" t="str">
        <f t="shared" si="23"/>
        <v/>
      </c>
    </row>
    <row r="1490" spans="1:1" x14ac:dyDescent="0.25">
      <c r="A1490" t="str">
        <f t="shared" si="23"/>
        <v/>
      </c>
    </row>
    <row r="1491" spans="1:1" x14ac:dyDescent="0.25">
      <c r="A1491" t="str">
        <f t="shared" si="23"/>
        <v/>
      </c>
    </row>
    <row r="1492" spans="1:1" x14ac:dyDescent="0.25">
      <c r="A1492" t="str">
        <f t="shared" si="23"/>
        <v/>
      </c>
    </row>
    <row r="1493" spans="1:1" x14ac:dyDescent="0.25">
      <c r="A1493" t="str">
        <f t="shared" si="23"/>
        <v/>
      </c>
    </row>
    <row r="1494" spans="1:1" x14ac:dyDescent="0.25">
      <c r="A1494" t="str">
        <f t="shared" si="23"/>
        <v/>
      </c>
    </row>
    <row r="1495" spans="1:1" x14ac:dyDescent="0.25">
      <c r="A1495" t="str">
        <f t="shared" si="23"/>
        <v/>
      </c>
    </row>
    <row r="1496" spans="1:1" x14ac:dyDescent="0.25">
      <c r="A1496" t="str">
        <f t="shared" si="23"/>
        <v/>
      </c>
    </row>
    <row r="1497" spans="1:1" x14ac:dyDescent="0.25">
      <c r="A1497" t="str">
        <f t="shared" si="23"/>
        <v/>
      </c>
    </row>
    <row r="1498" spans="1:1" x14ac:dyDescent="0.25">
      <c r="A1498" t="str">
        <f t="shared" si="23"/>
        <v/>
      </c>
    </row>
    <row r="1499" spans="1:1" x14ac:dyDescent="0.25">
      <c r="A1499" t="str">
        <f t="shared" si="23"/>
        <v/>
      </c>
    </row>
    <row r="1500" spans="1:1" x14ac:dyDescent="0.25">
      <c r="A1500" t="str">
        <f t="shared" si="23"/>
        <v/>
      </c>
    </row>
    <row r="1501" spans="1:1" x14ac:dyDescent="0.25">
      <c r="A1501" t="str">
        <f t="shared" si="23"/>
        <v/>
      </c>
    </row>
    <row r="1502" spans="1:1" x14ac:dyDescent="0.25">
      <c r="A1502" t="str">
        <f t="shared" si="23"/>
        <v/>
      </c>
    </row>
    <row r="1503" spans="1:1" x14ac:dyDescent="0.25">
      <c r="A1503" t="str">
        <f t="shared" si="23"/>
        <v/>
      </c>
    </row>
    <row r="1504" spans="1:1" x14ac:dyDescent="0.25">
      <c r="A1504" t="str">
        <f t="shared" si="23"/>
        <v/>
      </c>
    </row>
    <row r="1505" spans="1:1" x14ac:dyDescent="0.25">
      <c r="A1505" t="str">
        <f t="shared" si="23"/>
        <v/>
      </c>
    </row>
    <row r="1506" spans="1:1" x14ac:dyDescent="0.25">
      <c r="A1506" t="str">
        <f t="shared" si="23"/>
        <v/>
      </c>
    </row>
    <row r="1507" spans="1:1" x14ac:dyDescent="0.25">
      <c r="A1507" t="str">
        <f t="shared" si="23"/>
        <v/>
      </c>
    </row>
    <row r="1508" spans="1:1" x14ac:dyDescent="0.25">
      <c r="A1508" t="str">
        <f t="shared" si="23"/>
        <v/>
      </c>
    </row>
    <row r="1509" spans="1:1" x14ac:dyDescent="0.25">
      <c r="A1509" t="str">
        <f t="shared" si="23"/>
        <v/>
      </c>
    </row>
    <row r="1510" spans="1:1" x14ac:dyDescent="0.25">
      <c r="A1510" t="str">
        <f t="shared" si="23"/>
        <v/>
      </c>
    </row>
    <row r="1511" spans="1:1" x14ac:dyDescent="0.25">
      <c r="A1511" t="str">
        <f t="shared" si="23"/>
        <v/>
      </c>
    </row>
    <row r="1512" spans="1:1" x14ac:dyDescent="0.25">
      <c r="A1512" t="str">
        <f t="shared" si="23"/>
        <v/>
      </c>
    </row>
    <row r="1513" spans="1:1" x14ac:dyDescent="0.25">
      <c r="A1513" t="str">
        <f t="shared" si="23"/>
        <v/>
      </c>
    </row>
    <row r="1514" spans="1:1" x14ac:dyDescent="0.25">
      <c r="A1514" t="str">
        <f t="shared" si="23"/>
        <v/>
      </c>
    </row>
    <row r="1515" spans="1:1" x14ac:dyDescent="0.25">
      <c r="A1515" t="str">
        <f t="shared" si="23"/>
        <v/>
      </c>
    </row>
    <row r="1516" spans="1:1" x14ac:dyDescent="0.25">
      <c r="A1516" t="str">
        <f t="shared" si="23"/>
        <v/>
      </c>
    </row>
    <row r="1517" spans="1:1" x14ac:dyDescent="0.25">
      <c r="A1517" t="str">
        <f t="shared" si="23"/>
        <v/>
      </c>
    </row>
    <row r="1518" spans="1:1" x14ac:dyDescent="0.25">
      <c r="A1518" t="str">
        <f t="shared" si="23"/>
        <v/>
      </c>
    </row>
    <row r="1519" spans="1:1" x14ac:dyDescent="0.25">
      <c r="A1519" t="str">
        <f t="shared" si="23"/>
        <v/>
      </c>
    </row>
    <row r="1520" spans="1:1" x14ac:dyDescent="0.25">
      <c r="A1520" t="str">
        <f t="shared" si="23"/>
        <v/>
      </c>
    </row>
    <row r="1521" spans="1:1" x14ac:dyDescent="0.25">
      <c r="A1521" t="str">
        <f t="shared" si="23"/>
        <v/>
      </c>
    </row>
    <row r="1522" spans="1:1" x14ac:dyDescent="0.25">
      <c r="A1522" t="str">
        <f t="shared" si="23"/>
        <v/>
      </c>
    </row>
    <row r="1523" spans="1:1" x14ac:dyDescent="0.25">
      <c r="A1523" t="str">
        <f t="shared" si="23"/>
        <v/>
      </c>
    </row>
    <row r="1524" spans="1:1" x14ac:dyDescent="0.25">
      <c r="A1524" t="str">
        <f t="shared" si="23"/>
        <v/>
      </c>
    </row>
    <row r="1525" spans="1:1" x14ac:dyDescent="0.25">
      <c r="A1525" t="str">
        <f t="shared" si="23"/>
        <v/>
      </c>
    </row>
    <row r="1526" spans="1:1" x14ac:dyDescent="0.25">
      <c r="A1526" t="str">
        <f t="shared" si="23"/>
        <v/>
      </c>
    </row>
    <row r="1527" spans="1:1" x14ac:dyDescent="0.25">
      <c r="A1527" t="str">
        <f t="shared" si="23"/>
        <v/>
      </c>
    </row>
    <row r="1528" spans="1:1" x14ac:dyDescent="0.25">
      <c r="A1528" t="str">
        <f t="shared" si="23"/>
        <v/>
      </c>
    </row>
    <row r="1529" spans="1:1" x14ac:dyDescent="0.25">
      <c r="A1529" t="str">
        <f t="shared" si="23"/>
        <v/>
      </c>
    </row>
    <row r="1530" spans="1:1" x14ac:dyDescent="0.25">
      <c r="A1530" t="str">
        <f t="shared" si="23"/>
        <v/>
      </c>
    </row>
    <row r="1531" spans="1:1" x14ac:dyDescent="0.25">
      <c r="A1531" t="str">
        <f t="shared" si="23"/>
        <v/>
      </c>
    </row>
    <row r="1532" spans="1:1" x14ac:dyDescent="0.25">
      <c r="A1532" t="str">
        <f t="shared" si="23"/>
        <v/>
      </c>
    </row>
    <row r="1533" spans="1:1" x14ac:dyDescent="0.25">
      <c r="A1533" t="str">
        <f t="shared" si="23"/>
        <v/>
      </c>
    </row>
    <row r="1534" spans="1:1" x14ac:dyDescent="0.25">
      <c r="A1534" t="str">
        <f t="shared" si="23"/>
        <v/>
      </c>
    </row>
    <row r="1535" spans="1:1" x14ac:dyDescent="0.25">
      <c r="A1535" t="str">
        <f t="shared" si="23"/>
        <v/>
      </c>
    </row>
    <row r="1536" spans="1:1" x14ac:dyDescent="0.25">
      <c r="A1536" t="str">
        <f t="shared" si="23"/>
        <v/>
      </c>
    </row>
    <row r="1537" spans="1:1" x14ac:dyDescent="0.25">
      <c r="A1537" t="str">
        <f t="shared" si="23"/>
        <v/>
      </c>
    </row>
    <row r="1538" spans="1:1" x14ac:dyDescent="0.25">
      <c r="A1538" t="str">
        <f t="shared" ref="A1538:A1601" si="24">CONCATENATE(B1538, C1538, D1538)</f>
        <v/>
      </c>
    </row>
    <row r="1539" spans="1:1" x14ac:dyDescent="0.25">
      <c r="A1539" t="str">
        <f t="shared" si="24"/>
        <v/>
      </c>
    </row>
    <row r="1540" spans="1:1" x14ac:dyDescent="0.25">
      <c r="A1540" t="str">
        <f t="shared" si="24"/>
        <v/>
      </c>
    </row>
    <row r="1541" spans="1:1" x14ac:dyDescent="0.25">
      <c r="A1541" t="str">
        <f t="shared" si="24"/>
        <v/>
      </c>
    </row>
    <row r="1542" spans="1:1" x14ac:dyDescent="0.25">
      <c r="A1542" t="str">
        <f t="shared" si="24"/>
        <v/>
      </c>
    </row>
    <row r="1543" spans="1:1" x14ac:dyDescent="0.25">
      <c r="A1543" t="str">
        <f t="shared" si="24"/>
        <v/>
      </c>
    </row>
    <row r="1544" spans="1:1" x14ac:dyDescent="0.25">
      <c r="A1544" t="str">
        <f t="shared" si="24"/>
        <v/>
      </c>
    </row>
    <row r="1545" spans="1:1" x14ac:dyDescent="0.25">
      <c r="A1545" t="str">
        <f t="shared" si="24"/>
        <v/>
      </c>
    </row>
    <row r="1546" spans="1:1" x14ac:dyDescent="0.25">
      <c r="A1546" t="str">
        <f t="shared" si="24"/>
        <v/>
      </c>
    </row>
    <row r="1547" spans="1:1" x14ac:dyDescent="0.25">
      <c r="A1547" t="str">
        <f t="shared" si="24"/>
        <v/>
      </c>
    </row>
    <row r="1548" spans="1:1" x14ac:dyDescent="0.25">
      <c r="A1548" t="str">
        <f t="shared" si="24"/>
        <v/>
      </c>
    </row>
    <row r="1549" spans="1:1" x14ac:dyDescent="0.25">
      <c r="A1549" t="str">
        <f t="shared" si="24"/>
        <v/>
      </c>
    </row>
    <row r="1550" spans="1:1" x14ac:dyDescent="0.25">
      <c r="A1550" t="str">
        <f t="shared" si="24"/>
        <v/>
      </c>
    </row>
    <row r="1551" spans="1:1" x14ac:dyDescent="0.25">
      <c r="A1551" t="str">
        <f t="shared" si="24"/>
        <v/>
      </c>
    </row>
    <row r="1552" spans="1:1" x14ac:dyDescent="0.25">
      <c r="A1552" t="str">
        <f t="shared" si="24"/>
        <v/>
      </c>
    </row>
    <row r="1553" spans="1:1" x14ac:dyDescent="0.25">
      <c r="A1553" t="str">
        <f t="shared" si="24"/>
        <v/>
      </c>
    </row>
    <row r="1554" spans="1:1" x14ac:dyDescent="0.25">
      <c r="A1554" t="str">
        <f t="shared" si="24"/>
        <v/>
      </c>
    </row>
    <row r="1555" spans="1:1" x14ac:dyDescent="0.25">
      <c r="A1555" t="str">
        <f t="shared" si="24"/>
        <v/>
      </c>
    </row>
    <row r="1556" spans="1:1" x14ac:dyDescent="0.25">
      <c r="A1556" t="str">
        <f t="shared" si="24"/>
        <v/>
      </c>
    </row>
    <row r="1557" spans="1:1" x14ac:dyDescent="0.25">
      <c r="A1557" t="str">
        <f t="shared" si="24"/>
        <v/>
      </c>
    </row>
    <row r="1558" spans="1:1" x14ac:dyDescent="0.25">
      <c r="A1558" t="str">
        <f t="shared" si="24"/>
        <v/>
      </c>
    </row>
    <row r="1559" spans="1:1" x14ac:dyDescent="0.25">
      <c r="A1559" t="str">
        <f t="shared" si="24"/>
        <v/>
      </c>
    </row>
    <row r="1560" spans="1:1" x14ac:dyDescent="0.25">
      <c r="A1560" t="str">
        <f t="shared" si="24"/>
        <v/>
      </c>
    </row>
    <row r="1561" spans="1:1" x14ac:dyDescent="0.25">
      <c r="A1561" t="str">
        <f t="shared" si="24"/>
        <v/>
      </c>
    </row>
    <row r="1562" spans="1:1" x14ac:dyDescent="0.25">
      <c r="A1562" t="str">
        <f t="shared" si="24"/>
        <v/>
      </c>
    </row>
    <row r="1563" spans="1:1" x14ac:dyDescent="0.25">
      <c r="A1563" t="str">
        <f t="shared" si="24"/>
        <v/>
      </c>
    </row>
    <row r="1564" spans="1:1" x14ac:dyDescent="0.25">
      <c r="A1564" t="str">
        <f t="shared" si="24"/>
        <v/>
      </c>
    </row>
    <row r="1565" spans="1:1" x14ac:dyDescent="0.25">
      <c r="A1565" t="str">
        <f t="shared" si="24"/>
        <v/>
      </c>
    </row>
    <row r="1566" spans="1:1" x14ac:dyDescent="0.25">
      <c r="A1566" t="str">
        <f t="shared" si="24"/>
        <v/>
      </c>
    </row>
    <row r="1567" spans="1:1" x14ac:dyDescent="0.25">
      <c r="A1567" t="str">
        <f t="shared" si="24"/>
        <v/>
      </c>
    </row>
    <row r="1568" spans="1:1" x14ac:dyDescent="0.25">
      <c r="A1568" t="str">
        <f t="shared" si="24"/>
        <v/>
      </c>
    </row>
    <row r="1569" spans="1:1" x14ac:dyDescent="0.25">
      <c r="A1569" t="str">
        <f t="shared" si="24"/>
        <v/>
      </c>
    </row>
    <row r="1570" spans="1:1" x14ac:dyDescent="0.25">
      <c r="A1570" t="str">
        <f t="shared" si="24"/>
        <v/>
      </c>
    </row>
    <row r="1571" spans="1:1" x14ac:dyDescent="0.25">
      <c r="A1571" t="str">
        <f t="shared" si="24"/>
        <v/>
      </c>
    </row>
    <row r="1572" spans="1:1" x14ac:dyDescent="0.25">
      <c r="A1572" t="str">
        <f t="shared" si="24"/>
        <v/>
      </c>
    </row>
    <row r="1573" spans="1:1" x14ac:dyDescent="0.25">
      <c r="A1573" t="str">
        <f t="shared" si="24"/>
        <v/>
      </c>
    </row>
    <row r="1574" spans="1:1" x14ac:dyDescent="0.25">
      <c r="A1574" t="str">
        <f t="shared" si="24"/>
        <v/>
      </c>
    </row>
    <row r="1575" spans="1:1" x14ac:dyDescent="0.25">
      <c r="A1575" t="str">
        <f t="shared" si="24"/>
        <v/>
      </c>
    </row>
    <row r="1576" spans="1:1" x14ac:dyDescent="0.25">
      <c r="A1576" t="str">
        <f t="shared" si="24"/>
        <v/>
      </c>
    </row>
    <row r="1577" spans="1:1" x14ac:dyDescent="0.25">
      <c r="A1577" t="str">
        <f t="shared" si="24"/>
        <v/>
      </c>
    </row>
    <row r="1578" spans="1:1" x14ac:dyDescent="0.25">
      <c r="A1578" t="str">
        <f t="shared" si="24"/>
        <v/>
      </c>
    </row>
    <row r="1579" spans="1:1" x14ac:dyDescent="0.25">
      <c r="A1579" t="str">
        <f t="shared" si="24"/>
        <v/>
      </c>
    </row>
    <row r="1580" spans="1:1" x14ac:dyDescent="0.25">
      <c r="A1580" t="str">
        <f t="shared" si="24"/>
        <v/>
      </c>
    </row>
    <row r="1581" spans="1:1" x14ac:dyDescent="0.25">
      <c r="A1581" t="str">
        <f t="shared" si="24"/>
        <v/>
      </c>
    </row>
    <row r="1582" spans="1:1" x14ac:dyDescent="0.25">
      <c r="A1582" t="str">
        <f t="shared" si="24"/>
        <v/>
      </c>
    </row>
    <row r="1583" spans="1:1" x14ac:dyDescent="0.25">
      <c r="A1583" t="str">
        <f t="shared" si="24"/>
        <v/>
      </c>
    </row>
    <row r="1584" spans="1:1" x14ac:dyDescent="0.25">
      <c r="A1584" t="str">
        <f t="shared" si="24"/>
        <v/>
      </c>
    </row>
    <row r="1585" spans="1:1" x14ac:dyDescent="0.25">
      <c r="A1585" t="str">
        <f t="shared" si="24"/>
        <v/>
      </c>
    </row>
    <row r="1586" spans="1:1" x14ac:dyDescent="0.25">
      <c r="A1586" t="str">
        <f t="shared" si="24"/>
        <v/>
      </c>
    </row>
    <row r="1587" spans="1:1" x14ac:dyDescent="0.25">
      <c r="A1587" t="str">
        <f t="shared" si="24"/>
        <v/>
      </c>
    </row>
    <row r="1588" spans="1:1" x14ac:dyDescent="0.25">
      <c r="A1588" t="str">
        <f t="shared" si="24"/>
        <v/>
      </c>
    </row>
    <row r="1589" spans="1:1" x14ac:dyDescent="0.25">
      <c r="A1589" t="str">
        <f t="shared" si="24"/>
        <v/>
      </c>
    </row>
    <row r="1590" spans="1:1" x14ac:dyDescent="0.25">
      <c r="A1590" t="str">
        <f t="shared" si="24"/>
        <v/>
      </c>
    </row>
    <row r="1591" spans="1:1" x14ac:dyDescent="0.25">
      <c r="A1591" t="str">
        <f t="shared" si="24"/>
        <v/>
      </c>
    </row>
    <row r="1592" spans="1:1" x14ac:dyDescent="0.25">
      <c r="A1592" t="str">
        <f t="shared" si="24"/>
        <v/>
      </c>
    </row>
    <row r="1593" spans="1:1" x14ac:dyDescent="0.25">
      <c r="A1593" t="str">
        <f t="shared" si="24"/>
        <v/>
      </c>
    </row>
    <row r="1594" spans="1:1" x14ac:dyDescent="0.25">
      <c r="A1594" t="str">
        <f t="shared" si="24"/>
        <v/>
      </c>
    </row>
    <row r="1595" spans="1:1" x14ac:dyDescent="0.25">
      <c r="A1595" t="str">
        <f t="shared" si="24"/>
        <v/>
      </c>
    </row>
    <row r="1596" spans="1:1" x14ac:dyDescent="0.25">
      <c r="A1596" t="str">
        <f t="shared" si="24"/>
        <v/>
      </c>
    </row>
    <row r="1597" spans="1:1" x14ac:dyDescent="0.25">
      <c r="A1597" t="str">
        <f t="shared" si="24"/>
        <v/>
      </c>
    </row>
    <row r="1598" spans="1:1" x14ac:dyDescent="0.25">
      <c r="A1598" t="str">
        <f t="shared" si="24"/>
        <v/>
      </c>
    </row>
    <row r="1599" spans="1:1" x14ac:dyDescent="0.25">
      <c r="A1599" t="str">
        <f t="shared" si="24"/>
        <v/>
      </c>
    </row>
    <row r="1600" spans="1:1" x14ac:dyDescent="0.25">
      <c r="A1600" t="str">
        <f t="shared" si="24"/>
        <v/>
      </c>
    </row>
    <row r="1601" spans="1:1" x14ac:dyDescent="0.25">
      <c r="A1601" t="str">
        <f t="shared" si="24"/>
        <v/>
      </c>
    </row>
    <row r="1602" spans="1:1" x14ac:dyDescent="0.25">
      <c r="A1602" t="str">
        <f t="shared" ref="A1602:A1665" si="25">CONCATENATE(B1602, C1602, D1602)</f>
        <v/>
      </c>
    </row>
    <row r="1603" spans="1:1" x14ac:dyDescent="0.25">
      <c r="A1603" t="str">
        <f t="shared" si="25"/>
        <v/>
      </c>
    </row>
    <row r="1604" spans="1:1" x14ac:dyDescent="0.25">
      <c r="A1604" t="str">
        <f t="shared" si="25"/>
        <v/>
      </c>
    </row>
    <row r="1605" spans="1:1" x14ac:dyDescent="0.25">
      <c r="A1605" t="str">
        <f t="shared" si="25"/>
        <v/>
      </c>
    </row>
    <row r="1606" spans="1:1" x14ac:dyDescent="0.25">
      <c r="A1606" t="str">
        <f t="shared" si="25"/>
        <v/>
      </c>
    </row>
    <row r="1607" spans="1:1" x14ac:dyDescent="0.25">
      <c r="A1607" t="str">
        <f t="shared" si="25"/>
        <v/>
      </c>
    </row>
    <row r="1608" spans="1:1" x14ac:dyDescent="0.25">
      <c r="A1608" t="str">
        <f t="shared" si="25"/>
        <v/>
      </c>
    </row>
    <row r="1609" spans="1:1" x14ac:dyDescent="0.25">
      <c r="A1609" t="str">
        <f t="shared" si="25"/>
        <v/>
      </c>
    </row>
    <row r="1610" spans="1:1" x14ac:dyDescent="0.25">
      <c r="A1610" t="str">
        <f t="shared" si="25"/>
        <v/>
      </c>
    </row>
    <row r="1611" spans="1:1" x14ac:dyDescent="0.25">
      <c r="A1611" t="str">
        <f t="shared" si="25"/>
        <v/>
      </c>
    </row>
    <row r="1612" spans="1:1" x14ac:dyDescent="0.25">
      <c r="A1612" t="str">
        <f t="shared" si="25"/>
        <v/>
      </c>
    </row>
    <row r="1613" spans="1:1" x14ac:dyDescent="0.25">
      <c r="A1613" t="str">
        <f t="shared" si="25"/>
        <v/>
      </c>
    </row>
    <row r="1614" spans="1:1" x14ac:dyDescent="0.25">
      <c r="A1614" t="str">
        <f t="shared" si="25"/>
        <v/>
      </c>
    </row>
    <row r="1615" spans="1:1" x14ac:dyDescent="0.25">
      <c r="A1615" t="str">
        <f t="shared" si="25"/>
        <v/>
      </c>
    </row>
    <row r="1616" spans="1:1" x14ac:dyDescent="0.25">
      <c r="A1616" t="str">
        <f t="shared" si="25"/>
        <v/>
      </c>
    </row>
    <row r="1617" spans="1:1" x14ac:dyDescent="0.25">
      <c r="A1617" t="str">
        <f t="shared" si="25"/>
        <v/>
      </c>
    </row>
    <row r="1618" spans="1:1" x14ac:dyDescent="0.25">
      <c r="A1618" t="str">
        <f t="shared" si="25"/>
        <v/>
      </c>
    </row>
    <row r="1619" spans="1:1" x14ac:dyDescent="0.25">
      <c r="A1619" t="str">
        <f t="shared" si="25"/>
        <v/>
      </c>
    </row>
    <row r="1620" spans="1:1" x14ac:dyDescent="0.25">
      <c r="A1620" t="str">
        <f t="shared" si="25"/>
        <v/>
      </c>
    </row>
    <row r="1621" spans="1:1" x14ac:dyDescent="0.25">
      <c r="A1621" t="str">
        <f t="shared" si="25"/>
        <v/>
      </c>
    </row>
    <row r="1622" spans="1:1" x14ac:dyDescent="0.25">
      <c r="A1622" t="str">
        <f t="shared" si="25"/>
        <v/>
      </c>
    </row>
    <row r="1623" spans="1:1" x14ac:dyDescent="0.25">
      <c r="A1623" t="str">
        <f t="shared" si="25"/>
        <v/>
      </c>
    </row>
    <row r="1624" spans="1:1" x14ac:dyDescent="0.25">
      <c r="A1624" t="str">
        <f t="shared" si="25"/>
        <v/>
      </c>
    </row>
    <row r="1625" spans="1:1" x14ac:dyDescent="0.25">
      <c r="A1625" t="str">
        <f t="shared" si="25"/>
        <v/>
      </c>
    </row>
    <row r="1626" spans="1:1" x14ac:dyDescent="0.25">
      <c r="A1626" t="str">
        <f t="shared" si="25"/>
        <v/>
      </c>
    </row>
    <row r="1627" spans="1:1" x14ac:dyDescent="0.25">
      <c r="A1627" t="str">
        <f t="shared" si="25"/>
        <v/>
      </c>
    </row>
    <row r="1628" spans="1:1" x14ac:dyDescent="0.25">
      <c r="A1628" t="str">
        <f t="shared" si="25"/>
        <v/>
      </c>
    </row>
    <row r="1629" spans="1:1" x14ac:dyDescent="0.25">
      <c r="A1629" t="str">
        <f t="shared" si="25"/>
        <v/>
      </c>
    </row>
    <row r="1630" spans="1:1" x14ac:dyDescent="0.25">
      <c r="A1630" t="str">
        <f t="shared" si="25"/>
        <v/>
      </c>
    </row>
    <row r="1631" spans="1:1" x14ac:dyDescent="0.25">
      <c r="A1631" t="str">
        <f t="shared" si="25"/>
        <v/>
      </c>
    </row>
    <row r="1632" spans="1:1" x14ac:dyDescent="0.25">
      <c r="A1632" t="str">
        <f t="shared" si="25"/>
        <v/>
      </c>
    </row>
    <row r="1633" spans="1:1" x14ac:dyDescent="0.25">
      <c r="A1633" t="str">
        <f t="shared" si="25"/>
        <v/>
      </c>
    </row>
    <row r="1634" spans="1:1" x14ac:dyDescent="0.25">
      <c r="A1634" t="str">
        <f t="shared" si="25"/>
        <v/>
      </c>
    </row>
    <row r="1635" spans="1:1" x14ac:dyDescent="0.25">
      <c r="A1635" t="str">
        <f t="shared" si="25"/>
        <v/>
      </c>
    </row>
    <row r="1636" spans="1:1" x14ac:dyDescent="0.25">
      <c r="A1636" t="str">
        <f t="shared" si="25"/>
        <v/>
      </c>
    </row>
    <row r="1637" spans="1:1" x14ac:dyDescent="0.25">
      <c r="A1637" t="str">
        <f t="shared" si="25"/>
        <v/>
      </c>
    </row>
    <row r="1638" spans="1:1" x14ac:dyDescent="0.25">
      <c r="A1638" t="str">
        <f t="shared" si="25"/>
        <v/>
      </c>
    </row>
    <row r="1639" spans="1:1" x14ac:dyDescent="0.25">
      <c r="A1639" t="str">
        <f t="shared" si="25"/>
        <v/>
      </c>
    </row>
    <row r="1640" spans="1:1" x14ac:dyDescent="0.25">
      <c r="A1640" t="str">
        <f t="shared" si="25"/>
        <v/>
      </c>
    </row>
    <row r="1641" spans="1:1" x14ac:dyDescent="0.25">
      <c r="A1641" t="str">
        <f t="shared" si="25"/>
        <v/>
      </c>
    </row>
    <row r="1642" spans="1:1" x14ac:dyDescent="0.25">
      <c r="A1642" t="str">
        <f t="shared" si="25"/>
        <v/>
      </c>
    </row>
    <row r="1643" spans="1:1" x14ac:dyDescent="0.25">
      <c r="A1643" t="str">
        <f t="shared" si="25"/>
        <v/>
      </c>
    </row>
    <row r="1644" spans="1:1" x14ac:dyDescent="0.25">
      <c r="A1644" t="str">
        <f t="shared" si="25"/>
        <v/>
      </c>
    </row>
    <row r="1645" spans="1:1" x14ac:dyDescent="0.25">
      <c r="A1645" t="str">
        <f t="shared" si="25"/>
        <v/>
      </c>
    </row>
    <row r="1646" spans="1:1" x14ac:dyDescent="0.25">
      <c r="A1646" t="str">
        <f t="shared" si="25"/>
        <v/>
      </c>
    </row>
    <row r="1647" spans="1:1" x14ac:dyDescent="0.25">
      <c r="A1647" t="str">
        <f t="shared" si="25"/>
        <v/>
      </c>
    </row>
    <row r="1648" spans="1:1" x14ac:dyDescent="0.25">
      <c r="A1648" t="str">
        <f t="shared" si="25"/>
        <v/>
      </c>
    </row>
    <row r="1649" spans="1:1" x14ac:dyDescent="0.25">
      <c r="A1649" t="str">
        <f t="shared" si="25"/>
        <v/>
      </c>
    </row>
    <row r="1650" spans="1:1" x14ac:dyDescent="0.25">
      <c r="A1650" t="str">
        <f t="shared" si="25"/>
        <v/>
      </c>
    </row>
    <row r="1651" spans="1:1" x14ac:dyDescent="0.25">
      <c r="A1651" t="str">
        <f t="shared" si="25"/>
        <v/>
      </c>
    </row>
    <row r="1652" spans="1:1" x14ac:dyDescent="0.25">
      <c r="A1652" t="str">
        <f t="shared" si="25"/>
        <v/>
      </c>
    </row>
    <row r="1653" spans="1:1" x14ac:dyDescent="0.25">
      <c r="A1653" t="str">
        <f t="shared" si="25"/>
        <v/>
      </c>
    </row>
    <row r="1654" spans="1:1" x14ac:dyDescent="0.25">
      <c r="A1654" t="str">
        <f t="shared" si="25"/>
        <v/>
      </c>
    </row>
    <row r="1655" spans="1:1" x14ac:dyDescent="0.25">
      <c r="A1655" t="str">
        <f t="shared" si="25"/>
        <v/>
      </c>
    </row>
    <row r="1656" spans="1:1" x14ac:dyDescent="0.25">
      <c r="A1656" t="str">
        <f t="shared" si="25"/>
        <v/>
      </c>
    </row>
    <row r="1657" spans="1:1" x14ac:dyDescent="0.25">
      <c r="A1657" t="str">
        <f t="shared" si="25"/>
        <v/>
      </c>
    </row>
    <row r="1658" spans="1:1" x14ac:dyDescent="0.25">
      <c r="A1658" t="str">
        <f t="shared" si="25"/>
        <v/>
      </c>
    </row>
    <row r="1659" spans="1:1" x14ac:dyDescent="0.25">
      <c r="A1659" t="str">
        <f t="shared" si="25"/>
        <v/>
      </c>
    </row>
    <row r="1660" spans="1:1" x14ac:dyDescent="0.25">
      <c r="A1660" t="str">
        <f t="shared" si="25"/>
        <v/>
      </c>
    </row>
    <row r="1661" spans="1:1" x14ac:dyDescent="0.25">
      <c r="A1661" t="str">
        <f t="shared" si="25"/>
        <v/>
      </c>
    </row>
    <row r="1662" spans="1:1" x14ac:dyDescent="0.25">
      <c r="A1662" t="str">
        <f t="shared" si="25"/>
        <v/>
      </c>
    </row>
    <row r="1663" spans="1:1" x14ac:dyDescent="0.25">
      <c r="A1663" t="str">
        <f t="shared" si="25"/>
        <v/>
      </c>
    </row>
    <row r="1664" spans="1:1" x14ac:dyDescent="0.25">
      <c r="A1664" t="str">
        <f t="shared" si="25"/>
        <v/>
      </c>
    </row>
    <row r="1665" spans="1:1" x14ac:dyDescent="0.25">
      <c r="A1665" t="str">
        <f t="shared" si="25"/>
        <v/>
      </c>
    </row>
    <row r="1666" spans="1:1" x14ac:dyDescent="0.25">
      <c r="A1666" t="str">
        <f t="shared" ref="A1666:A1729" si="26">CONCATENATE(B1666, C1666, D1666)</f>
        <v/>
      </c>
    </row>
    <row r="1667" spans="1:1" x14ac:dyDescent="0.25">
      <c r="A1667" t="str">
        <f t="shared" si="26"/>
        <v/>
      </c>
    </row>
    <row r="1668" spans="1:1" x14ac:dyDescent="0.25">
      <c r="A1668" t="str">
        <f t="shared" si="26"/>
        <v/>
      </c>
    </row>
    <row r="1669" spans="1:1" x14ac:dyDescent="0.25">
      <c r="A1669" t="str">
        <f t="shared" si="26"/>
        <v/>
      </c>
    </row>
    <row r="1670" spans="1:1" x14ac:dyDescent="0.25">
      <c r="A1670" t="str">
        <f t="shared" si="26"/>
        <v/>
      </c>
    </row>
    <row r="1671" spans="1:1" x14ac:dyDescent="0.25">
      <c r="A1671" t="str">
        <f t="shared" si="26"/>
        <v/>
      </c>
    </row>
    <row r="1672" spans="1:1" x14ac:dyDescent="0.25">
      <c r="A1672" t="str">
        <f t="shared" si="26"/>
        <v/>
      </c>
    </row>
    <row r="1673" spans="1:1" x14ac:dyDescent="0.25">
      <c r="A1673" t="str">
        <f t="shared" si="26"/>
        <v/>
      </c>
    </row>
    <row r="1674" spans="1:1" x14ac:dyDescent="0.25">
      <c r="A1674" t="str">
        <f t="shared" si="26"/>
        <v/>
      </c>
    </row>
    <row r="1675" spans="1:1" x14ac:dyDescent="0.25">
      <c r="A1675" t="str">
        <f t="shared" si="26"/>
        <v/>
      </c>
    </row>
    <row r="1676" spans="1:1" x14ac:dyDescent="0.25">
      <c r="A1676" t="str">
        <f t="shared" si="26"/>
        <v/>
      </c>
    </row>
    <row r="1677" spans="1:1" x14ac:dyDescent="0.25">
      <c r="A1677" t="str">
        <f t="shared" si="26"/>
        <v/>
      </c>
    </row>
    <row r="1678" spans="1:1" x14ac:dyDescent="0.25">
      <c r="A1678" t="str">
        <f t="shared" si="26"/>
        <v/>
      </c>
    </row>
    <row r="1679" spans="1:1" x14ac:dyDescent="0.25">
      <c r="A1679" t="str">
        <f t="shared" si="26"/>
        <v/>
      </c>
    </row>
    <row r="1680" spans="1:1" x14ac:dyDescent="0.25">
      <c r="A1680" t="str">
        <f t="shared" si="26"/>
        <v/>
      </c>
    </row>
    <row r="1681" spans="1:1" x14ac:dyDescent="0.25">
      <c r="A1681" t="str">
        <f t="shared" si="26"/>
        <v/>
      </c>
    </row>
    <row r="1682" spans="1:1" x14ac:dyDescent="0.25">
      <c r="A1682" t="str">
        <f t="shared" si="26"/>
        <v/>
      </c>
    </row>
    <row r="1683" spans="1:1" x14ac:dyDescent="0.25">
      <c r="A1683" t="str">
        <f t="shared" si="26"/>
        <v/>
      </c>
    </row>
    <row r="1684" spans="1:1" x14ac:dyDescent="0.25">
      <c r="A1684" t="str">
        <f t="shared" si="26"/>
        <v/>
      </c>
    </row>
    <row r="1685" spans="1:1" x14ac:dyDescent="0.25">
      <c r="A1685" t="str">
        <f t="shared" si="26"/>
        <v/>
      </c>
    </row>
    <row r="1686" spans="1:1" x14ac:dyDescent="0.25">
      <c r="A1686" t="str">
        <f t="shared" si="26"/>
        <v/>
      </c>
    </row>
    <row r="1687" spans="1:1" x14ac:dyDescent="0.25">
      <c r="A1687" t="str">
        <f t="shared" si="26"/>
        <v/>
      </c>
    </row>
    <row r="1688" spans="1:1" x14ac:dyDescent="0.25">
      <c r="A1688" t="str">
        <f t="shared" si="26"/>
        <v/>
      </c>
    </row>
    <row r="1689" spans="1:1" x14ac:dyDescent="0.25">
      <c r="A1689" t="str">
        <f t="shared" si="26"/>
        <v/>
      </c>
    </row>
    <row r="1690" spans="1:1" x14ac:dyDescent="0.25">
      <c r="A1690" t="str">
        <f t="shared" si="26"/>
        <v/>
      </c>
    </row>
    <row r="1691" spans="1:1" x14ac:dyDescent="0.25">
      <c r="A1691" t="str">
        <f t="shared" si="26"/>
        <v/>
      </c>
    </row>
    <row r="1692" spans="1:1" x14ac:dyDescent="0.25">
      <c r="A1692" t="str">
        <f t="shared" si="26"/>
        <v/>
      </c>
    </row>
    <row r="1693" spans="1:1" x14ac:dyDescent="0.25">
      <c r="A1693" t="str">
        <f t="shared" si="26"/>
        <v/>
      </c>
    </row>
    <row r="1694" spans="1:1" x14ac:dyDescent="0.25">
      <c r="A1694" t="str">
        <f t="shared" si="26"/>
        <v/>
      </c>
    </row>
    <row r="1695" spans="1:1" x14ac:dyDescent="0.25">
      <c r="A1695" t="str">
        <f t="shared" si="26"/>
        <v/>
      </c>
    </row>
    <row r="1696" spans="1:1" x14ac:dyDescent="0.25">
      <c r="A1696" t="str">
        <f t="shared" si="26"/>
        <v/>
      </c>
    </row>
    <row r="1697" spans="1:1" x14ac:dyDescent="0.25">
      <c r="A1697" t="str">
        <f t="shared" si="26"/>
        <v/>
      </c>
    </row>
    <row r="1698" spans="1:1" x14ac:dyDescent="0.25">
      <c r="A1698" t="str">
        <f t="shared" si="26"/>
        <v/>
      </c>
    </row>
    <row r="1699" spans="1:1" x14ac:dyDescent="0.25">
      <c r="A1699" t="str">
        <f t="shared" si="26"/>
        <v/>
      </c>
    </row>
    <row r="1700" spans="1:1" x14ac:dyDescent="0.25">
      <c r="A1700" t="str">
        <f t="shared" si="26"/>
        <v/>
      </c>
    </row>
    <row r="1701" spans="1:1" x14ac:dyDescent="0.25">
      <c r="A1701" t="str">
        <f t="shared" si="26"/>
        <v/>
      </c>
    </row>
    <row r="1702" spans="1:1" x14ac:dyDescent="0.25">
      <c r="A1702" t="str">
        <f t="shared" si="26"/>
        <v/>
      </c>
    </row>
    <row r="1703" spans="1:1" x14ac:dyDescent="0.25">
      <c r="A1703" t="str">
        <f t="shared" si="26"/>
        <v/>
      </c>
    </row>
    <row r="1704" spans="1:1" x14ac:dyDescent="0.25">
      <c r="A1704" t="str">
        <f t="shared" si="26"/>
        <v/>
      </c>
    </row>
    <row r="1705" spans="1:1" x14ac:dyDescent="0.25">
      <c r="A1705" t="str">
        <f t="shared" si="26"/>
        <v/>
      </c>
    </row>
    <row r="1706" spans="1:1" x14ac:dyDescent="0.25">
      <c r="A1706" t="str">
        <f t="shared" si="26"/>
        <v/>
      </c>
    </row>
    <row r="1707" spans="1:1" x14ac:dyDescent="0.25">
      <c r="A1707" t="str">
        <f t="shared" si="26"/>
        <v/>
      </c>
    </row>
    <row r="1708" spans="1:1" x14ac:dyDescent="0.25">
      <c r="A1708" t="str">
        <f t="shared" si="26"/>
        <v/>
      </c>
    </row>
    <row r="1709" spans="1:1" x14ac:dyDescent="0.25">
      <c r="A1709" t="str">
        <f t="shared" si="26"/>
        <v/>
      </c>
    </row>
    <row r="1710" spans="1:1" x14ac:dyDescent="0.25">
      <c r="A1710" t="str">
        <f t="shared" si="26"/>
        <v/>
      </c>
    </row>
    <row r="1711" spans="1:1" x14ac:dyDescent="0.25">
      <c r="A1711" t="str">
        <f t="shared" si="26"/>
        <v/>
      </c>
    </row>
    <row r="1712" spans="1:1" x14ac:dyDescent="0.25">
      <c r="A1712" t="str">
        <f t="shared" si="26"/>
        <v/>
      </c>
    </row>
    <row r="1713" spans="1:1" x14ac:dyDescent="0.25">
      <c r="A1713" t="str">
        <f t="shared" si="26"/>
        <v/>
      </c>
    </row>
    <row r="1714" spans="1:1" x14ac:dyDescent="0.25">
      <c r="A1714" t="str">
        <f t="shared" si="26"/>
        <v/>
      </c>
    </row>
    <row r="1715" spans="1:1" x14ac:dyDescent="0.25">
      <c r="A1715" t="str">
        <f t="shared" si="26"/>
        <v/>
      </c>
    </row>
    <row r="1716" spans="1:1" x14ac:dyDescent="0.25">
      <c r="A1716" t="str">
        <f t="shared" si="26"/>
        <v/>
      </c>
    </row>
    <row r="1717" spans="1:1" x14ac:dyDescent="0.25">
      <c r="A1717" t="str">
        <f t="shared" si="26"/>
        <v/>
      </c>
    </row>
    <row r="1718" spans="1:1" x14ac:dyDescent="0.25">
      <c r="A1718" t="str">
        <f t="shared" si="26"/>
        <v/>
      </c>
    </row>
    <row r="1719" spans="1:1" x14ac:dyDescent="0.25">
      <c r="A1719" t="str">
        <f t="shared" si="26"/>
        <v/>
      </c>
    </row>
    <row r="1720" spans="1:1" x14ac:dyDescent="0.25">
      <c r="A1720" t="str">
        <f t="shared" si="26"/>
        <v/>
      </c>
    </row>
    <row r="1721" spans="1:1" x14ac:dyDescent="0.25">
      <c r="A1721" t="str">
        <f t="shared" si="26"/>
        <v/>
      </c>
    </row>
    <row r="1722" spans="1:1" x14ac:dyDescent="0.25">
      <c r="A1722" t="str">
        <f t="shared" si="26"/>
        <v/>
      </c>
    </row>
    <row r="1723" spans="1:1" x14ac:dyDescent="0.25">
      <c r="A1723" t="str">
        <f t="shared" si="26"/>
        <v/>
      </c>
    </row>
    <row r="1724" spans="1:1" x14ac:dyDescent="0.25">
      <c r="A1724" t="str">
        <f t="shared" si="26"/>
        <v/>
      </c>
    </row>
    <row r="1725" spans="1:1" x14ac:dyDescent="0.25">
      <c r="A1725" t="str">
        <f t="shared" si="26"/>
        <v/>
      </c>
    </row>
    <row r="1726" spans="1:1" x14ac:dyDescent="0.25">
      <c r="A1726" t="str">
        <f t="shared" si="26"/>
        <v/>
      </c>
    </row>
    <row r="1727" spans="1:1" x14ac:dyDescent="0.25">
      <c r="A1727" t="str">
        <f t="shared" si="26"/>
        <v/>
      </c>
    </row>
    <row r="1728" spans="1:1" x14ac:dyDescent="0.25">
      <c r="A1728" t="str">
        <f t="shared" si="26"/>
        <v/>
      </c>
    </row>
    <row r="1729" spans="1:1" x14ac:dyDescent="0.25">
      <c r="A1729" t="str">
        <f t="shared" si="26"/>
        <v/>
      </c>
    </row>
    <row r="1730" spans="1:1" x14ac:dyDescent="0.25">
      <c r="A1730" t="str">
        <f t="shared" ref="A1730:A1793" si="27">CONCATENATE(B1730, C1730, D1730)</f>
        <v/>
      </c>
    </row>
    <row r="1731" spans="1:1" x14ac:dyDescent="0.25">
      <c r="A1731" t="str">
        <f t="shared" si="27"/>
        <v/>
      </c>
    </row>
    <row r="1732" spans="1:1" x14ac:dyDescent="0.25">
      <c r="A1732" t="str">
        <f t="shared" si="27"/>
        <v/>
      </c>
    </row>
    <row r="1733" spans="1:1" x14ac:dyDescent="0.25">
      <c r="A1733" t="str">
        <f t="shared" si="27"/>
        <v/>
      </c>
    </row>
    <row r="1734" spans="1:1" x14ac:dyDescent="0.25">
      <c r="A1734" t="str">
        <f t="shared" si="27"/>
        <v/>
      </c>
    </row>
    <row r="1735" spans="1:1" x14ac:dyDescent="0.25">
      <c r="A1735" t="str">
        <f t="shared" si="27"/>
        <v/>
      </c>
    </row>
    <row r="1736" spans="1:1" x14ac:dyDescent="0.25">
      <c r="A1736" t="str">
        <f t="shared" si="27"/>
        <v/>
      </c>
    </row>
    <row r="1737" spans="1:1" x14ac:dyDescent="0.25">
      <c r="A1737" t="str">
        <f t="shared" si="27"/>
        <v/>
      </c>
    </row>
    <row r="1738" spans="1:1" x14ac:dyDescent="0.25">
      <c r="A1738" t="str">
        <f t="shared" si="27"/>
        <v/>
      </c>
    </row>
    <row r="1739" spans="1:1" x14ac:dyDescent="0.25">
      <c r="A1739" t="str">
        <f t="shared" si="27"/>
        <v/>
      </c>
    </row>
    <row r="1740" spans="1:1" x14ac:dyDescent="0.25">
      <c r="A1740" t="str">
        <f t="shared" si="27"/>
        <v/>
      </c>
    </row>
    <row r="1741" spans="1:1" x14ac:dyDescent="0.25">
      <c r="A1741" t="str">
        <f t="shared" si="27"/>
        <v/>
      </c>
    </row>
    <row r="1742" spans="1:1" x14ac:dyDescent="0.25">
      <c r="A1742" t="str">
        <f t="shared" si="27"/>
        <v/>
      </c>
    </row>
    <row r="1743" spans="1:1" x14ac:dyDescent="0.25">
      <c r="A1743" t="str">
        <f t="shared" si="27"/>
        <v/>
      </c>
    </row>
    <row r="1744" spans="1:1" x14ac:dyDescent="0.25">
      <c r="A1744" t="str">
        <f t="shared" si="27"/>
        <v/>
      </c>
    </row>
    <row r="1745" spans="1:1" x14ac:dyDescent="0.25">
      <c r="A1745" t="str">
        <f t="shared" si="27"/>
        <v/>
      </c>
    </row>
    <row r="1746" spans="1:1" x14ac:dyDescent="0.25">
      <c r="A1746" t="str">
        <f t="shared" si="27"/>
        <v/>
      </c>
    </row>
    <row r="1747" spans="1:1" x14ac:dyDescent="0.25">
      <c r="A1747" t="str">
        <f t="shared" si="27"/>
        <v/>
      </c>
    </row>
    <row r="1748" spans="1:1" x14ac:dyDescent="0.25">
      <c r="A1748" t="str">
        <f t="shared" si="27"/>
        <v/>
      </c>
    </row>
    <row r="1749" spans="1:1" x14ac:dyDescent="0.25">
      <c r="A1749" t="str">
        <f t="shared" si="27"/>
        <v/>
      </c>
    </row>
    <row r="1750" spans="1:1" x14ac:dyDescent="0.25">
      <c r="A1750" t="str">
        <f t="shared" si="27"/>
        <v/>
      </c>
    </row>
    <row r="1751" spans="1:1" x14ac:dyDescent="0.25">
      <c r="A1751" t="str">
        <f t="shared" si="27"/>
        <v/>
      </c>
    </row>
    <row r="1752" spans="1:1" x14ac:dyDescent="0.25">
      <c r="A1752" t="str">
        <f t="shared" si="27"/>
        <v/>
      </c>
    </row>
    <row r="1753" spans="1:1" x14ac:dyDescent="0.25">
      <c r="A1753" t="str">
        <f t="shared" si="27"/>
        <v/>
      </c>
    </row>
    <row r="1754" spans="1:1" x14ac:dyDescent="0.25">
      <c r="A1754" t="str">
        <f t="shared" si="27"/>
        <v/>
      </c>
    </row>
    <row r="1755" spans="1:1" x14ac:dyDescent="0.25">
      <c r="A1755" t="str">
        <f t="shared" si="27"/>
        <v/>
      </c>
    </row>
    <row r="1756" spans="1:1" x14ac:dyDescent="0.25">
      <c r="A1756" t="str">
        <f t="shared" si="27"/>
        <v/>
      </c>
    </row>
    <row r="1757" spans="1:1" x14ac:dyDescent="0.25">
      <c r="A1757" t="str">
        <f t="shared" si="27"/>
        <v/>
      </c>
    </row>
    <row r="1758" spans="1:1" x14ac:dyDescent="0.25">
      <c r="A1758" t="str">
        <f t="shared" si="27"/>
        <v/>
      </c>
    </row>
    <row r="1759" spans="1:1" x14ac:dyDescent="0.25">
      <c r="A1759" t="str">
        <f t="shared" si="27"/>
        <v/>
      </c>
    </row>
    <row r="1760" spans="1:1" x14ac:dyDescent="0.25">
      <c r="A1760" t="str">
        <f t="shared" si="27"/>
        <v/>
      </c>
    </row>
    <row r="1761" spans="1:1" x14ac:dyDescent="0.25">
      <c r="A1761" t="str">
        <f t="shared" si="27"/>
        <v/>
      </c>
    </row>
    <row r="1762" spans="1:1" x14ac:dyDescent="0.25">
      <c r="A1762" t="str">
        <f t="shared" si="27"/>
        <v/>
      </c>
    </row>
    <row r="1763" spans="1:1" x14ac:dyDescent="0.25">
      <c r="A1763" t="str">
        <f t="shared" si="27"/>
        <v/>
      </c>
    </row>
    <row r="1764" spans="1:1" x14ac:dyDescent="0.25">
      <c r="A1764" t="str">
        <f t="shared" si="27"/>
        <v/>
      </c>
    </row>
    <row r="1765" spans="1:1" x14ac:dyDescent="0.25">
      <c r="A1765" t="str">
        <f t="shared" si="27"/>
        <v/>
      </c>
    </row>
    <row r="1766" spans="1:1" x14ac:dyDescent="0.25">
      <c r="A1766" t="str">
        <f t="shared" si="27"/>
        <v/>
      </c>
    </row>
    <row r="1767" spans="1:1" x14ac:dyDescent="0.25">
      <c r="A1767" t="str">
        <f t="shared" si="27"/>
        <v/>
      </c>
    </row>
    <row r="1768" spans="1:1" x14ac:dyDescent="0.25">
      <c r="A1768" t="str">
        <f t="shared" si="27"/>
        <v/>
      </c>
    </row>
    <row r="1769" spans="1:1" x14ac:dyDescent="0.25">
      <c r="A1769" t="str">
        <f t="shared" si="27"/>
        <v/>
      </c>
    </row>
    <row r="1770" spans="1:1" x14ac:dyDescent="0.25">
      <c r="A1770" t="str">
        <f t="shared" si="27"/>
        <v/>
      </c>
    </row>
    <row r="1771" spans="1:1" x14ac:dyDescent="0.25">
      <c r="A1771" t="str">
        <f t="shared" si="27"/>
        <v/>
      </c>
    </row>
    <row r="1772" spans="1:1" x14ac:dyDescent="0.25">
      <c r="A1772" t="str">
        <f t="shared" si="27"/>
        <v/>
      </c>
    </row>
    <row r="1773" spans="1:1" x14ac:dyDescent="0.25">
      <c r="A1773" t="str">
        <f t="shared" si="27"/>
        <v/>
      </c>
    </row>
    <row r="1774" spans="1:1" x14ac:dyDescent="0.25">
      <c r="A1774" t="str">
        <f t="shared" si="27"/>
        <v/>
      </c>
    </row>
    <row r="1775" spans="1:1" x14ac:dyDescent="0.25">
      <c r="A1775" t="str">
        <f t="shared" si="27"/>
        <v/>
      </c>
    </row>
    <row r="1776" spans="1:1" x14ac:dyDescent="0.25">
      <c r="A1776" t="str">
        <f t="shared" si="27"/>
        <v/>
      </c>
    </row>
    <row r="1777" spans="1:1" x14ac:dyDescent="0.25">
      <c r="A1777" t="str">
        <f t="shared" si="27"/>
        <v/>
      </c>
    </row>
    <row r="1778" spans="1:1" x14ac:dyDescent="0.25">
      <c r="A1778" t="str">
        <f t="shared" si="27"/>
        <v/>
      </c>
    </row>
    <row r="1779" spans="1:1" x14ac:dyDescent="0.25">
      <c r="A1779" t="str">
        <f t="shared" si="27"/>
        <v/>
      </c>
    </row>
    <row r="1780" spans="1:1" x14ac:dyDescent="0.25">
      <c r="A1780" t="str">
        <f t="shared" si="27"/>
        <v/>
      </c>
    </row>
    <row r="1781" spans="1:1" x14ac:dyDescent="0.25">
      <c r="A1781" t="str">
        <f t="shared" si="27"/>
        <v/>
      </c>
    </row>
    <row r="1782" spans="1:1" x14ac:dyDescent="0.25">
      <c r="A1782" t="str">
        <f t="shared" si="27"/>
        <v/>
      </c>
    </row>
    <row r="1783" spans="1:1" x14ac:dyDescent="0.25">
      <c r="A1783" t="str">
        <f t="shared" si="27"/>
        <v/>
      </c>
    </row>
    <row r="1784" spans="1:1" x14ac:dyDescent="0.25">
      <c r="A1784" t="str">
        <f t="shared" si="27"/>
        <v/>
      </c>
    </row>
    <row r="1785" spans="1:1" x14ac:dyDescent="0.25">
      <c r="A1785" t="str">
        <f t="shared" si="27"/>
        <v/>
      </c>
    </row>
    <row r="1786" spans="1:1" x14ac:dyDescent="0.25">
      <c r="A1786" t="str">
        <f t="shared" si="27"/>
        <v/>
      </c>
    </row>
    <row r="1787" spans="1:1" x14ac:dyDescent="0.25">
      <c r="A1787" t="str">
        <f t="shared" si="27"/>
        <v/>
      </c>
    </row>
    <row r="1788" spans="1:1" x14ac:dyDescent="0.25">
      <c r="A1788" t="str">
        <f t="shared" si="27"/>
        <v/>
      </c>
    </row>
    <row r="1789" spans="1:1" x14ac:dyDescent="0.25">
      <c r="A1789" t="str">
        <f t="shared" si="27"/>
        <v/>
      </c>
    </row>
    <row r="1790" spans="1:1" x14ac:dyDescent="0.25">
      <c r="A1790" t="str">
        <f t="shared" si="27"/>
        <v/>
      </c>
    </row>
    <row r="1791" spans="1:1" x14ac:dyDescent="0.25">
      <c r="A1791" t="str">
        <f t="shared" si="27"/>
        <v/>
      </c>
    </row>
    <row r="1792" spans="1:1" x14ac:dyDescent="0.25">
      <c r="A1792" t="str">
        <f t="shared" si="27"/>
        <v/>
      </c>
    </row>
    <row r="1793" spans="1:1" x14ac:dyDescent="0.25">
      <c r="A1793" t="str">
        <f t="shared" si="27"/>
        <v/>
      </c>
    </row>
    <row r="1794" spans="1:1" x14ac:dyDescent="0.25">
      <c r="A1794" t="str">
        <f t="shared" ref="A1794:A1857" si="28">CONCATENATE(B1794, C1794, D1794)</f>
        <v/>
      </c>
    </row>
    <row r="1795" spans="1:1" x14ac:dyDescent="0.25">
      <c r="A1795" t="str">
        <f t="shared" si="28"/>
        <v/>
      </c>
    </row>
    <row r="1796" spans="1:1" x14ac:dyDescent="0.25">
      <c r="A1796" t="str">
        <f t="shared" si="28"/>
        <v/>
      </c>
    </row>
    <row r="1797" spans="1:1" x14ac:dyDescent="0.25">
      <c r="A1797" t="str">
        <f t="shared" si="28"/>
        <v/>
      </c>
    </row>
    <row r="1798" spans="1:1" x14ac:dyDescent="0.25">
      <c r="A1798" t="str">
        <f t="shared" si="28"/>
        <v/>
      </c>
    </row>
    <row r="1799" spans="1:1" x14ac:dyDescent="0.25">
      <c r="A1799" t="str">
        <f t="shared" si="28"/>
        <v/>
      </c>
    </row>
    <row r="1800" spans="1:1" x14ac:dyDescent="0.25">
      <c r="A1800" t="str">
        <f t="shared" si="28"/>
        <v/>
      </c>
    </row>
    <row r="1801" spans="1:1" x14ac:dyDescent="0.25">
      <c r="A1801" t="str">
        <f t="shared" si="28"/>
        <v/>
      </c>
    </row>
    <row r="1802" spans="1:1" x14ac:dyDescent="0.25">
      <c r="A1802" t="str">
        <f t="shared" si="28"/>
        <v/>
      </c>
    </row>
    <row r="1803" spans="1:1" x14ac:dyDescent="0.25">
      <c r="A1803" t="str">
        <f t="shared" si="28"/>
        <v/>
      </c>
    </row>
    <row r="1804" spans="1:1" x14ac:dyDescent="0.25">
      <c r="A1804" t="str">
        <f t="shared" si="28"/>
        <v/>
      </c>
    </row>
    <row r="1805" spans="1:1" x14ac:dyDescent="0.25">
      <c r="A1805" t="str">
        <f t="shared" si="28"/>
        <v/>
      </c>
    </row>
    <row r="1806" spans="1:1" x14ac:dyDescent="0.25">
      <c r="A1806" t="str">
        <f t="shared" si="28"/>
        <v/>
      </c>
    </row>
    <row r="1807" spans="1:1" x14ac:dyDescent="0.25">
      <c r="A1807" t="str">
        <f t="shared" si="28"/>
        <v/>
      </c>
    </row>
    <row r="1808" spans="1:1" x14ac:dyDescent="0.25">
      <c r="A1808" t="str">
        <f t="shared" si="28"/>
        <v/>
      </c>
    </row>
    <row r="1809" spans="1:1" x14ac:dyDescent="0.25">
      <c r="A1809" t="str">
        <f t="shared" si="28"/>
        <v/>
      </c>
    </row>
    <row r="1810" spans="1:1" x14ac:dyDescent="0.25">
      <c r="A1810" t="str">
        <f t="shared" si="28"/>
        <v/>
      </c>
    </row>
    <row r="1811" spans="1:1" x14ac:dyDescent="0.25">
      <c r="A1811" t="str">
        <f t="shared" si="28"/>
        <v/>
      </c>
    </row>
    <row r="1812" spans="1:1" x14ac:dyDescent="0.25">
      <c r="A1812" t="str">
        <f t="shared" si="28"/>
        <v/>
      </c>
    </row>
    <row r="1813" spans="1:1" x14ac:dyDescent="0.25">
      <c r="A1813" t="str">
        <f t="shared" si="28"/>
        <v/>
      </c>
    </row>
    <row r="1814" spans="1:1" x14ac:dyDescent="0.25">
      <c r="A1814" t="str">
        <f t="shared" si="28"/>
        <v/>
      </c>
    </row>
    <row r="1815" spans="1:1" x14ac:dyDescent="0.25">
      <c r="A1815" t="str">
        <f t="shared" si="28"/>
        <v/>
      </c>
    </row>
    <row r="1816" spans="1:1" x14ac:dyDescent="0.25">
      <c r="A1816" t="str">
        <f t="shared" si="28"/>
        <v/>
      </c>
    </row>
    <row r="1817" spans="1:1" x14ac:dyDescent="0.25">
      <c r="A1817" t="str">
        <f t="shared" si="28"/>
        <v/>
      </c>
    </row>
    <row r="1818" spans="1:1" x14ac:dyDescent="0.25">
      <c r="A1818" t="str">
        <f t="shared" si="28"/>
        <v/>
      </c>
    </row>
    <row r="1819" spans="1:1" x14ac:dyDescent="0.25">
      <c r="A1819" t="str">
        <f t="shared" si="28"/>
        <v/>
      </c>
    </row>
    <row r="1820" spans="1:1" x14ac:dyDescent="0.25">
      <c r="A1820" t="str">
        <f t="shared" si="28"/>
        <v/>
      </c>
    </row>
    <row r="1821" spans="1:1" x14ac:dyDescent="0.25">
      <c r="A1821" t="str">
        <f t="shared" si="28"/>
        <v/>
      </c>
    </row>
    <row r="1822" spans="1:1" x14ac:dyDescent="0.25">
      <c r="A1822" t="str">
        <f t="shared" si="28"/>
        <v/>
      </c>
    </row>
    <row r="1823" spans="1:1" x14ac:dyDescent="0.25">
      <c r="A1823" t="str">
        <f t="shared" si="28"/>
        <v/>
      </c>
    </row>
    <row r="1824" spans="1:1" x14ac:dyDescent="0.25">
      <c r="A1824" t="str">
        <f t="shared" si="28"/>
        <v/>
      </c>
    </row>
    <row r="1825" spans="1:1" x14ac:dyDescent="0.25">
      <c r="A1825" t="str">
        <f t="shared" si="28"/>
        <v/>
      </c>
    </row>
    <row r="1826" spans="1:1" x14ac:dyDescent="0.25">
      <c r="A1826" t="str">
        <f t="shared" si="28"/>
        <v/>
      </c>
    </row>
    <row r="1827" spans="1:1" x14ac:dyDescent="0.25">
      <c r="A1827" t="str">
        <f t="shared" si="28"/>
        <v/>
      </c>
    </row>
    <row r="1828" spans="1:1" x14ac:dyDescent="0.25">
      <c r="A1828" t="str">
        <f t="shared" si="28"/>
        <v/>
      </c>
    </row>
    <row r="1829" spans="1:1" x14ac:dyDescent="0.25">
      <c r="A1829" t="str">
        <f t="shared" si="28"/>
        <v/>
      </c>
    </row>
    <row r="1830" spans="1:1" x14ac:dyDescent="0.25">
      <c r="A1830" t="str">
        <f t="shared" si="28"/>
        <v/>
      </c>
    </row>
    <row r="1831" spans="1:1" x14ac:dyDescent="0.25">
      <c r="A1831" t="str">
        <f t="shared" si="28"/>
        <v/>
      </c>
    </row>
    <row r="1832" spans="1:1" x14ac:dyDescent="0.25">
      <c r="A1832" t="str">
        <f t="shared" si="28"/>
        <v/>
      </c>
    </row>
    <row r="1833" spans="1:1" x14ac:dyDescent="0.25">
      <c r="A1833" t="str">
        <f t="shared" si="28"/>
        <v/>
      </c>
    </row>
    <row r="1834" spans="1:1" x14ac:dyDescent="0.25">
      <c r="A1834" t="str">
        <f t="shared" si="28"/>
        <v/>
      </c>
    </row>
    <row r="1835" spans="1:1" x14ac:dyDescent="0.25">
      <c r="A1835" t="str">
        <f t="shared" si="28"/>
        <v/>
      </c>
    </row>
    <row r="1836" spans="1:1" x14ac:dyDescent="0.25">
      <c r="A1836" t="str">
        <f t="shared" si="28"/>
        <v/>
      </c>
    </row>
    <row r="1837" spans="1:1" x14ac:dyDescent="0.25">
      <c r="A1837" t="str">
        <f t="shared" si="28"/>
        <v/>
      </c>
    </row>
    <row r="1838" spans="1:1" x14ac:dyDescent="0.25">
      <c r="A1838" t="str">
        <f t="shared" si="28"/>
        <v/>
      </c>
    </row>
    <row r="1839" spans="1:1" x14ac:dyDescent="0.25">
      <c r="A1839" t="str">
        <f t="shared" si="28"/>
        <v/>
      </c>
    </row>
    <row r="1840" spans="1:1" x14ac:dyDescent="0.25">
      <c r="A1840" t="str">
        <f t="shared" si="28"/>
        <v/>
      </c>
    </row>
    <row r="1841" spans="1:1" x14ac:dyDescent="0.25">
      <c r="A1841" t="str">
        <f t="shared" si="28"/>
        <v/>
      </c>
    </row>
    <row r="1842" spans="1:1" x14ac:dyDescent="0.25">
      <c r="A1842" t="str">
        <f t="shared" si="28"/>
        <v/>
      </c>
    </row>
    <row r="1843" spans="1:1" x14ac:dyDescent="0.25">
      <c r="A1843" t="str">
        <f t="shared" si="28"/>
        <v/>
      </c>
    </row>
    <row r="1844" spans="1:1" x14ac:dyDescent="0.25">
      <c r="A1844" t="str">
        <f t="shared" si="28"/>
        <v/>
      </c>
    </row>
    <row r="1845" spans="1:1" x14ac:dyDescent="0.25">
      <c r="A1845" t="str">
        <f t="shared" si="28"/>
        <v/>
      </c>
    </row>
    <row r="1846" spans="1:1" x14ac:dyDescent="0.25">
      <c r="A1846" t="str">
        <f t="shared" si="28"/>
        <v/>
      </c>
    </row>
    <row r="1847" spans="1:1" x14ac:dyDescent="0.25">
      <c r="A1847" t="str">
        <f t="shared" si="28"/>
        <v/>
      </c>
    </row>
    <row r="1848" spans="1:1" x14ac:dyDescent="0.25">
      <c r="A1848" t="str">
        <f t="shared" si="28"/>
        <v/>
      </c>
    </row>
    <row r="1849" spans="1:1" x14ac:dyDescent="0.25">
      <c r="A1849" t="str">
        <f t="shared" si="28"/>
        <v/>
      </c>
    </row>
    <row r="1850" spans="1:1" x14ac:dyDescent="0.25">
      <c r="A1850" t="str">
        <f t="shared" si="28"/>
        <v/>
      </c>
    </row>
    <row r="1851" spans="1:1" x14ac:dyDescent="0.25">
      <c r="A1851" t="str">
        <f t="shared" si="28"/>
        <v/>
      </c>
    </row>
    <row r="1852" spans="1:1" x14ac:dyDescent="0.25">
      <c r="A1852" t="str">
        <f t="shared" si="28"/>
        <v/>
      </c>
    </row>
    <row r="1853" spans="1:1" x14ac:dyDescent="0.25">
      <c r="A1853" t="str">
        <f t="shared" si="28"/>
        <v/>
      </c>
    </row>
    <row r="1854" spans="1:1" x14ac:dyDescent="0.25">
      <c r="A1854" t="str">
        <f t="shared" si="28"/>
        <v/>
      </c>
    </row>
    <row r="1855" spans="1:1" x14ac:dyDescent="0.25">
      <c r="A1855" t="str">
        <f t="shared" si="28"/>
        <v/>
      </c>
    </row>
    <row r="1856" spans="1:1" x14ac:dyDescent="0.25">
      <c r="A1856" t="str">
        <f t="shared" si="28"/>
        <v/>
      </c>
    </row>
    <row r="1857" spans="1:1" x14ac:dyDescent="0.25">
      <c r="A1857" t="str">
        <f t="shared" si="28"/>
        <v/>
      </c>
    </row>
    <row r="1858" spans="1:1" x14ac:dyDescent="0.25">
      <c r="A1858" t="str">
        <f t="shared" ref="A1858:A1921" si="29">CONCATENATE(B1858, C1858, D1858)</f>
        <v/>
      </c>
    </row>
    <row r="1859" spans="1:1" x14ac:dyDescent="0.25">
      <c r="A1859" t="str">
        <f t="shared" si="29"/>
        <v/>
      </c>
    </row>
    <row r="1860" spans="1:1" x14ac:dyDescent="0.25">
      <c r="A1860" t="str">
        <f t="shared" si="29"/>
        <v/>
      </c>
    </row>
    <row r="1861" spans="1:1" x14ac:dyDescent="0.25">
      <c r="A1861" t="str">
        <f t="shared" si="29"/>
        <v/>
      </c>
    </row>
    <row r="1862" spans="1:1" x14ac:dyDescent="0.25">
      <c r="A1862" t="str">
        <f t="shared" si="29"/>
        <v/>
      </c>
    </row>
    <row r="1863" spans="1:1" x14ac:dyDescent="0.25">
      <c r="A1863" t="str">
        <f t="shared" si="29"/>
        <v/>
      </c>
    </row>
    <row r="1864" spans="1:1" x14ac:dyDescent="0.25">
      <c r="A1864" t="str">
        <f t="shared" si="29"/>
        <v/>
      </c>
    </row>
    <row r="1865" spans="1:1" x14ac:dyDescent="0.25">
      <c r="A1865" t="str">
        <f t="shared" si="29"/>
        <v/>
      </c>
    </row>
    <row r="1866" spans="1:1" x14ac:dyDescent="0.25">
      <c r="A1866" t="str">
        <f t="shared" si="29"/>
        <v/>
      </c>
    </row>
    <row r="1867" spans="1:1" x14ac:dyDescent="0.25">
      <c r="A1867" t="str">
        <f t="shared" si="29"/>
        <v/>
      </c>
    </row>
    <row r="1868" spans="1:1" x14ac:dyDescent="0.25">
      <c r="A1868" t="str">
        <f t="shared" si="29"/>
        <v/>
      </c>
    </row>
    <row r="1869" spans="1:1" x14ac:dyDescent="0.25">
      <c r="A1869" t="str">
        <f t="shared" si="29"/>
        <v/>
      </c>
    </row>
    <row r="1870" spans="1:1" x14ac:dyDescent="0.25">
      <c r="A1870" t="str">
        <f t="shared" si="29"/>
        <v/>
      </c>
    </row>
    <row r="1871" spans="1:1" x14ac:dyDescent="0.25">
      <c r="A1871" t="str">
        <f t="shared" si="29"/>
        <v/>
      </c>
    </row>
    <row r="1872" spans="1:1" x14ac:dyDescent="0.25">
      <c r="A1872" t="str">
        <f t="shared" si="29"/>
        <v/>
      </c>
    </row>
    <row r="1873" spans="1:1" x14ac:dyDescent="0.25">
      <c r="A1873" t="str">
        <f t="shared" si="29"/>
        <v/>
      </c>
    </row>
    <row r="1874" spans="1:1" x14ac:dyDescent="0.25">
      <c r="A1874" t="str">
        <f t="shared" si="29"/>
        <v/>
      </c>
    </row>
    <row r="1875" spans="1:1" x14ac:dyDescent="0.25">
      <c r="A1875" t="str">
        <f t="shared" si="29"/>
        <v/>
      </c>
    </row>
    <row r="1876" spans="1:1" x14ac:dyDescent="0.25">
      <c r="A1876" t="str">
        <f t="shared" si="29"/>
        <v/>
      </c>
    </row>
    <row r="1877" spans="1:1" x14ac:dyDescent="0.25">
      <c r="A1877" t="str">
        <f t="shared" si="29"/>
        <v/>
      </c>
    </row>
    <row r="1878" spans="1:1" x14ac:dyDescent="0.25">
      <c r="A1878" t="str">
        <f t="shared" si="29"/>
        <v/>
      </c>
    </row>
    <row r="1879" spans="1:1" x14ac:dyDescent="0.25">
      <c r="A1879" t="str">
        <f t="shared" si="29"/>
        <v/>
      </c>
    </row>
    <row r="1880" spans="1:1" x14ac:dyDescent="0.25">
      <c r="A1880" t="str">
        <f t="shared" si="29"/>
        <v/>
      </c>
    </row>
    <row r="1881" spans="1:1" x14ac:dyDescent="0.25">
      <c r="A1881" t="str">
        <f t="shared" si="29"/>
        <v/>
      </c>
    </row>
    <row r="1882" spans="1:1" x14ac:dyDescent="0.25">
      <c r="A1882" t="str">
        <f t="shared" si="29"/>
        <v/>
      </c>
    </row>
    <row r="1883" spans="1:1" x14ac:dyDescent="0.25">
      <c r="A1883" t="str">
        <f t="shared" si="29"/>
        <v/>
      </c>
    </row>
    <row r="1884" spans="1:1" x14ac:dyDescent="0.25">
      <c r="A1884" t="str">
        <f t="shared" si="29"/>
        <v/>
      </c>
    </row>
    <row r="1885" spans="1:1" x14ac:dyDescent="0.25">
      <c r="A1885" t="str">
        <f t="shared" si="29"/>
        <v/>
      </c>
    </row>
    <row r="1886" spans="1:1" x14ac:dyDescent="0.25">
      <c r="A1886" t="str">
        <f t="shared" si="29"/>
        <v/>
      </c>
    </row>
    <row r="1887" spans="1:1" x14ac:dyDescent="0.25">
      <c r="A1887" t="str">
        <f t="shared" si="29"/>
        <v/>
      </c>
    </row>
    <row r="1888" spans="1:1" x14ac:dyDescent="0.25">
      <c r="A1888" t="str">
        <f t="shared" si="29"/>
        <v/>
      </c>
    </row>
    <row r="1889" spans="1:1" x14ac:dyDescent="0.25">
      <c r="A1889" t="str">
        <f t="shared" si="29"/>
        <v/>
      </c>
    </row>
    <row r="1890" spans="1:1" x14ac:dyDescent="0.25">
      <c r="A1890" t="str">
        <f t="shared" si="29"/>
        <v/>
      </c>
    </row>
    <row r="1891" spans="1:1" x14ac:dyDescent="0.25">
      <c r="A1891" t="str">
        <f t="shared" si="29"/>
        <v/>
      </c>
    </row>
    <row r="1892" spans="1:1" x14ac:dyDescent="0.25">
      <c r="A1892" t="str">
        <f t="shared" si="29"/>
        <v/>
      </c>
    </row>
    <row r="1893" spans="1:1" x14ac:dyDescent="0.25">
      <c r="A1893" t="str">
        <f t="shared" si="29"/>
        <v/>
      </c>
    </row>
    <row r="1894" spans="1:1" x14ac:dyDescent="0.25">
      <c r="A1894" t="str">
        <f t="shared" si="29"/>
        <v/>
      </c>
    </row>
    <row r="1895" spans="1:1" x14ac:dyDescent="0.25">
      <c r="A1895" t="str">
        <f t="shared" si="29"/>
        <v/>
      </c>
    </row>
    <row r="1896" spans="1:1" x14ac:dyDescent="0.25">
      <c r="A1896" t="str">
        <f t="shared" si="29"/>
        <v/>
      </c>
    </row>
    <row r="1897" spans="1:1" x14ac:dyDescent="0.25">
      <c r="A1897" t="str">
        <f t="shared" si="29"/>
        <v/>
      </c>
    </row>
    <row r="1898" spans="1:1" x14ac:dyDescent="0.25">
      <c r="A1898" t="str">
        <f t="shared" si="29"/>
        <v/>
      </c>
    </row>
    <row r="1899" spans="1:1" x14ac:dyDescent="0.25">
      <c r="A1899" t="str">
        <f t="shared" si="29"/>
        <v/>
      </c>
    </row>
    <row r="1900" spans="1:1" x14ac:dyDescent="0.25">
      <c r="A1900" t="str">
        <f t="shared" si="29"/>
        <v/>
      </c>
    </row>
    <row r="1901" spans="1:1" x14ac:dyDescent="0.25">
      <c r="A1901" t="str">
        <f t="shared" si="29"/>
        <v/>
      </c>
    </row>
    <row r="1902" spans="1:1" x14ac:dyDescent="0.25">
      <c r="A1902" t="str">
        <f t="shared" si="29"/>
        <v/>
      </c>
    </row>
    <row r="1903" spans="1:1" x14ac:dyDescent="0.25">
      <c r="A1903" t="str">
        <f t="shared" si="29"/>
        <v/>
      </c>
    </row>
    <row r="1904" spans="1:1" x14ac:dyDescent="0.25">
      <c r="A1904" t="str">
        <f t="shared" si="29"/>
        <v/>
      </c>
    </row>
    <row r="1905" spans="1:1" x14ac:dyDescent="0.25">
      <c r="A1905" t="str">
        <f t="shared" si="29"/>
        <v/>
      </c>
    </row>
    <row r="1906" spans="1:1" x14ac:dyDescent="0.25">
      <c r="A1906" t="str">
        <f t="shared" si="29"/>
        <v/>
      </c>
    </row>
    <row r="1907" spans="1:1" x14ac:dyDescent="0.25">
      <c r="A1907" t="str">
        <f t="shared" si="29"/>
        <v/>
      </c>
    </row>
    <row r="1908" spans="1:1" x14ac:dyDescent="0.25">
      <c r="A1908" t="str">
        <f t="shared" si="29"/>
        <v/>
      </c>
    </row>
    <row r="1909" spans="1:1" x14ac:dyDescent="0.25">
      <c r="A1909" t="str">
        <f t="shared" si="29"/>
        <v/>
      </c>
    </row>
    <row r="1910" spans="1:1" x14ac:dyDescent="0.25">
      <c r="A1910" t="str">
        <f t="shared" si="29"/>
        <v/>
      </c>
    </row>
    <row r="1911" spans="1:1" x14ac:dyDescent="0.25">
      <c r="A1911" t="str">
        <f t="shared" si="29"/>
        <v/>
      </c>
    </row>
    <row r="1912" spans="1:1" x14ac:dyDescent="0.25">
      <c r="A1912" t="str">
        <f t="shared" si="29"/>
        <v/>
      </c>
    </row>
    <row r="1913" spans="1:1" x14ac:dyDescent="0.25">
      <c r="A1913" t="str">
        <f t="shared" si="29"/>
        <v/>
      </c>
    </row>
    <row r="1914" spans="1:1" x14ac:dyDescent="0.25">
      <c r="A1914" t="str">
        <f t="shared" si="29"/>
        <v/>
      </c>
    </row>
    <row r="1915" spans="1:1" x14ac:dyDescent="0.25">
      <c r="A1915" t="str">
        <f t="shared" si="29"/>
        <v/>
      </c>
    </row>
    <row r="1916" spans="1:1" x14ac:dyDescent="0.25">
      <c r="A1916" t="str">
        <f t="shared" si="29"/>
        <v/>
      </c>
    </row>
    <row r="1917" spans="1:1" x14ac:dyDescent="0.25">
      <c r="A1917" t="str">
        <f t="shared" si="29"/>
        <v/>
      </c>
    </row>
    <row r="1918" spans="1:1" x14ac:dyDescent="0.25">
      <c r="A1918" t="str">
        <f t="shared" si="29"/>
        <v/>
      </c>
    </row>
    <row r="1919" spans="1:1" x14ac:dyDescent="0.25">
      <c r="A1919" t="str">
        <f t="shared" si="29"/>
        <v/>
      </c>
    </row>
    <row r="1920" spans="1:1" x14ac:dyDescent="0.25">
      <c r="A1920" t="str">
        <f t="shared" si="29"/>
        <v/>
      </c>
    </row>
    <row r="1921" spans="1:1" x14ac:dyDescent="0.25">
      <c r="A1921" t="str">
        <f t="shared" si="29"/>
        <v/>
      </c>
    </row>
    <row r="1922" spans="1:1" x14ac:dyDescent="0.25">
      <c r="A1922" t="str">
        <f t="shared" ref="A1922:A1985" si="30">CONCATENATE(B1922, C1922, D1922)</f>
        <v/>
      </c>
    </row>
    <row r="1923" spans="1:1" x14ac:dyDescent="0.25">
      <c r="A1923" t="str">
        <f t="shared" si="30"/>
        <v/>
      </c>
    </row>
    <row r="1924" spans="1:1" x14ac:dyDescent="0.25">
      <c r="A1924" t="str">
        <f t="shared" si="30"/>
        <v/>
      </c>
    </row>
    <row r="1925" spans="1:1" x14ac:dyDescent="0.25">
      <c r="A1925" t="str">
        <f t="shared" si="30"/>
        <v/>
      </c>
    </row>
    <row r="1926" spans="1:1" x14ac:dyDescent="0.25">
      <c r="A1926" t="str">
        <f t="shared" si="30"/>
        <v/>
      </c>
    </row>
    <row r="1927" spans="1:1" x14ac:dyDescent="0.25">
      <c r="A1927" t="str">
        <f t="shared" si="30"/>
        <v/>
      </c>
    </row>
    <row r="1928" spans="1:1" x14ac:dyDescent="0.25">
      <c r="A1928" t="str">
        <f t="shared" si="30"/>
        <v/>
      </c>
    </row>
    <row r="1929" spans="1:1" x14ac:dyDescent="0.25">
      <c r="A1929" t="str">
        <f t="shared" si="30"/>
        <v/>
      </c>
    </row>
    <row r="1930" spans="1:1" x14ac:dyDescent="0.25">
      <c r="A1930" t="str">
        <f t="shared" si="30"/>
        <v/>
      </c>
    </row>
    <row r="1931" spans="1:1" x14ac:dyDescent="0.25">
      <c r="A1931" t="str">
        <f t="shared" si="30"/>
        <v/>
      </c>
    </row>
    <row r="1932" spans="1:1" x14ac:dyDescent="0.25">
      <c r="A1932" t="str">
        <f t="shared" si="30"/>
        <v/>
      </c>
    </row>
    <row r="1933" spans="1:1" x14ac:dyDescent="0.25">
      <c r="A1933" t="str">
        <f t="shared" si="30"/>
        <v/>
      </c>
    </row>
    <row r="1934" spans="1:1" x14ac:dyDescent="0.25">
      <c r="A1934" t="str">
        <f t="shared" si="30"/>
        <v/>
      </c>
    </row>
    <row r="1935" spans="1:1" x14ac:dyDescent="0.25">
      <c r="A1935" t="str">
        <f t="shared" si="30"/>
        <v/>
      </c>
    </row>
    <row r="1936" spans="1:1" x14ac:dyDescent="0.25">
      <c r="A1936" t="str">
        <f t="shared" si="30"/>
        <v/>
      </c>
    </row>
    <row r="1937" spans="1:1" x14ac:dyDescent="0.25">
      <c r="A1937" t="str">
        <f t="shared" si="30"/>
        <v/>
      </c>
    </row>
    <row r="1938" spans="1:1" x14ac:dyDescent="0.25">
      <c r="A1938" t="str">
        <f t="shared" si="30"/>
        <v/>
      </c>
    </row>
    <row r="1939" spans="1:1" x14ac:dyDescent="0.25">
      <c r="A1939" t="str">
        <f t="shared" si="30"/>
        <v/>
      </c>
    </row>
    <row r="1940" spans="1:1" x14ac:dyDescent="0.25">
      <c r="A1940" t="str">
        <f t="shared" si="30"/>
        <v/>
      </c>
    </row>
    <row r="1941" spans="1:1" x14ac:dyDescent="0.25">
      <c r="A1941" t="str">
        <f t="shared" si="30"/>
        <v/>
      </c>
    </row>
    <row r="1942" spans="1:1" x14ac:dyDescent="0.25">
      <c r="A1942" t="str">
        <f t="shared" si="30"/>
        <v/>
      </c>
    </row>
    <row r="1943" spans="1:1" x14ac:dyDescent="0.25">
      <c r="A1943" t="str">
        <f t="shared" si="30"/>
        <v/>
      </c>
    </row>
    <row r="1944" spans="1:1" x14ac:dyDescent="0.25">
      <c r="A1944" t="str">
        <f t="shared" si="30"/>
        <v/>
      </c>
    </row>
    <row r="1945" spans="1:1" x14ac:dyDescent="0.25">
      <c r="A1945" t="str">
        <f t="shared" si="30"/>
        <v/>
      </c>
    </row>
    <row r="1946" spans="1:1" x14ac:dyDescent="0.25">
      <c r="A1946" t="str">
        <f t="shared" si="30"/>
        <v/>
      </c>
    </row>
    <row r="1947" spans="1:1" x14ac:dyDescent="0.25">
      <c r="A1947" t="str">
        <f t="shared" si="30"/>
        <v/>
      </c>
    </row>
    <row r="1948" spans="1:1" x14ac:dyDescent="0.25">
      <c r="A1948" t="str">
        <f t="shared" si="30"/>
        <v/>
      </c>
    </row>
    <row r="1949" spans="1:1" x14ac:dyDescent="0.25">
      <c r="A1949" t="str">
        <f t="shared" si="30"/>
        <v/>
      </c>
    </row>
    <row r="1950" spans="1:1" x14ac:dyDescent="0.25">
      <c r="A1950" t="str">
        <f t="shared" si="30"/>
        <v/>
      </c>
    </row>
    <row r="1951" spans="1:1" x14ac:dyDescent="0.25">
      <c r="A1951" t="str">
        <f t="shared" si="30"/>
        <v/>
      </c>
    </row>
    <row r="1952" spans="1:1" x14ac:dyDescent="0.25">
      <c r="A1952" t="str">
        <f t="shared" si="30"/>
        <v/>
      </c>
    </row>
    <row r="1953" spans="1:1" x14ac:dyDescent="0.25">
      <c r="A1953" t="str">
        <f t="shared" si="30"/>
        <v/>
      </c>
    </row>
    <row r="1954" spans="1:1" x14ac:dyDescent="0.25">
      <c r="A1954" t="str">
        <f t="shared" si="30"/>
        <v/>
      </c>
    </row>
    <row r="1955" spans="1:1" x14ac:dyDescent="0.25">
      <c r="A1955" t="str">
        <f t="shared" si="30"/>
        <v/>
      </c>
    </row>
    <row r="1956" spans="1:1" x14ac:dyDescent="0.25">
      <c r="A1956" t="str">
        <f t="shared" si="30"/>
        <v/>
      </c>
    </row>
    <row r="1957" spans="1:1" x14ac:dyDescent="0.25">
      <c r="A1957" t="str">
        <f t="shared" si="30"/>
        <v/>
      </c>
    </row>
    <row r="1958" spans="1:1" x14ac:dyDescent="0.25">
      <c r="A1958" t="str">
        <f t="shared" si="30"/>
        <v/>
      </c>
    </row>
    <row r="1959" spans="1:1" x14ac:dyDescent="0.25">
      <c r="A1959" t="str">
        <f t="shared" si="30"/>
        <v/>
      </c>
    </row>
    <row r="1960" spans="1:1" x14ac:dyDescent="0.25">
      <c r="A1960" t="str">
        <f t="shared" si="30"/>
        <v/>
      </c>
    </row>
    <row r="1961" spans="1:1" x14ac:dyDescent="0.25">
      <c r="A1961" t="str">
        <f t="shared" si="30"/>
        <v/>
      </c>
    </row>
    <row r="1962" spans="1:1" x14ac:dyDescent="0.25">
      <c r="A1962" t="str">
        <f t="shared" si="30"/>
        <v/>
      </c>
    </row>
    <row r="1963" spans="1:1" x14ac:dyDescent="0.25">
      <c r="A1963" t="str">
        <f t="shared" si="30"/>
        <v/>
      </c>
    </row>
    <row r="1964" spans="1:1" x14ac:dyDescent="0.25">
      <c r="A1964" t="str">
        <f t="shared" si="30"/>
        <v/>
      </c>
    </row>
    <row r="1965" spans="1:1" x14ac:dyDescent="0.25">
      <c r="A1965" t="str">
        <f t="shared" si="30"/>
        <v/>
      </c>
    </row>
    <row r="1966" spans="1:1" x14ac:dyDescent="0.25">
      <c r="A1966" t="str">
        <f t="shared" si="30"/>
        <v/>
      </c>
    </row>
    <row r="1967" spans="1:1" x14ac:dyDescent="0.25">
      <c r="A1967" t="str">
        <f t="shared" si="30"/>
        <v/>
      </c>
    </row>
    <row r="1968" spans="1:1" x14ac:dyDescent="0.25">
      <c r="A1968" t="str">
        <f t="shared" si="30"/>
        <v/>
      </c>
    </row>
    <row r="1969" spans="1:1" x14ac:dyDescent="0.25">
      <c r="A1969" t="str">
        <f t="shared" si="30"/>
        <v/>
      </c>
    </row>
    <row r="1970" spans="1:1" x14ac:dyDescent="0.25">
      <c r="A1970" t="str">
        <f t="shared" si="30"/>
        <v/>
      </c>
    </row>
    <row r="1971" spans="1:1" x14ac:dyDescent="0.25">
      <c r="A1971" t="str">
        <f t="shared" si="30"/>
        <v/>
      </c>
    </row>
    <row r="1972" spans="1:1" x14ac:dyDescent="0.25">
      <c r="A1972" t="str">
        <f t="shared" si="30"/>
        <v/>
      </c>
    </row>
    <row r="1973" spans="1:1" x14ac:dyDescent="0.25">
      <c r="A1973" t="str">
        <f t="shared" si="30"/>
        <v/>
      </c>
    </row>
    <row r="1974" spans="1:1" x14ac:dyDescent="0.25">
      <c r="A1974" t="str">
        <f t="shared" si="30"/>
        <v/>
      </c>
    </row>
    <row r="1975" spans="1:1" x14ac:dyDescent="0.25">
      <c r="A1975" t="str">
        <f t="shared" si="30"/>
        <v/>
      </c>
    </row>
    <row r="1976" spans="1:1" x14ac:dyDescent="0.25">
      <c r="A1976" t="str">
        <f t="shared" si="30"/>
        <v/>
      </c>
    </row>
    <row r="1977" spans="1:1" x14ac:dyDescent="0.25">
      <c r="A1977" t="str">
        <f t="shared" si="30"/>
        <v/>
      </c>
    </row>
    <row r="1978" spans="1:1" x14ac:dyDescent="0.25">
      <c r="A1978" t="str">
        <f t="shared" si="30"/>
        <v/>
      </c>
    </row>
    <row r="1979" spans="1:1" x14ac:dyDescent="0.25">
      <c r="A1979" t="str">
        <f t="shared" si="30"/>
        <v/>
      </c>
    </row>
    <row r="1980" spans="1:1" x14ac:dyDescent="0.25">
      <c r="A1980" t="str">
        <f t="shared" si="30"/>
        <v/>
      </c>
    </row>
    <row r="1981" spans="1:1" x14ac:dyDescent="0.25">
      <c r="A1981" t="str">
        <f t="shared" si="30"/>
        <v/>
      </c>
    </row>
    <row r="1982" spans="1:1" x14ac:dyDescent="0.25">
      <c r="A1982" t="str">
        <f t="shared" si="30"/>
        <v/>
      </c>
    </row>
    <row r="1983" spans="1:1" x14ac:dyDescent="0.25">
      <c r="A1983" t="str">
        <f t="shared" si="30"/>
        <v/>
      </c>
    </row>
    <row r="1984" spans="1:1" x14ac:dyDescent="0.25">
      <c r="A1984" t="str">
        <f t="shared" si="30"/>
        <v/>
      </c>
    </row>
    <row r="1985" spans="1:1" x14ac:dyDescent="0.25">
      <c r="A1985" t="str">
        <f t="shared" si="30"/>
        <v/>
      </c>
    </row>
    <row r="1986" spans="1:1" x14ac:dyDescent="0.25">
      <c r="A1986" t="str">
        <f t="shared" ref="A1986:A2049" si="31">CONCATENATE(B1986, C1986, D1986)</f>
        <v/>
      </c>
    </row>
    <row r="1987" spans="1:1" x14ac:dyDescent="0.25">
      <c r="A1987" t="str">
        <f t="shared" si="31"/>
        <v/>
      </c>
    </row>
    <row r="1988" spans="1:1" x14ac:dyDescent="0.25">
      <c r="A1988" t="str">
        <f t="shared" si="31"/>
        <v/>
      </c>
    </row>
    <row r="1989" spans="1:1" x14ac:dyDescent="0.25">
      <c r="A1989" t="str">
        <f t="shared" si="31"/>
        <v/>
      </c>
    </row>
    <row r="1990" spans="1:1" x14ac:dyDescent="0.25">
      <c r="A1990" t="str">
        <f t="shared" si="31"/>
        <v/>
      </c>
    </row>
    <row r="1991" spans="1:1" x14ac:dyDescent="0.25">
      <c r="A1991" t="str">
        <f t="shared" si="31"/>
        <v/>
      </c>
    </row>
    <row r="1992" spans="1:1" x14ac:dyDescent="0.25">
      <c r="A1992" t="str">
        <f t="shared" si="31"/>
        <v/>
      </c>
    </row>
    <row r="1993" spans="1:1" x14ac:dyDescent="0.25">
      <c r="A1993" t="str">
        <f t="shared" si="31"/>
        <v/>
      </c>
    </row>
    <row r="1994" spans="1:1" x14ac:dyDescent="0.25">
      <c r="A1994" t="str">
        <f t="shared" si="31"/>
        <v/>
      </c>
    </row>
    <row r="1995" spans="1:1" x14ac:dyDescent="0.25">
      <c r="A1995" t="str">
        <f t="shared" si="31"/>
        <v/>
      </c>
    </row>
    <row r="1996" spans="1:1" x14ac:dyDescent="0.25">
      <c r="A1996" t="str">
        <f t="shared" si="31"/>
        <v/>
      </c>
    </row>
    <row r="1997" spans="1:1" x14ac:dyDescent="0.25">
      <c r="A1997" t="str">
        <f t="shared" si="31"/>
        <v/>
      </c>
    </row>
    <row r="1998" spans="1:1" x14ac:dyDescent="0.25">
      <c r="A1998" t="str">
        <f t="shared" si="31"/>
        <v/>
      </c>
    </row>
    <row r="1999" spans="1:1" x14ac:dyDescent="0.25">
      <c r="A1999" t="str">
        <f t="shared" si="31"/>
        <v/>
      </c>
    </row>
    <row r="2000" spans="1:1" x14ac:dyDescent="0.25">
      <c r="A2000" t="str">
        <f t="shared" si="31"/>
        <v/>
      </c>
    </row>
    <row r="2001" spans="1:1" x14ac:dyDescent="0.25">
      <c r="A2001" t="str">
        <f t="shared" si="31"/>
        <v/>
      </c>
    </row>
    <row r="2002" spans="1:1" x14ac:dyDescent="0.25">
      <c r="A2002" t="str">
        <f t="shared" si="31"/>
        <v/>
      </c>
    </row>
    <row r="2003" spans="1:1" x14ac:dyDescent="0.25">
      <c r="A2003" t="str">
        <f t="shared" si="31"/>
        <v/>
      </c>
    </row>
    <row r="2004" spans="1:1" x14ac:dyDescent="0.25">
      <c r="A2004" t="str">
        <f t="shared" si="31"/>
        <v/>
      </c>
    </row>
    <row r="2005" spans="1:1" x14ac:dyDescent="0.25">
      <c r="A2005" t="str">
        <f t="shared" si="31"/>
        <v/>
      </c>
    </row>
    <row r="2006" spans="1:1" x14ac:dyDescent="0.25">
      <c r="A2006" t="str">
        <f t="shared" si="31"/>
        <v/>
      </c>
    </row>
    <row r="2007" spans="1:1" x14ac:dyDescent="0.25">
      <c r="A2007" t="str">
        <f t="shared" si="31"/>
        <v/>
      </c>
    </row>
    <row r="2008" spans="1:1" x14ac:dyDescent="0.25">
      <c r="A2008" t="str">
        <f t="shared" si="31"/>
        <v/>
      </c>
    </row>
    <row r="2009" spans="1:1" x14ac:dyDescent="0.25">
      <c r="A2009" t="str">
        <f t="shared" si="31"/>
        <v/>
      </c>
    </row>
    <row r="2010" spans="1:1" x14ac:dyDescent="0.25">
      <c r="A2010" t="str">
        <f t="shared" si="31"/>
        <v/>
      </c>
    </row>
    <row r="2011" spans="1:1" x14ac:dyDescent="0.25">
      <c r="A2011" t="str">
        <f t="shared" si="31"/>
        <v/>
      </c>
    </row>
    <row r="2012" spans="1:1" x14ac:dyDescent="0.25">
      <c r="A2012" t="str">
        <f t="shared" si="31"/>
        <v/>
      </c>
    </row>
    <row r="2013" spans="1:1" x14ac:dyDescent="0.25">
      <c r="A2013" t="str">
        <f t="shared" si="31"/>
        <v/>
      </c>
    </row>
    <row r="2014" spans="1:1" x14ac:dyDescent="0.25">
      <c r="A2014" t="str">
        <f t="shared" si="31"/>
        <v/>
      </c>
    </row>
    <row r="2015" spans="1:1" x14ac:dyDescent="0.25">
      <c r="A2015" t="str">
        <f t="shared" si="31"/>
        <v/>
      </c>
    </row>
    <row r="2016" spans="1:1" x14ac:dyDescent="0.25">
      <c r="A2016" t="str">
        <f t="shared" si="31"/>
        <v/>
      </c>
    </row>
    <row r="2017" spans="1:1" x14ac:dyDescent="0.25">
      <c r="A2017" t="str">
        <f t="shared" si="31"/>
        <v/>
      </c>
    </row>
    <row r="2018" spans="1:1" x14ac:dyDescent="0.25">
      <c r="A2018" t="str">
        <f t="shared" si="31"/>
        <v/>
      </c>
    </row>
    <row r="2019" spans="1:1" x14ac:dyDescent="0.25">
      <c r="A2019" t="str">
        <f t="shared" si="31"/>
        <v/>
      </c>
    </row>
    <row r="2020" spans="1:1" x14ac:dyDescent="0.25">
      <c r="A2020" t="str">
        <f t="shared" si="31"/>
        <v/>
      </c>
    </row>
    <row r="2021" spans="1:1" x14ac:dyDescent="0.25">
      <c r="A2021" t="str">
        <f t="shared" si="31"/>
        <v/>
      </c>
    </row>
    <row r="2022" spans="1:1" x14ac:dyDescent="0.25">
      <c r="A2022" t="str">
        <f t="shared" si="31"/>
        <v/>
      </c>
    </row>
    <row r="2023" spans="1:1" x14ac:dyDescent="0.25">
      <c r="A2023" t="str">
        <f t="shared" si="31"/>
        <v/>
      </c>
    </row>
    <row r="2024" spans="1:1" x14ac:dyDescent="0.25">
      <c r="A2024" t="str">
        <f t="shared" si="31"/>
        <v/>
      </c>
    </row>
    <row r="2025" spans="1:1" x14ac:dyDescent="0.25">
      <c r="A2025" t="str">
        <f t="shared" si="31"/>
        <v/>
      </c>
    </row>
    <row r="2026" spans="1:1" x14ac:dyDescent="0.25">
      <c r="A2026" t="str">
        <f t="shared" si="31"/>
        <v/>
      </c>
    </row>
    <row r="2027" spans="1:1" x14ac:dyDescent="0.25">
      <c r="A2027" t="str">
        <f t="shared" si="31"/>
        <v/>
      </c>
    </row>
    <row r="2028" spans="1:1" x14ac:dyDescent="0.25">
      <c r="A2028" t="str">
        <f t="shared" si="31"/>
        <v/>
      </c>
    </row>
    <row r="2029" spans="1:1" x14ac:dyDescent="0.25">
      <c r="A2029" t="str">
        <f t="shared" si="31"/>
        <v/>
      </c>
    </row>
    <row r="2030" spans="1:1" x14ac:dyDescent="0.25">
      <c r="A2030" t="str">
        <f t="shared" si="31"/>
        <v/>
      </c>
    </row>
    <row r="2031" spans="1:1" x14ac:dyDescent="0.25">
      <c r="A2031" t="str">
        <f t="shared" si="31"/>
        <v/>
      </c>
    </row>
    <row r="2032" spans="1:1" x14ac:dyDescent="0.25">
      <c r="A2032" t="str">
        <f t="shared" si="31"/>
        <v/>
      </c>
    </row>
    <row r="2033" spans="1:1" x14ac:dyDescent="0.25">
      <c r="A2033" t="str">
        <f t="shared" si="31"/>
        <v/>
      </c>
    </row>
    <row r="2034" spans="1:1" x14ac:dyDescent="0.25">
      <c r="A2034" t="str">
        <f t="shared" si="31"/>
        <v/>
      </c>
    </row>
    <row r="2035" spans="1:1" x14ac:dyDescent="0.25">
      <c r="A2035" t="str">
        <f t="shared" si="31"/>
        <v/>
      </c>
    </row>
    <row r="2036" spans="1:1" x14ac:dyDescent="0.25">
      <c r="A2036" t="str">
        <f t="shared" si="31"/>
        <v/>
      </c>
    </row>
    <row r="2037" spans="1:1" x14ac:dyDescent="0.25">
      <c r="A2037" t="str">
        <f t="shared" si="31"/>
        <v/>
      </c>
    </row>
    <row r="2038" spans="1:1" x14ac:dyDescent="0.25">
      <c r="A2038" t="str">
        <f t="shared" si="31"/>
        <v/>
      </c>
    </row>
    <row r="2039" spans="1:1" x14ac:dyDescent="0.25">
      <c r="A2039" t="str">
        <f t="shared" si="31"/>
        <v/>
      </c>
    </row>
    <row r="2040" spans="1:1" x14ac:dyDescent="0.25">
      <c r="A2040" t="str">
        <f t="shared" si="31"/>
        <v/>
      </c>
    </row>
    <row r="2041" spans="1:1" x14ac:dyDescent="0.25">
      <c r="A2041" t="str">
        <f t="shared" si="31"/>
        <v/>
      </c>
    </row>
    <row r="2042" spans="1:1" x14ac:dyDescent="0.25">
      <c r="A2042" t="str">
        <f t="shared" si="31"/>
        <v/>
      </c>
    </row>
    <row r="2043" spans="1:1" x14ac:dyDescent="0.25">
      <c r="A2043" t="str">
        <f t="shared" si="31"/>
        <v/>
      </c>
    </row>
    <row r="2044" spans="1:1" x14ac:dyDescent="0.25">
      <c r="A2044" t="str">
        <f t="shared" si="31"/>
        <v/>
      </c>
    </row>
    <row r="2045" spans="1:1" x14ac:dyDescent="0.25">
      <c r="A2045" t="str">
        <f t="shared" si="31"/>
        <v/>
      </c>
    </row>
    <row r="2046" spans="1:1" x14ac:dyDescent="0.25">
      <c r="A2046" t="str">
        <f t="shared" si="31"/>
        <v/>
      </c>
    </row>
    <row r="2047" spans="1:1" x14ac:dyDescent="0.25">
      <c r="A2047" t="str">
        <f t="shared" si="31"/>
        <v/>
      </c>
    </row>
    <row r="2048" spans="1:1" x14ac:dyDescent="0.25">
      <c r="A2048" t="str">
        <f t="shared" si="31"/>
        <v/>
      </c>
    </row>
    <row r="2049" spans="1:1" x14ac:dyDescent="0.25">
      <c r="A2049" t="str">
        <f t="shared" si="31"/>
        <v/>
      </c>
    </row>
    <row r="2050" spans="1:1" x14ac:dyDescent="0.25">
      <c r="A2050" t="str">
        <f t="shared" ref="A2050:A2113" si="32">CONCATENATE(B2050, C2050, D2050)</f>
        <v/>
      </c>
    </row>
    <row r="2051" spans="1:1" x14ac:dyDescent="0.25">
      <c r="A2051" t="str">
        <f t="shared" si="32"/>
        <v/>
      </c>
    </row>
    <row r="2052" spans="1:1" x14ac:dyDescent="0.25">
      <c r="A2052" t="str">
        <f t="shared" si="32"/>
        <v/>
      </c>
    </row>
    <row r="2053" spans="1:1" x14ac:dyDescent="0.25">
      <c r="A2053" t="str">
        <f t="shared" si="32"/>
        <v/>
      </c>
    </row>
    <row r="2054" spans="1:1" x14ac:dyDescent="0.25">
      <c r="A2054" t="str">
        <f t="shared" si="32"/>
        <v/>
      </c>
    </row>
    <row r="2055" spans="1:1" x14ac:dyDescent="0.25">
      <c r="A2055" t="str">
        <f t="shared" si="32"/>
        <v/>
      </c>
    </row>
    <row r="2056" spans="1:1" x14ac:dyDescent="0.25">
      <c r="A2056" t="str">
        <f t="shared" si="32"/>
        <v/>
      </c>
    </row>
    <row r="2057" spans="1:1" x14ac:dyDescent="0.25">
      <c r="A2057" t="str">
        <f t="shared" si="32"/>
        <v/>
      </c>
    </row>
    <row r="2058" spans="1:1" x14ac:dyDescent="0.25">
      <c r="A2058" t="str">
        <f t="shared" si="32"/>
        <v/>
      </c>
    </row>
    <row r="2059" spans="1:1" x14ac:dyDescent="0.25">
      <c r="A2059" t="str">
        <f t="shared" si="32"/>
        <v/>
      </c>
    </row>
    <row r="2060" spans="1:1" x14ac:dyDescent="0.25">
      <c r="A2060" t="str">
        <f t="shared" si="32"/>
        <v/>
      </c>
    </row>
    <row r="2061" spans="1:1" x14ac:dyDescent="0.25">
      <c r="A2061" t="str">
        <f t="shared" si="32"/>
        <v/>
      </c>
    </row>
    <row r="2062" spans="1:1" x14ac:dyDescent="0.25">
      <c r="A2062" t="str">
        <f t="shared" si="32"/>
        <v/>
      </c>
    </row>
    <row r="2063" spans="1:1" x14ac:dyDescent="0.25">
      <c r="A2063" t="str">
        <f t="shared" si="32"/>
        <v/>
      </c>
    </row>
    <row r="2064" spans="1:1" x14ac:dyDescent="0.25">
      <c r="A2064" t="str">
        <f t="shared" si="32"/>
        <v/>
      </c>
    </row>
    <row r="2065" spans="1:1" x14ac:dyDescent="0.25">
      <c r="A2065" t="str">
        <f t="shared" si="32"/>
        <v/>
      </c>
    </row>
    <row r="2066" spans="1:1" x14ac:dyDescent="0.25">
      <c r="A2066" t="str">
        <f t="shared" si="32"/>
        <v/>
      </c>
    </row>
    <row r="2067" spans="1:1" x14ac:dyDescent="0.25">
      <c r="A2067" t="str">
        <f t="shared" si="32"/>
        <v/>
      </c>
    </row>
    <row r="2068" spans="1:1" x14ac:dyDescent="0.25">
      <c r="A2068" t="str">
        <f t="shared" si="32"/>
        <v/>
      </c>
    </row>
    <row r="2069" spans="1:1" x14ac:dyDescent="0.25">
      <c r="A2069" t="str">
        <f t="shared" si="32"/>
        <v/>
      </c>
    </row>
    <row r="2070" spans="1:1" x14ac:dyDescent="0.25">
      <c r="A2070" t="str">
        <f t="shared" si="32"/>
        <v/>
      </c>
    </row>
    <row r="2071" spans="1:1" x14ac:dyDescent="0.25">
      <c r="A2071" t="str">
        <f t="shared" si="32"/>
        <v/>
      </c>
    </row>
    <row r="2072" spans="1:1" x14ac:dyDescent="0.25">
      <c r="A2072" t="str">
        <f t="shared" si="32"/>
        <v/>
      </c>
    </row>
    <row r="2073" spans="1:1" x14ac:dyDescent="0.25">
      <c r="A2073" t="str">
        <f t="shared" si="32"/>
        <v/>
      </c>
    </row>
    <row r="2074" spans="1:1" x14ac:dyDescent="0.25">
      <c r="A2074" t="str">
        <f t="shared" si="32"/>
        <v/>
      </c>
    </row>
    <row r="2075" spans="1:1" x14ac:dyDescent="0.25">
      <c r="A2075" t="str">
        <f t="shared" si="32"/>
        <v/>
      </c>
    </row>
    <row r="2076" spans="1:1" x14ac:dyDescent="0.25">
      <c r="A2076" t="str">
        <f t="shared" si="32"/>
        <v/>
      </c>
    </row>
    <row r="2077" spans="1:1" x14ac:dyDescent="0.25">
      <c r="A2077" t="str">
        <f t="shared" si="32"/>
        <v/>
      </c>
    </row>
    <row r="2078" spans="1:1" x14ac:dyDescent="0.25">
      <c r="A2078" t="str">
        <f t="shared" si="32"/>
        <v/>
      </c>
    </row>
    <row r="2079" spans="1:1" x14ac:dyDescent="0.25">
      <c r="A2079" t="str">
        <f t="shared" si="32"/>
        <v/>
      </c>
    </row>
    <row r="2080" spans="1:1" x14ac:dyDescent="0.25">
      <c r="A2080" t="str">
        <f t="shared" si="32"/>
        <v/>
      </c>
    </row>
    <row r="2081" spans="1:1" x14ac:dyDescent="0.25">
      <c r="A2081" t="str">
        <f t="shared" si="32"/>
        <v/>
      </c>
    </row>
    <row r="2082" spans="1:1" x14ac:dyDescent="0.25">
      <c r="A2082" t="str">
        <f t="shared" si="32"/>
        <v/>
      </c>
    </row>
    <row r="2083" spans="1:1" x14ac:dyDescent="0.25">
      <c r="A2083" t="str">
        <f t="shared" si="32"/>
        <v/>
      </c>
    </row>
    <row r="2084" spans="1:1" x14ac:dyDescent="0.25">
      <c r="A2084" t="str">
        <f t="shared" si="32"/>
        <v/>
      </c>
    </row>
    <row r="2085" spans="1:1" x14ac:dyDescent="0.25">
      <c r="A2085" t="str">
        <f t="shared" si="32"/>
        <v/>
      </c>
    </row>
    <row r="2086" spans="1:1" x14ac:dyDescent="0.25">
      <c r="A2086" t="str">
        <f t="shared" si="32"/>
        <v/>
      </c>
    </row>
    <row r="2087" spans="1:1" x14ac:dyDescent="0.25">
      <c r="A2087" t="str">
        <f t="shared" si="32"/>
        <v/>
      </c>
    </row>
    <row r="2088" spans="1:1" x14ac:dyDescent="0.25">
      <c r="A2088" t="str">
        <f t="shared" si="32"/>
        <v/>
      </c>
    </row>
    <row r="2089" spans="1:1" x14ac:dyDescent="0.25">
      <c r="A2089" t="str">
        <f t="shared" si="32"/>
        <v/>
      </c>
    </row>
    <row r="2090" spans="1:1" x14ac:dyDescent="0.25">
      <c r="A2090" t="str">
        <f t="shared" si="32"/>
        <v/>
      </c>
    </row>
    <row r="2091" spans="1:1" x14ac:dyDescent="0.25">
      <c r="A2091" t="str">
        <f t="shared" si="32"/>
        <v/>
      </c>
    </row>
    <row r="2092" spans="1:1" x14ac:dyDescent="0.25">
      <c r="A2092" t="str">
        <f t="shared" si="32"/>
        <v/>
      </c>
    </row>
    <row r="2093" spans="1:1" x14ac:dyDescent="0.25">
      <c r="A2093" t="str">
        <f t="shared" si="32"/>
        <v/>
      </c>
    </row>
    <row r="2094" spans="1:1" x14ac:dyDescent="0.25">
      <c r="A2094" t="str">
        <f t="shared" si="32"/>
        <v/>
      </c>
    </row>
    <row r="2095" spans="1:1" x14ac:dyDescent="0.25">
      <c r="A2095" t="str">
        <f t="shared" si="32"/>
        <v/>
      </c>
    </row>
    <row r="2096" spans="1:1" x14ac:dyDescent="0.25">
      <c r="A2096" t="str">
        <f t="shared" si="32"/>
        <v/>
      </c>
    </row>
    <row r="2097" spans="1:1" x14ac:dyDescent="0.25">
      <c r="A2097" t="str">
        <f t="shared" si="32"/>
        <v/>
      </c>
    </row>
    <row r="2098" spans="1:1" x14ac:dyDescent="0.25">
      <c r="A2098" t="str">
        <f t="shared" si="32"/>
        <v/>
      </c>
    </row>
    <row r="2099" spans="1:1" x14ac:dyDescent="0.25">
      <c r="A2099" t="str">
        <f t="shared" si="32"/>
        <v/>
      </c>
    </row>
    <row r="2100" spans="1:1" x14ac:dyDescent="0.25">
      <c r="A2100" t="str">
        <f t="shared" si="32"/>
        <v/>
      </c>
    </row>
    <row r="2101" spans="1:1" x14ac:dyDescent="0.25">
      <c r="A2101" t="str">
        <f t="shared" si="32"/>
        <v/>
      </c>
    </row>
    <row r="2102" spans="1:1" x14ac:dyDescent="0.25">
      <c r="A2102" t="str">
        <f t="shared" si="32"/>
        <v/>
      </c>
    </row>
    <row r="2103" spans="1:1" x14ac:dyDescent="0.25">
      <c r="A2103" t="str">
        <f t="shared" si="32"/>
        <v/>
      </c>
    </row>
    <row r="2104" spans="1:1" x14ac:dyDescent="0.25">
      <c r="A2104" t="str">
        <f t="shared" si="32"/>
        <v/>
      </c>
    </row>
    <row r="2105" spans="1:1" x14ac:dyDescent="0.25">
      <c r="A2105" t="str">
        <f t="shared" si="32"/>
        <v/>
      </c>
    </row>
    <row r="2106" spans="1:1" x14ac:dyDescent="0.25">
      <c r="A2106" t="str">
        <f t="shared" si="32"/>
        <v/>
      </c>
    </row>
    <row r="2107" spans="1:1" x14ac:dyDescent="0.25">
      <c r="A2107" t="str">
        <f t="shared" si="32"/>
        <v/>
      </c>
    </row>
    <row r="2108" spans="1:1" x14ac:dyDescent="0.25">
      <c r="A2108" t="str">
        <f t="shared" si="32"/>
        <v/>
      </c>
    </row>
    <row r="2109" spans="1:1" x14ac:dyDescent="0.25">
      <c r="A2109" t="str">
        <f t="shared" si="32"/>
        <v/>
      </c>
    </row>
    <row r="2110" spans="1:1" x14ac:dyDescent="0.25">
      <c r="A2110" t="str">
        <f t="shared" si="32"/>
        <v/>
      </c>
    </row>
    <row r="2111" spans="1:1" x14ac:dyDescent="0.25">
      <c r="A2111" t="str">
        <f t="shared" si="32"/>
        <v/>
      </c>
    </row>
    <row r="2112" spans="1:1" x14ac:dyDescent="0.25">
      <c r="A2112" t="str">
        <f t="shared" si="32"/>
        <v/>
      </c>
    </row>
    <row r="2113" spans="1:1" x14ac:dyDescent="0.25">
      <c r="A2113" t="str">
        <f t="shared" si="32"/>
        <v/>
      </c>
    </row>
    <row r="2114" spans="1:1" x14ac:dyDescent="0.25">
      <c r="A2114" t="str">
        <f t="shared" ref="A2114:A2177" si="33">CONCATENATE(B2114, C2114, D2114)</f>
        <v/>
      </c>
    </row>
    <row r="2115" spans="1:1" x14ac:dyDescent="0.25">
      <c r="A2115" t="str">
        <f t="shared" si="33"/>
        <v/>
      </c>
    </row>
    <row r="2116" spans="1:1" x14ac:dyDescent="0.25">
      <c r="A2116" t="str">
        <f t="shared" si="33"/>
        <v/>
      </c>
    </row>
    <row r="2117" spans="1:1" x14ac:dyDescent="0.25">
      <c r="A2117" t="str">
        <f t="shared" si="33"/>
        <v/>
      </c>
    </row>
    <row r="2118" spans="1:1" x14ac:dyDescent="0.25">
      <c r="A2118" t="str">
        <f t="shared" si="33"/>
        <v/>
      </c>
    </row>
    <row r="2119" spans="1:1" x14ac:dyDescent="0.25">
      <c r="A2119" t="str">
        <f t="shared" si="33"/>
        <v/>
      </c>
    </row>
    <row r="2120" spans="1:1" x14ac:dyDescent="0.25">
      <c r="A2120" t="str">
        <f t="shared" si="33"/>
        <v/>
      </c>
    </row>
    <row r="2121" spans="1:1" x14ac:dyDescent="0.25">
      <c r="A2121" t="str">
        <f t="shared" si="33"/>
        <v/>
      </c>
    </row>
    <row r="2122" spans="1:1" x14ac:dyDescent="0.25">
      <c r="A2122" t="str">
        <f t="shared" si="33"/>
        <v/>
      </c>
    </row>
    <row r="2123" spans="1:1" x14ac:dyDescent="0.25">
      <c r="A2123" t="str">
        <f t="shared" si="33"/>
        <v/>
      </c>
    </row>
    <row r="2124" spans="1:1" x14ac:dyDescent="0.25">
      <c r="A2124" t="str">
        <f t="shared" si="33"/>
        <v/>
      </c>
    </row>
    <row r="2125" spans="1:1" x14ac:dyDescent="0.25">
      <c r="A2125" t="str">
        <f t="shared" si="33"/>
        <v/>
      </c>
    </row>
    <row r="2126" spans="1:1" x14ac:dyDescent="0.25">
      <c r="A2126" t="str">
        <f t="shared" si="33"/>
        <v/>
      </c>
    </row>
    <row r="2127" spans="1:1" x14ac:dyDescent="0.25">
      <c r="A2127" t="str">
        <f t="shared" si="33"/>
        <v/>
      </c>
    </row>
    <row r="2128" spans="1:1" x14ac:dyDescent="0.25">
      <c r="A2128" t="str">
        <f t="shared" si="33"/>
        <v/>
      </c>
    </row>
    <row r="2129" spans="1:1" x14ac:dyDescent="0.25">
      <c r="A2129" t="str">
        <f t="shared" si="33"/>
        <v/>
      </c>
    </row>
    <row r="2130" spans="1:1" x14ac:dyDescent="0.25">
      <c r="A2130" t="str">
        <f t="shared" si="33"/>
        <v/>
      </c>
    </row>
    <row r="2131" spans="1:1" x14ac:dyDescent="0.25">
      <c r="A2131" t="str">
        <f t="shared" si="33"/>
        <v/>
      </c>
    </row>
    <row r="2132" spans="1:1" x14ac:dyDescent="0.25">
      <c r="A2132" t="str">
        <f t="shared" si="33"/>
        <v/>
      </c>
    </row>
    <row r="2133" spans="1:1" x14ac:dyDescent="0.25">
      <c r="A2133" t="str">
        <f t="shared" si="33"/>
        <v/>
      </c>
    </row>
    <row r="2134" spans="1:1" x14ac:dyDescent="0.25">
      <c r="A2134" t="str">
        <f t="shared" si="33"/>
        <v/>
      </c>
    </row>
    <row r="2135" spans="1:1" x14ac:dyDescent="0.25">
      <c r="A2135" t="str">
        <f t="shared" si="33"/>
        <v/>
      </c>
    </row>
    <row r="2136" spans="1:1" x14ac:dyDescent="0.25">
      <c r="A2136" t="str">
        <f t="shared" si="33"/>
        <v/>
      </c>
    </row>
    <row r="2137" spans="1:1" x14ac:dyDescent="0.25">
      <c r="A2137" t="str">
        <f t="shared" si="33"/>
        <v/>
      </c>
    </row>
    <row r="2138" spans="1:1" x14ac:dyDescent="0.25">
      <c r="A2138" t="str">
        <f t="shared" si="33"/>
        <v/>
      </c>
    </row>
    <row r="2139" spans="1:1" x14ac:dyDescent="0.25">
      <c r="A2139" t="str">
        <f t="shared" si="33"/>
        <v/>
      </c>
    </row>
    <row r="2140" spans="1:1" x14ac:dyDescent="0.25">
      <c r="A2140" t="str">
        <f t="shared" si="33"/>
        <v/>
      </c>
    </row>
    <row r="2141" spans="1:1" x14ac:dyDescent="0.25">
      <c r="A2141" t="str">
        <f t="shared" si="33"/>
        <v/>
      </c>
    </row>
    <row r="2142" spans="1:1" x14ac:dyDescent="0.25">
      <c r="A2142" t="str">
        <f t="shared" si="33"/>
        <v/>
      </c>
    </row>
    <row r="2143" spans="1:1" x14ac:dyDescent="0.25">
      <c r="A2143" t="str">
        <f t="shared" si="33"/>
        <v/>
      </c>
    </row>
    <row r="2144" spans="1:1" x14ac:dyDescent="0.25">
      <c r="A2144" t="str">
        <f t="shared" si="33"/>
        <v/>
      </c>
    </row>
    <row r="2145" spans="1:1" x14ac:dyDescent="0.25">
      <c r="A2145" t="str">
        <f t="shared" si="33"/>
        <v/>
      </c>
    </row>
    <row r="2146" spans="1:1" x14ac:dyDescent="0.25">
      <c r="A2146" t="str">
        <f t="shared" si="33"/>
        <v/>
      </c>
    </row>
    <row r="2147" spans="1:1" x14ac:dyDescent="0.25">
      <c r="A2147" t="str">
        <f t="shared" si="33"/>
        <v/>
      </c>
    </row>
    <row r="2148" spans="1:1" x14ac:dyDescent="0.25">
      <c r="A2148" t="str">
        <f t="shared" si="33"/>
        <v/>
      </c>
    </row>
    <row r="2149" spans="1:1" x14ac:dyDescent="0.25">
      <c r="A2149" t="str">
        <f t="shared" si="33"/>
        <v/>
      </c>
    </row>
    <row r="2150" spans="1:1" x14ac:dyDescent="0.25">
      <c r="A2150" t="str">
        <f t="shared" si="33"/>
        <v/>
      </c>
    </row>
    <row r="2151" spans="1:1" x14ac:dyDescent="0.25">
      <c r="A2151" t="str">
        <f t="shared" si="33"/>
        <v/>
      </c>
    </row>
    <row r="2152" spans="1:1" x14ac:dyDescent="0.25">
      <c r="A2152" t="str">
        <f t="shared" si="33"/>
        <v/>
      </c>
    </row>
    <row r="2153" spans="1:1" x14ac:dyDescent="0.25">
      <c r="A2153" t="str">
        <f t="shared" si="33"/>
        <v/>
      </c>
    </row>
    <row r="2154" spans="1:1" x14ac:dyDescent="0.25">
      <c r="A2154" t="str">
        <f t="shared" si="33"/>
        <v/>
      </c>
    </row>
    <row r="2155" spans="1:1" x14ac:dyDescent="0.25">
      <c r="A2155" t="str">
        <f t="shared" si="33"/>
        <v/>
      </c>
    </row>
    <row r="2156" spans="1:1" x14ac:dyDescent="0.25">
      <c r="A2156" t="str">
        <f t="shared" si="33"/>
        <v/>
      </c>
    </row>
    <row r="2157" spans="1:1" x14ac:dyDescent="0.25">
      <c r="A2157" t="str">
        <f t="shared" si="33"/>
        <v/>
      </c>
    </row>
    <row r="2158" spans="1:1" x14ac:dyDescent="0.25">
      <c r="A2158" t="str">
        <f t="shared" si="33"/>
        <v/>
      </c>
    </row>
    <row r="2159" spans="1:1" x14ac:dyDescent="0.25">
      <c r="A2159" t="str">
        <f t="shared" si="33"/>
        <v/>
      </c>
    </row>
    <row r="2160" spans="1:1" x14ac:dyDescent="0.25">
      <c r="A2160" t="str">
        <f t="shared" si="33"/>
        <v/>
      </c>
    </row>
    <row r="2161" spans="1:1" x14ac:dyDescent="0.25">
      <c r="A2161" t="str">
        <f t="shared" si="33"/>
        <v/>
      </c>
    </row>
    <row r="2162" spans="1:1" x14ac:dyDescent="0.25">
      <c r="A2162" t="str">
        <f t="shared" si="33"/>
        <v/>
      </c>
    </row>
    <row r="2163" spans="1:1" x14ac:dyDescent="0.25">
      <c r="A2163" t="str">
        <f t="shared" si="33"/>
        <v/>
      </c>
    </row>
    <row r="2164" spans="1:1" x14ac:dyDescent="0.25">
      <c r="A2164" t="str">
        <f t="shared" si="33"/>
        <v/>
      </c>
    </row>
    <row r="2165" spans="1:1" x14ac:dyDescent="0.25">
      <c r="A2165" t="str">
        <f t="shared" si="33"/>
        <v/>
      </c>
    </row>
    <row r="2166" spans="1:1" x14ac:dyDescent="0.25">
      <c r="A2166" t="str">
        <f t="shared" si="33"/>
        <v/>
      </c>
    </row>
    <row r="2167" spans="1:1" x14ac:dyDescent="0.25">
      <c r="A2167" t="str">
        <f t="shared" si="33"/>
        <v/>
      </c>
    </row>
    <row r="2168" spans="1:1" x14ac:dyDescent="0.25">
      <c r="A2168" t="str">
        <f t="shared" si="33"/>
        <v/>
      </c>
    </row>
    <row r="2169" spans="1:1" x14ac:dyDescent="0.25">
      <c r="A2169" t="str">
        <f t="shared" si="33"/>
        <v/>
      </c>
    </row>
    <row r="2170" spans="1:1" x14ac:dyDescent="0.25">
      <c r="A2170" t="str">
        <f t="shared" si="33"/>
        <v/>
      </c>
    </row>
    <row r="2171" spans="1:1" x14ac:dyDescent="0.25">
      <c r="A2171" t="str">
        <f t="shared" si="33"/>
        <v/>
      </c>
    </row>
    <row r="2172" spans="1:1" x14ac:dyDescent="0.25">
      <c r="A2172" t="str">
        <f t="shared" si="33"/>
        <v/>
      </c>
    </row>
    <row r="2173" spans="1:1" x14ac:dyDescent="0.25">
      <c r="A2173" t="str">
        <f t="shared" si="33"/>
        <v/>
      </c>
    </row>
    <row r="2174" spans="1:1" x14ac:dyDescent="0.25">
      <c r="A2174" t="str">
        <f t="shared" si="33"/>
        <v/>
      </c>
    </row>
    <row r="2175" spans="1:1" x14ac:dyDescent="0.25">
      <c r="A2175" t="str">
        <f t="shared" si="33"/>
        <v/>
      </c>
    </row>
    <row r="2176" spans="1:1" x14ac:dyDescent="0.25">
      <c r="A2176" t="str">
        <f t="shared" si="33"/>
        <v/>
      </c>
    </row>
    <row r="2177" spans="1:1" x14ac:dyDescent="0.25">
      <c r="A2177" t="str">
        <f t="shared" si="33"/>
        <v/>
      </c>
    </row>
    <row r="2178" spans="1:1" x14ac:dyDescent="0.25">
      <c r="A2178" t="str">
        <f t="shared" ref="A2178:A2241" si="34">CONCATENATE(B2178, C2178, D2178)</f>
        <v/>
      </c>
    </row>
    <row r="2179" spans="1:1" x14ac:dyDescent="0.25">
      <c r="A2179" t="str">
        <f t="shared" si="34"/>
        <v/>
      </c>
    </row>
    <row r="2180" spans="1:1" x14ac:dyDescent="0.25">
      <c r="A2180" t="str">
        <f t="shared" si="34"/>
        <v/>
      </c>
    </row>
    <row r="2181" spans="1:1" x14ac:dyDescent="0.25">
      <c r="A2181" t="str">
        <f t="shared" si="34"/>
        <v/>
      </c>
    </row>
    <row r="2182" spans="1:1" x14ac:dyDescent="0.25">
      <c r="A2182" t="str">
        <f t="shared" si="34"/>
        <v/>
      </c>
    </row>
    <row r="2183" spans="1:1" x14ac:dyDescent="0.25">
      <c r="A2183" t="str">
        <f t="shared" si="34"/>
        <v/>
      </c>
    </row>
    <row r="2184" spans="1:1" x14ac:dyDescent="0.25">
      <c r="A2184" t="str">
        <f t="shared" si="34"/>
        <v/>
      </c>
    </row>
    <row r="2185" spans="1:1" x14ac:dyDescent="0.25">
      <c r="A2185" t="str">
        <f t="shared" si="34"/>
        <v/>
      </c>
    </row>
    <row r="2186" spans="1:1" x14ac:dyDescent="0.25">
      <c r="A2186" t="str">
        <f t="shared" si="34"/>
        <v/>
      </c>
    </row>
    <row r="2187" spans="1:1" x14ac:dyDescent="0.25">
      <c r="A2187" t="str">
        <f t="shared" si="34"/>
        <v/>
      </c>
    </row>
    <row r="2188" spans="1:1" x14ac:dyDescent="0.25">
      <c r="A2188" t="str">
        <f t="shared" si="34"/>
        <v/>
      </c>
    </row>
    <row r="2189" spans="1:1" x14ac:dyDescent="0.25">
      <c r="A2189" t="str">
        <f t="shared" si="34"/>
        <v/>
      </c>
    </row>
    <row r="2190" spans="1:1" x14ac:dyDescent="0.25">
      <c r="A2190" t="str">
        <f t="shared" si="34"/>
        <v/>
      </c>
    </row>
    <row r="2191" spans="1:1" x14ac:dyDescent="0.25">
      <c r="A2191" t="str">
        <f t="shared" si="34"/>
        <v/>
      </c>
    </row>
    <row r="2192" spans="1:1" x14ac:dyDescent="0.25">
      <c r="A2192" t="str">
        <f t="shared" si="34"/>
        <v/>
      </c>
    </row>
    <row r="2193" spans="1:1" x14ac:dyDescent="0.25">
      <c r="A2193" t="str">
        <f t="shared" si="34"/>
        <v/>
      </c>
    </row>
    <row r="2194" spans="1:1" x14ac:dyDescent="0.25">
      <c r="A2194" t="str">
        <f t="shared" si="34"/>
        <v/>
      </c>
    </row>
    <row r="2195" spans="1:1" x14ac:dyDescent="0.25">
      <c r="A2195" t="str">
        <f t="shared" si="34"/>
        <v/>
      </c>
    </row>
    <row r="2196" spans="1:1" x14ac:dyDescent="0.25">
      <c r="A2196" t="str">
        <f t="shared" si="34"/>
        <v/>
      </c>
    </row>
    <row r="2197" spans="1:1" x14ac:dyDescent="0.25">
      <c r="A2197" t="str">
        <f t="shared" si="34"/>
        <v/>
      </c>
    </row>
    <row r="2198" spans="1:1" x14ac:dyDescent="0.25">
      <c r="A2198" t="str">
        <f t="shared" si="34"/>
        <v/>
      </c>
    </row>
    <row r="2199" spans="1:1" x14ac:dyDescent="0.25">
      <c r="A2199" t="str">
        <f t="shared" si="34"/>
        <v/>
      </c>
    </row>
    <row r="2200" spans="1:1" x14ac:dyDescent="0.25">
      <c r="A2200" t="str">
        <f t="shared" si="34"/>
        <v/>
      </c>
    </row>
    <row r="2201" spans="1:1" x14ac:dyDescent="0.25">
      <c r="A2201" t="str">
        <f t="shared" si="34"/>
        <v/>
      </c>
    </row>
    <row r="2202" spans="1:1" x14ac:dyDescent="0.25">
      <c r="A2202" t="str">
        <f t="shared" si="34"/>
        <v/>
      </c>
    </row>
    <row r="2203" spans="1:1" x14ac:dyDescent="0.25">
      <c r="A2203" t="str">
        <f t="shared" si="34"/>
        <v/>
      </c>
    </row>
    <row r="2204" spans="1:1" x14ac:dyDescent="0.25">
      <c r="A2204" t="str">
        <f t="shared" si="34"/>
        <v/>
      </c>
    </row>
    <row r="2205" spans="1:1" x14ac:dyDescent="0.25">
      <c r="A2205" t="str">
        <f t="shared" si="34"/>
        <v/>
      </c>
    </row>
    <row r="2206" spans="1:1" x14ac:dyDescent="0.25">
      <c r="A2206" t="str">
        <f t="shared" si="34"/>
        <v/>
      </c>
    </row>
    <row r="2207" spans="1:1" x14ac:dyDescent="0.25">
      <c r="A2207" t="str">
        <f t="shared" si="34"/>
        <v/>
      </c>
    </row>
    <row r="2208" spans="1:1" x14ac:dyDescent="0.25">
      <c r="A2208" t="str">
        <f t="shared" si="34"/>
        <v/>
      </c>
    </row>
    <row r="2209" spans="1:1" x14ac:dyDescent="0.25">
      <c r="A2209" t="str">
        <f t="shared" si="34"/>
        <v/>
      </c>
    </row>
    <row r="2210" spans="1:1" x14ac:dyDescent="0.25">
      <c r="A2210" t="str">
        <f t="shared" si="34"/>
        <v/>
      </c>
    </row>
    <row r="2211" spans="1:1" x14ac:dyDescent="0.25">
      <c r="A2211" t="str">
        <f t="shared" si="34"/>
        <v/>
      </c>
    </row>
    <row r="2212" spans="1:1" x14ac:dyDescent="0.25">
      <c r="A2212" t="str">
        <f t="shared" si="34"/>
        <v/>
      </c>
    </row>
    <row r="2213" spans="1:1" x14ac:dyDescent="0.25">
      <c r="A2213" t="str">
        <f t="shared" si="34"/>
        <v/>
      </c>
    </row>
    <row r="2214" spans="1:1" x14ac:dyDescent="0.25">
      <c r="A2214" t="str">
        <f t="shared" si="34"/>
        <v/>
      </c>
    </row>
    <row r="2215" spans="1:1" x14ac:dyDescent="0.25">
      <c r="A2215" t="str">
        <f t="shared" si="34"/>
        <v/>
      </c>
    </row>
    <row r="2216" spans="1:1" x14ac:dyDescent="0.25">
      <c r="A2216" t="str">
        <f t="shared" si="34"/>
        <v/>
      </c>
    </row>
    <row r="2217" spans="1:1" x14ac:dyDescent="0.25">
      <c r="A2217" t="str">
        <f t="shared" si="34"/>
        <v/>
      </c>
    </row>
    <row r="2218" spans="1:1" x14ac:dyDescent="0.25">
      <c r="A2218" t="str">
        <f t="shared" si="34"/>
        <v/>
      </c>
    </row>
    <row r="2219" spans="1:1" x14ac:dyDescent="0.25">
      <c r="A2219" t="str">
        <f t="shared" si="34"/>
        <v/>
      </c>
    </row>
    <row r="2220" spans="1:1" x14ac:dyDescent="0.25">
      <c r="A2220" t="str">
        <f t="shared" si="34"/>
        <v/>
      </c>
    </row>
    <row r="2221" spans="1:1" x14ac:dyDescent="0.25">
      <c r="A2221" t="str">
        <f t="shared" si="34"/>
        <v/>
      </c>
    </row>
    <row r="2222" spans="1:1" x14ac:dyDescent="0.25">
      <c r="A2222" t="str">
        <f t="shared" si="34"/>
        <v/>
      </c>
    </row>
    <row r="2223" spans="1:1" x14ac:dyDescent="0.25">
      <c r="A2223" t="str">
        <f t="shared" si="34"/>
        <v/>
      </c>
    </row>
    <row r="2224" spans="1:1" x14ac:dyDescent="0.25">
      <c r="A2224" t="str">
        <f t="shared" si="34"/>
        <v/>
      </c>
    </row>
    <row r="2225" spans="1:1" x14ac:dyDescent="0.25">
      <c r="A2225" t="str">
        <f t="shared" si="34"/>
        <v/>
      </c>
    </row>
    <row r="2226" spans="1:1" x14ac:dyDescent="0.25">
      <c r="A2226" t="str">
        <f t="shared" si="34"/>
        <v/>
      </c>
    </row>
    <row r="2227" spans="1:1" x14ac:dyDescent="0.25">
      <c r="A2227" t="str">
        <f t="shared" si="34"/>
        <v/>
      </c>
    </row>
    <row r="2228" spans="1:1" x14ac:dyDescent="0.25">
      <c r="A2228" t="str">
        <f t="shared" si="34"/>
        <v/>
      </c>
    </row>
    <row r="2229" spans="1:1" x14ac:dyDescent="0.25">
      <c r="A2229" t="str">
        <f t="shared" si="34"/>
        <v/>
      </c>
    </row>
    <row r="2230" spans="1:1" x14ac:dyDescent="0.25">
      <c r="A2230" t="str">
        <f t="shared" si="34"/>
        <v/>
      </c>
    </row>
    <row r="2231" spans="1:1" x14ac:dyDescent="0.25">
      <c r="A2231" t="str">
        <f t="shared" si="34"/>
        <v/>
      </c>
    </row>
    <row r="2232" spans="1:1" x14ac:dyDescent="0.25">
      <c r="A2232" t="str">
        <f t="shared" si="34"/>
        <v/>
      </c>
    </row>
    <row r="2233" spans="1:1" x14ac:dyDescent="0.25">
      <c r="A2233" t="str">
        <f t="shared" si="34"/>
        <v/>
      </c>
    </row>
    <row r="2234" spans="1:1" x14ac:dyDescent="0.25">
      <c r="A2234" t="str">
        <f t="shared" si="34"/>
        <v/>
      </c>
    </row>
    <row r="2235" spans="1:1" x14ac:dyDescent="0.25">
      <c r="A2235" t="str">
        <f t="shared" si="34"/>
        <v/>
      </c>
    </row>
    <row r="2236" spans="1:1" x14ac:dyDescent="0.25">
      <c r="A2236" t="str">
        <f t="shared" si="34"/>
        <v/>
      </c>
    </row>
    <row r="2237" spans="1:1" x14ac:dyDescent="0.25">
      <c r="A2237" t="str">
        <f t="shared" si="34"/>
        <v/>
      </c>
    </row>
    <row r="2238" spans="1:1" x14ac:dyDescent="0.25">
      <c r="A2238" t="str">
        <f t="shared" si="34"/>
        <v/>
      </c>
    </row>
    <row r="2239" spans="1:1" x14ac:dyDescent="0.25">
      <c r="A2239" t="str">
        <f t="shared" si="34"/>
        <v/>
      </c>
    </row>
    <row r="2240" spans="1:1" x14ac:dyDescent="0.25">
      <c r="A2240" t="str">
        <f t="shared" si="34"/>
        <v/>
      </c>
    </row>
    <row r="2241" spans="1:1" x14ac:dyDescent="0.25">
      <c r="A2241" t="str">
        <f t="shared" si="34"/>
        <v/>
      </c>
    </row>
    <row r="2242" spans="1:1" x14ac:dyDescent="0.25">
      <c r="A2242" t="str">
        <f t="shared" ref="A2242:A2305" si="35">CONCATENATE(B2242, C2242, D2242)</f>
        <v/>
      </c>
    </row>
    <row r="2243" spans="1:1" x14ac:dyDescent="0.25">
      <c r="A2243" t="str">
        <f t="shared" si="35"/>
        <v/>
      </c>
    </row>
    <row r="2244" spans="1:1" x14ac:dyDescent="0.25">
      <c r="A2244" t="str">
        <f t="shared" si="35"/>
        <v/>
      </c>
    </row>
    <row r="2245" spans="1:1" x14ac:dyDescent="0.25">
      <c r="A2245" t="str">
        <f t="shared" si="35"/>
        <v/>
      </c>
    </row>
    <row r="2246" spans="1:1" x14ac:dyDescent="0.25">
      <c r="A2246" t="str">
        <f t="shared" si="35"/>
        <v/>
      </c>
    </row>
    <row r="2247" spans="1:1" x14ac:dyDescent="0.25">
      <c r="A2247" t="str">
        <f t="shared" si="35"/>
        <v/>
      </c>
    </row>
    <row r="2248" spans="1:1" x14ac:dyDescent="0.25">
      <c r="A2248" t="str">
        <f t="shared" si="35"/>
        <v/>
      </c>
    </row>
    <row r="2249" spans="1:1" x14ac:dyDescent="0.25">
      <c r="A2249" t="str">
        <f t="shared" si="35"/>
        <v/>
      </c>
    </row>
    <row r="2250" spans="1:1" x14ac:dyDescent="0.25">
      <c r="A2250" t="str">
        <f t="shared" si="35"/>
        <v/>
      </c>
    </row>
    <row r="2251" spans="1:1" x14ac:dyDescent="0.25">
      <c r="A2251" t="str">
        <f t="shared" si="35"/>
        <v/>
      </c>
    </row>
    <row r="2252" spans="1:1" x14ac:dyDescent="0.25">
      <c r="A2252" t="str">
        <f t="shared" si="35"/>
        <v/>
      </c>
    </row>
    <row r="2253" spans="1:1" x14ac:dyDescent="0.25">
      <c r="A2253" t="str">
        <f t="shared" si="35"/>
        <v/>
      </c>
    </row>
    <row r="2254" spans="1:1" x14ac:dyDescent="0.25">
      <c r="A2254" t="str">
        <f t="shared" si="35"/>
        <v/>
      </c>
    </row>
    <row r="2255" spans="1:1" x14ac:dyDescent="0.25">
      <c r="A2255" t="str">
        <f t="shared" si="35"/>
        <v/>
      </c>
    </row>
    <row r="2256" spans="1:1" x14ac:dyDescent="0.25">
      <c r="A2256" t="str">
        <f t="shared" si="35"/>
        <v/>
      </c>
    </row>
    <row r="2257" spans="1:1" x14ac:dyDescent="0.25">
      <c r="A2257" t="str">
        <f t="shared" si="35"/>
        <v/>
      </c>
    </row>
    <row r="2258" spans="1:1" x14ac:dyDescent="0.25">
      <c r="A2258" t="str">
        <f t="shared" si="35"/>
        <v/>
      </c>
    </row>
    <row r="2259" spans="1:1" x14ac:dyDescent="0.25">
      <c r="A2259" t="str">
        <f t="shared" si="35"/>
        <v/>
      </c>
    </row>
    <row r="2260" spans="1:1" x14ac:dyDescent="0.25">
      <c r="A2260" t="str">
        <f t="shared" si="35"/>
        <v/>
      </c>
    </row>
    <row r="2261" spans="1:1" x14ac:dyDescent="0.25">
      <c r="A2261" t="str">
        <f t="shared" si="35"/>
        <v/>
      </c>
    </row>
    <row r="2262" spans="1:1" x14ac:dyDescent="0.25">
      <c r="A2262" t="str">
        <f t="shared" si="35"/>
        <v/>
      </c>
    </row>
    <row r="2263" spans="1:1" x14ac:dyDescent="0.25">
      <c r="A2263" t="str">
        <f t="shared" si="35"/>
        <v/>
      </c>
    </row>
    <row r="2264" spans="1:1" x14ac:dyDescent="0.25">
      <c r="A2264" t="str">
        <f t="shared" si="35"/>
        <v/>
      </c>
    </row>
    <row r="2265" spans="1:1" x14ac:dyDescent="0.25">
      <c r="A2265" t="str">
        <f t="shared" si="35"/>
        <v/>
      </c>
    </row>
    <row r="2266" spans="1:1" x14ac:dyDescent="0.25">
      <c r="A2266" t="str">
        <f t="shared" si="35"/>
        <v/>
      </c>
    </row>
    <row r="2267" spans="1:1" x14ac:dyDescent="0.25">
      <c r="A2267" t="str">
        <f t="shared" si="35"/>
        <v/>
      </c>
    </row>
    <row r="2268" spans="1:1" x14ac:dyDescent="0.25">
      <c r="A2268" t="str">
        <f t="shared" si="35"/>
        <v/>
      </c>
    </row>
    <row r="2269" spans="1:1" x14ac:dyDescent="0.25">
      <c r="A2269" t="str">
        <f t="shared" si="35"/>
        <v/>
      </c>
    </row>
    <row r="2270" spans="1:1" x14ac:dyDescent="0.25">
      <c r="A2270" t="str">
        <f t="shared" si="35"/>
        <v/>
      </c>
    </row>
    <row r="2271" spans="1:1" x14ac:dyDescent="0.25">
      <c r="A2271" t="str">
        <f t="shared" si="35"/>
        <v/>
      </c>
    </row>
    <row r="2272" spans="1:1" x14ac:dyDescent="0.25">
      <c r="A2272" t="str">
        <f t="shared" si="35"/>
        <v/>
      </c>
    </row>
    <row r="2273" spans="1:1" x14ac:dyDescent="0.25">
      <c r="A2273" t="str">
        <f t="shared" si="35"/>
        <v/>
      </c>
    </row>
    <row r="2274" spans="1:1" x14ac:dyDescent="0.25">
      <c r="A2274" t="str">
        <f t="shared" si="35"/>
        <v/>
      </c>
    </row>
    <row r="2275" spans="1:1" x14ac:dyDescent="0.25">
      <c r="A2275" t="str">
        <f t="shared" si="35"/>
        <v/>
      </c>
    </row>
    <row r="2276" spans="1:1" x14ac:dyDescent="0.25">
      <c r="A2276" t="str">
        <f t="shared" si="35"/>
        <v/>
      </c>
    </row>
    <row r="2277" spans="1:1" x14ac:dyDescent="0.25">
      <c r="A2277" t="str">
        <f t="shared" si="35"/>
        <v/>
      </c>
    </row>
    <row r="2278" spans="1:1" x14ac:dyDescent="0.25">
      <c r="A2278" t="str">
        <f t="shared" si="35"/>
        <v/>
      </c>
    </row>
    <row r="2279" spans="1:1" x14ac:dyDescent="0.25">
      <c r="A2279" t="str">
        <f t="shared" si="35"/>
        <v/>
      </c>
    </row>
    <row r="2280" spans="1:1" x14ac:dyDescent="0.25">
      <c r="A2280" t="str">
        <f t="shared" si="35"/>
        <v/>
      </c>
    </row>
    <row r="2281" spans="1:1" x14ac:dyDescent="0.25">
      <c r="A2281" t="str">
        <f t="shared" si="35"/>
        <v/>
      </c>
    </row>
    <row r="2282" spans="1:1" x14ac:dyDescent="0.25">
      <c r="A2282" t="str">
        <f t="shared" si="35"/>
        <v/>
      </c>
    </row>
    <row r="2283" spans="1:1" x14ac:dyDescent="0.25">
      <c r="A2283" t="str">
        <f t="shared" si="35"/>
        <v/>
      </c>
    </row>
    <row r="2284" spans="1:1" x14ac:dyDescent="0.25">
      <c r="A2284" t="str">
        <f t="shared" si="35"/>
        <v/>
      </c>
    </row>
    <row r="2285" spans="1:1" x14ac:dyDescent="0.25">
      <c r="A2285" t="str">
        <f t="shared" si="35"/>
        <v/>
      </c>
    </row>
    <row r="2286" spans="1:1" x14ac:dyDescent="0.25">
      <c r="A2286" t="str">
        <f t="shared" si="35"/>
        <v/>
      </c>
    </row>
    <row r="2287" spans="1:1" x14ac:dyDescent="0.25">
      <c r="A2287" t="str">
        <f t="shared" si="35"/>
        <v/>
      </c>
    </row>
    <row r="2288" spans="1:1" x14ac:dyDescent="0.25">
      <c r="A2288" t="str">
        <f t="shared" si="35"/>
        <v/>
      </c>
    </row>
    <row r="2289" spans="1:1" x14ac:dyDescent="0.25">
      <c r="A2289" t="str">
        <f t="shared" si="35"/>
        <v/>
      </c>
    </row>
    <row r="2290" spans="1:1" x14ac:dyDescent="0.25">
      <c r="A2290" t="str">
        <f t="shared" si="35"/>
        <v/>
      </c>
    </row>
    <row r="2291" spans="1:1" x14ac:dyDescent="0.25">
      <c r="A2291" t="str">
        <f t="shared" si="35"/>
        <v/>
      </c>
    </row>
    <row r="2292" spans="1:1" x14ac:dyDescent="0.25">
      <c r="A2292" t="str">
        <f t="shared" si="35"/>
        <v/>
      </c>
    </row>
    <row r="2293" spans="1:1" x14ac:dyDescent="0.25">
      <c r="A2293" t="str">
        <f t="shared" si="35"/>
        <v/>
      </c>
    </row>
    <row r="2294" spans="1:1" x14ac:dyDescent="0.25">
      <c r="A2294" t="str">
        <f t="shared" si="35"/>
        <v/>
      </c>
    </row>
    <row r="2295" spans="1:1" x14ac:dyDescent="0.25">
      <c r="A2295" t="str">
        <f t="shared" si="35"/>
        <v/>
      </c>
    </row>
    <row r="2296" spans="1:1" x14ac:dyDescent="0.25">
      <c r="A2296" t="str">
        <f t="shared" si="35"/>
        <v/>
      </c>
    </row>
    <row r="2297" spans="1:1" x14ac:dyDescent="0.25">
      <c r="A2297" t="str">
        <f t="shared" si="35"/>
        <v/>
      </c>
    </row>
    <row r="2298" spans="1:1" x14ac:dyDescent="0.25">
      <c r="A2298" t="str">
        <f t="shared" si="35"/>
        <v/>
      </c>
    </row>
    <row r="2299" spans="1:1" x14ac:dyDescent="0.25">
      <c r="A2299" t="str">
        <f t="shared" si="35"/>
        <v/>
      </c>
    </row>
    <row r="2300" spans="1:1" x14ac:dyDescent="0.25">
      <c r="A2300" t="str">
        <f t="shared" si="35"/>
        <v/>
      </c>
    </row>
    <row r="2301" spans="1:1" x14ac:dyDescent="0.25">
      <c r="A2301" t="str">
        <f t="shared" si="35"/>
        <v/>
      </c>
    </row>
    <row r="2302" spans="1:1" x14ac:dyDescent="0.25">
      <c r="A2302" t="str">
        <f t="shared" si="35"/>
        <v/>
      </c>
    </row>
    <row r="2303" spans="1:1" x14ac:dyDescent="0.25">
      <c r="A2303" t="str">
        <f t="shared" si="35"/>
        <v/>
      </c>
    </row>
    <row r="2304" spans="1:1" x14ac:dyDescent="0.25">
      <c r="A2304" t="str">
        <f t="shared" si="35"/>
        <v/>
      </c>
    </row>
    <row r="2305" spans="1:1" x14ac:dyDescent="0.25">
      <c r="A2305" t="str">
        <f t="shared" si="35"/>
        <v/>
      </c>
    </row>
    <row r="2306" spans="1:1" x14ac:dyDescent="0.25">
      <c r="A2306" t="str">
        <f t="shared" ref="A2306:A2369" si="36">CONCATENATE(B2306, C2306, D2306)</f>
        <v/>
      </c>
    </row>
    <row r="2307" spans="1:1" x14ac:dyDescent="0.25">
      <c r="A2307" t="str">
        <f t="shared" si="36"/>
        <v/>
      </c>
    </row>
    <row r="2308" spans="1:1" x14ac:dyDescent="0.25">
      <c r="A2308" t="str">
        <f t="shared" si="36"/>
        <v/>
      </c>
    </row>
    <row r="2309" spans="1:1" x14ac:dyDescent="0.25">
      <c r="A2309" t="str">
        <f t="shared" si="36"/>
        <v/>
      </c>
    </row>
    <row r="2310" spans="1:1" x14ac:dyDescent="0.25">
      <c r="A2310" t="str">
        <f t="shared" si="36"/>
        <v/>
      </c>
    </row>
    <row r="2311" spans="1:1" x14ac:dyDescent="0.25">
      <c r="A2311" t="str">
        <f t="shared" si="36"/>
        <v/>
      </c>
    </row>
    <row r="2312" spans="1:1" x14ac:dyDescent="0.25">
      <c r="A2312" t="str">
        <f t="shared" si="36"/>
        <v/>
      </c>
    </row>
    <row r="2313" spans="1:1" x14ac:dyDescent="0.25">
      <c r="A2313" t="str">
        <f t="shared" si="36"/>
        <v/>
      </c>
    </row>
    <row r="2314" spans="1:1" x14ac:dyDescent="0.25">
      <c r="A2314" t="str">
        <f t="shared" si="36"/>
        <v/>
      </c>
    </row>
    <row r="2315" spans="1:1" x14ac:dyDescent="0.25">
      <c r="A2315" t="str">
        <f t="shared" si="36"/>
        <v/>
      </c>
    </row>
    <row r="2316" spans="1:1" x14ac:dyDescent="0.25">
      <c r="A2316" t="str">
        <f t="shared" si="36"/>
        <v/>
      </c>
    </row>
    <row r="2317" spans="1:1" x14ac:dyDescent="0.25">
      <c r="A2317" t="str">
        <f t="shared" si="36"/>
        <v/>
      </c>
    </row>
    <row r="2318" spans="1:1" x14ac:dyDescent="0.25">
      <c r="A2318" t="str">
        <f t="shared" si="36"/>
        <v/>
      </c>
    </row>
    <row r="2319" spans="1:1" x14ac:dyDescent="0.25">
      <c r="A2319" t="str">
        <f t="shared" si="36"/>
        <v/>
      </c>
    </row>
    <row r="2320" spans="1:1" x14ac:dyDescent="0.25">
      <c r="A2320" t="str">
        <f t="shared" si="36"/>
        <v/>
      </c>
    </row>
    <row r="2321" spans="1:1" x14ac:dyDescent="0.25">
      <c r="A2321" t="str">
        <f t="shared" si="36"/>
        <v/>
      </c>
    </row>
    <row r="2322" spans="1:1" x14ac:dyDescent="0.25">
      <c r="A2322" t="str">
        <f t="shared" si="36"/>
        <v/>
      </c>
    </row>
    <row r="2323" spans="1:1" x14ac:dyDescent="0.25">
      <c r="A2323" t="str">
        <f t="shared" si="36"/>
        <v/>
      </c>
    </row>
    <row r="2324" spans="1:1" x14ac:dyDescent="0.25">
      <c r="A2324" t="str">
        <f t="shared" si="36"/>
        <v/>
      </c>
    </row>
    <row r="2325" spans="1:1" x14ac:dyDescent="0.25">
      <c r="A2325" t="str">
        <f t="shared" si="36"/>
        <v/>
      </c>
    </row>
    <row r="2326" spans="1:1" x14ac:dyDescent="0.25">
      <c r="A2326" t="str">
        <f t="shared" si="36"/>
        <v/>
      </c>
    </row>
    <row r="2327" spans="1:1" x14ac:dyDescent="0.25">
      <c r="A2327" t="str">
        <f t="shared" si="36"/>
        <v/>
      </c>
    </row>
    <row r="2328" spans="1:1" x14ac:dyDescent="0.25">
      <c r="A2328" t="str">
        <f t="shared" si="36"/>
        <v/>
      </c>
    </row>
    <row r="2329" spans="1:1" x14ac:dyDescent="0.25">
      <c r="A2329" t="str">
        <f t="shared" si="36"/>
        <v/>
      </c>
    </row>
    <row r="2330" spans="1:1" x14ac:dyDescent="0.25">
      <c r="A2330" t="str">
        <f t="shared" si="36"/>
        <v/>
      </c>
    </row>
    <row r="2331" spans="1:1" x14ac:dyDescent="0.25">
      <c r="A2331" t="str">
        <f t="shared" si="36"/>
        <v/>
      </c>
    </row>
    <row r="2332" spans="1:1" x14ac:dyDescent="0.25">
      <c r="A2332" t="str">
        <f t="shared" si="36"/>
        <v/>
      </c>
    </row>
    <row r="2333" spans="1:1" x14ac:dyDescent="0.25">
      <c r="A2333" t="str">
        <f t="shared" si="36"/>
        <v/>
      </c>
    </row>
    <row r="2334" spans="1:1" x14ac:dyDescent="0.25">
      <c r="A2334" t="str">
        <f t="shared" si="36"/>
        <v/>
      </c>
    </row>
    <row r="2335" spans="1:1" x14ac:dyDescent="0.25">
      <c r="A2335" t="str">
        <f t="shared" si="36"/>
        <v/>
      </c>
    </row>
    <row r="2336" spans="1:1" x14ac:dyDescent="0.25">
      <c r="A2336" t="str">
        <f t="shared" si="36"/>
        <v/>
      </c>
    </row>
    <row r="2337" spans="1:1" x14ac:dyDescent="0.25">
      <c r="A2337" t="str">
        <f t="shared" si="36"/>
        <v/>
      </c>
    </row>
    <row r="2338" spans="1:1" x14ac:dyDescent="0.25">
      <c r="A2338" t="str">
        <f t="shared" si="36"/>
        <v/>
      </c>
    </row>
    <row r="2339" spans="1:1" x14ac:dyDescent="0.25">
      <c r="A2339" t="str">
        <f t="shared" si="36"/>
        <v/>
      </c>
    </row>
    <row r="2340" spans="1:1" x14ac:dyDescent="0.25">
      <c r="A2340" t="str">
        <f t="shared" si="36"/>
        <v/>
      </c>
    </row>
    <row r="2341" spans="1:1" x14ac:dyDescent="0.25">
      <c r="A2341" t="str">
        <f t="shared" si="36"/>
        <v/>
      </c>
    </row>
    <row r="2342" spans="1:1" x14ac:dyDescent="0.25">
      <c r="A2342" t="str">
        <f t="shared" si="36"/>
        <v/>
      </c>
    </row>
    <row r="2343" spans="1:1" x14ac:dyDescent="0.25">
      <c r="A2343" t="str">
        <f t="shared" si="36"/>
        <v/>
      </c>
    </row>
    <row r="2344" spans="1:1" x14ac:dyDescent="0.25">
      <c r="A2344" t="str">
        <f t="shared" si="36"/>
        <v/>
      </c>
    </row>
    <row r="2345" spans="1:1" x14ac:dyDescent="0.25">
      <c r="A2345" t="str">
        <f t="shared" si="36"/>
        <v/>
      </c>
    </row>
    <row r="2346" spans="1:1" x14ac:dyDescent="0.25">
      <c r="A2346" t="str">
        <f t="shared" si="36"/>
        <v/>
      </c>
    </row>
    <row r="2347" spans="1:1" x14ac:dyDescent="0.25">
      <c r="A2347" t="str">
        <f t="shared" si="36"/>
        <v/>
      </c>
    </row>
    <row r="2348" spans="1:1" x14ac:dyDescent="0.25">
      <c r="A2348" t="str">
        <f t="shared" si="36"/>
        <v/>
      </c>
    </row>
    <row r="2349" spans="1:1" x14ac:dyDescent="0.25">
      <c r="A2349" t="str">
        <f t="shared" si="36"/>
        <v/>
      </c>
    </row>
    <row r="2350" spans="1:1" x14ac:dyDescent="0.25">
      <c r="A2350" t="str">
        <f t="shared" si="36"/>
        <v/>
      </c>
    </row>
    <row r="2351" spans="1:1" x14ac:dyDescent="0.25">
      <c r="A2351" t="str">
        <f t="shared" si="36"/>
        <v/>
      </c>
    </row>
    <row r="2352" spans="1:1" x14ac:dyDescent="0.25">
      <c r="A2352" t="str">
        <f t="shared" si="36"/>
        <v/>
      </c>
    </row>
    <row r="2353" spans="1:1" x14ac:dyDescent="0.25">
      <c r="A2353" t="str">
        <f t="shared" si="36"/>
        <v/>
      </c>
    </row>
    <row r="2354" spans="1:1" x14ac:dyDescent="0.25">
      <c r="A2354" t="str">
        <f t="shared" si="36"/>
        <v/>
      </c>
    </row>
    <row r="2355" spans="1:1" x14ac:dyDescent="0.25">
      <c r="A2355" t="str">
        <f t="shared" si="36"/>
        <v/>
      </c>
    </row>
    <row r="2356" spans="1:1" x14ac:dyDescent="0.25">
      <c r="A2356" t="str">
        <f t="shared" si="36"/>
        <v/>
      </c>
    </row>
    <row r="2357" spans="1:1" x14ac:dyDescent="0.25">
      <c r="A2357" t="str">
        <f t="shared" si="36"/>
        <v/>
      </c>
    </row>
    <row r="2358" spans="1:1" x14ac:dyDescent="0.25">
      <c r="A2358" t="str">
        <f t="shared" si="36"/>
        <v/>
      </c>
    </row>
    <row r="2359" spans="1:1" x14ac:dyDescent="0.25">
      <c r="A2359" t="str">
        <f t="shared" si="36"/>
        <v/>
      </c>
    </row>
    <row r="2360" spans="1:1" x14ac:dyDescent="0.25">
      <c r="A2360" t="str">
        <f t="shared" si="36"/>
        <v/>
      </c>
    </row>
    <row r="2361" spans="1:1" x14ac:dyDescent="0.25">
      <c r="A2361" t="str">
        <f t="shared" si="36"/>
        <v/>
      </c>
    </row>
    <row r="2362" spans="1:1" x14ac:dyDescent="0.25">
      <c r="A2362" t="str">
        <f t="shared" si="36"/>
        <v/>
      </c>
    </row>
    <row r="2363" spans="1:1" x14ac:dyDescent="0.25">
      <c r="A2363" t="str">
        <f t="shared" si="36"/>
        <v/>
      </c>
    </row>
    <row r="2364" spans="1:1" x14ac:dyDescent="0.25">
      <c r="A2364" t="str">
        <f t="shared" si="36"/>
        <v/>
      </c>
    </row>
    <row r="2365" spans="1:1" x14ac:dyDescent="0.25">
      <c r="A2365" t="str">
        <f t="shared" si="36"/>
        <v/>
      </c>
    </row>
    <row r="2366" spans="1:1" x14ac:dyDescent="0.25">
      <c r="A2366" t="str">
        <f t="shared" si="36"/>
        <v/>
      </c>
    </row>
    <row r="2367" spans="1:1" x14ac:dyDescent="0.25">
      <c r="A2367" t="str">
        <f t="shared" si="36"/>
        <v/>
      </c>
    </row>
    <row r="2368" spans="1:1" x14ac:dyDescent="0.25">
      <c r="A2368" t="str">
        <f t="shared" si="36"/>
        <v/>
      </c>
    </row>
    <row r="2369" spans="1:1" x14ac:dyDescent="0.25">
      <c r="A2369" t="str">
        <f t="shared" si="36"/>
        <v/>
      </c>
    </row>
    <row r="2370" spans="1:1" x14ac:dyDescent="0.25">
      <c r="A2370" t="str">
        <f t="shared" ref="A2370:A2433" si="37">CONCATENATE(B2370, C2370, D2370)</f>
        <v/>
      </c>
    </row>
    <row r="2371" spans="1:1" x14ac:dyDescent="0.25">
      <c r="A2371" t="str">
        <f t="shared" si="37"/>
        <v/>
      </c>
    </row>
    <row r="2372" spans="1:1" x14ac:dyDescent="0.25">
      <c r="A2372" t="str">
        <f t="shared" si="37"/>
        <v/>
      </c>
    </row>
    <row r="2373" spans="1:1" x14ac:dyDescent="0.25">
      <c r="A2373" t="str">
        <f t="shared" si="37"/>
        <v/>
      </c>
    </row>
    <row r="2374" spans="1:1" x14ac:dyDescent="0.25">
      <c r="A2374" t="str">
        <f t="shared" si="37"/>
        <v/>
      </c>
    </row>
    <row r="2375" spans="1:1" x14ac:dyDescent="0.25">
      <c r="A2375" t="str">
        <f t="shared" si="37"/>
        <v/>
      </c>
    </row>
    <row r="2376" spans="1:1" x14ac:dyDescent="0.25">
      <c r="A2376" t="str">
        <f t="shared" si="37"/>
        <v/>
      </c>
    </row>
    <row r="2377" spans="1:1" x14ac:dyDescent="0.25">
      <c r="A2377" t="str">
        <f t="shared" si="37"/>
        <v/>
      </c>
    </row>
    <row r="2378" spans="1:1" x14ac:dyDescent="0.25">
      <c r="A2378" t="str">
        <f t="shared" si="37"/>
        <v/>
      </c>
    </row>
    <row r="2379" spans="1:1" x14ac:dyDescent="0.25">
      <c r="A2379" t="str">
        <f t="shared" si="37"/>
        <v/>
      </c>
    </row>
    <row r="2380" spans="1:1" x14ac:dyDescent="0.25">
      <c r="A2380" t="str">
        <f t="shared" si="37"/>
        <v/>
      </c>
    </row>
    <row r="2381" spans="1:1" x14ac:dyDescent="0.25">
      <c r="A2381" t="str">
        <f t="shared" si="37"/>
        <v/>
      </c>
    </row>
    <row r="2382" spans="1:1" x14ac:dyDescent="0.25">
      <c r="A2382" t="str">
        <f t="shared" si="37"/>
        <v/>
      </c>
    </row>
    <row r="2383" spans="1:1" x14ac:dyDescent="0.25">
      <c r="A2383" t="str">
        <f t="shared" si="37"/>
        <v/>
      </c>
    </row>
    <row r="2384" spans="1:1" x14ac:dyDescent="0.25">
      <c r="A2384" t="str">
        <f t="shared" si="37"/>
        <v/>
      </c>
    </row>
    <row r="2385" spans="1:1" x14ac:dyDescent="0.25">
      <c r="A2385" t="str">
        <f t="shared" si="37"/>
        <v/>
      </c>
    </row>
    <row r="2386" spans="1:1" x14ac:dyDescent="0.25">
      <c r="A2386" t="str">
        <f t="shared" si="37"/>
        <v/>
      </c>
    </row>
    <row r="2387" spans="1:1" x14ac:dyDescent="0.25">
      <c r="A2387" t="str">
        <f t="shared" si="37"/>
        <v/>
      </c>
    </row>
    <row r="2388" spans="1:1" x14ac:dyDescent="0.25">
      <c r="A2388" t="str">
        <f t="shared" si="37"/>
        <v/>
      </c>
    </row>
    <row r="2389" spans="1:1" x14ac:dyDescent="0.25">
      <c r="A2389" t="str">
        <f t="shared" si="37"/>
        <v/>
      </c>
    </row>
    <row r="2390" spans="1:1" x14ac:dyDescent="0.25">
      <c r="A2390" t="str">
        <f t="shared" si="37"/>
        <v/>
      </c>
    </row>
    <row r="2391" spans="1:1" x14ac:dyDescent="0.25">
      <c r="A2391" t="str">
        <f t="shared" si="37"/>
        <v/>
      </c>
    </row>
    <row r="2392" spans="1:1" x14ac:dyDescent="0.25">
      <c r="A2392" t="str">
        <f t="shared" si="37"/>
        <v/>
      </c>
    </row>
    <row r="2393" spans="1:1" x14ac:dyDescent="0.25">
      <c r="A2393" t="str">
        <f t="shared" si="37"/>
        <v/>
      </c>
    </row>
    <row r="2394" spans="1:1" x14ac:dyDescent="0.25">
      <c r="A2394" t="str">
        <f t="shared" si="37"/>
        <v/>
      </c>
    </row>
    <row r="2395" spans="1:1" x14ac:dyDescent="0.25">
      <c r="A2395" t="str">
        <f t="shared" si="37"/>
        <v/>
      </c>
    </row>
    <row r="2396" spans="1:1" x14ac:dyDescent="0.25">
      <c r="A2396" t="str">
        <f t="shared" si="37"/>
        <v/>
      </c>
    </row>
    <row r="2397" spans="1:1" x14ac:dyDescent="0.25">
      <c r="A2397" t="str">
        <f t="shared" si="37"/>
        <v/>
      </c>
    </row>
    <row r="2398" spans="1:1" x14ac:dyDescent="0.25">
      <c r="A2398" t="str">
        <f t="shared" si="37"/>
        <v/>
      </c>
    </row>
    <row r="2399" spans="1:1" x14ac:dyDescent="0.25">
      <c r="A2399" t="str">
        <f t="shared" si="37"/>
        <v/>
      </c>
    </row>
    <row r="2400" spans="1:1" x14ac:dyDescent="0.25">
      <c r="A2400" t="str">
        <f t="shared" si="37"/>
        <v/>
      </c>
    </row>
    <row r="2401" spans="1:1" x14ac:dyDescent="0.25">
      <c r="A2401" t="str">
        <f t="shared" si="37"/>
        <v/>
      </c>
    </row>
    <row r="2402" spans="1:1" x14ac:dyDescent="0.25">
      <c r="A2402" t="str">
        <f t="shared" si="37"/>
        <v/>
      </c>
    </row>
    <row r="2403" spans="1:1" x14ac:dyDescent="0.25">
      <c r="A2403" t="str">
        <f t="shared" si="37"/>
        <v/>
      </c>
    </row>
    <row r="2404" spans="1:1" x14ac:dyDescent="0.25">
      <c r="A2404" t="str">
        <f t="shared" si="37"/>
        <v/>
      </c>
    </row>
    <row r="2405" spans="1:1" x14ac:dyDescent="0.25">
      <c r="A2405" t="str">
        <f t="shared" si="37"/>
        <v/>
      </c>
    </row>
    <row r="2406" spans="1:1" x14ac:dyDescent="0.25">
      <c r="A2406" t="str">
        <f t="shared" si="37"/>
        <v/>
      </c>
    </row>
    <row r="2407" spans="1:1" x14ac:dyDescent="0.25">
      <c r="A2407" t="str">
        <f t="shared" si="37"/>
        <v/>
      </c>
    </row>
    <row r="2408" spans="1:1" x14ac:dyDescent="0.25">
      <c r="A2408" t="str">
        <f t="shared" si="37"/>
        <v/>
      </c>
    </row>
    <row r="2409" spans="1:1" x14ac:dyDescent="0.25">
      <c r="A2409" t="str">
        <f t="shared" si="37"/>
        <v/>
      </c>
    </row>
    <row r="2410" spans="1:1" x14ac:dyDescent="0.25">
      <c r="A2410" t="str">
        <f t="shared" si="37"/>
        <v/>
      </c>
    </row>
    <row r="2411" spans="1:1" x14ac:dyDescent="0.25">
      <c r="A2411" t="str">
        <f t="shared" si="37"/>
        <v/>
      </c>
    </row>
    <row r="2412" spans="1:1" x14ac:dyDescent="0.25">
      <c r="A2412" t="str">
        <f t="shared" si="37"/>
        <v/>
      </c>
    </row>
    <row r="2413" spans="1:1" x14ac:dyDescent="0.25">
      <c r="A2413" t="str">
        <f t="shared" si="37"/>
        <v/>
      </c>
    </row>
    <row r="2414" spans="1:1" x14ac:dyDescent="0.25">
      <c r="A2414" t="str">
        <f t="shared" si="37"/>
        <v/>
      </c>
    </row>
    <row r="2415" spans="1:1" x14ac:dyDescent="0.25">
      <c r="A2415" t="str">
        <f t="shared" si="37"/>
        <v/>
      </c>
    </row>
    <row r="2416" spans="1:1" x14ac:dyDescent="0.25">
      <c r="A2416" t="str">
        <f t="shared" si="37"/>
        <v/>
      </c>
    </row>
    <row r="2417" spans="1:1" x14ac:dyDescent="0.25">
      <c r="A2417" t="str">
        <f t="shared" si="37"/>
        <v/>
      </c>
    </row>
    <row r="2418" spans="1:1" x14ac:dyDescent="0.25">
      <c r="A2418" t="str">
        <f t="shared" si="37"/>
        <v/>
      </c>
    </row>
    <row r="2419" spans="1:1" x14ac:dyDescent="0.25">
      <c r="A2419" t="str">
        <f t="shared" si="37"/>
        <v/>
      </c>
    </row>
    <row r="2420" spans="1:1" x14ac:dyDescent="0.25">
      <c r="A2420" t="str">
        <f t="shared" si="37"/>
        <v/>
      </c>
    </row>
    <row r="2421" spans="1:1" x14ac:dyDescent="0.25">
      <c r="A2421" t="str">
        <f t="shared" si="37"/>
        <v/>
      </c>
    </row>
    <row r="2422" spans="1:1" x14ac:dyDescent="0.25">
      <c r="A2422" t="str">
        <f t="shared" si="37"/>
        <v/>
      </c>
    </row>
    <row r="2423" spans="1:1" x14ac:dyDescent="0.25">
      <c r="A2423" t="str">
        <f t="shared" si="37"/>
        <v/>
      </c>
    </row>
    <row r="2424" spans="1:1" x14ac:dyDescent="0.25">
      <c r="A2424" t="str">
        <f t="shared" si="37"/>
        <v/>
      </c>
    </row>
    <row r="2425" spans="1:1" x14ac:dyDescent="0.25">
      <c r="A2425" t="str">
        <f t="shared" si="37"/>
        <v/>
      </c>
    </row>
    <row r="2426" spans="1:1" x14ac:dyDescent="0.25">
      <c r="A2426" t="str">
        <f t="shared" si="37"/>
        <v/>
      </c>
    </row>
    <row r="2427" spans="1:1" x14ac:dyDescent="0.25">
      <c r="A2427" t="str">
        <f t="shared" si="37"/>
        <v/>
      </c>
    </row>
    <row r="2428" spans="1:1" x14ac:dyDescent="0.25">
      <c r="A2428" t="str">
        <f t="shared" si="37"/>
        <v/>
      </c>
    </row>
    <row r="2429" spans="1:1" x14ac:dyDescent="0.25">
      <c r="A2429" t="str">
        <f t="shared" si="37"/>
        <v/>
      </c>
    </row>
    <row r="2430" spans="1:1" x14ac:dyDescent="0.25">
      <c r="A2430" t="str">
        <f t="shared" si="37"/>
        <v/>
      </c>
    </row>
    <row r="2431" spans="1:1" x14ac:dyDescent="0.25">
      <c r="A2431" t="str">
        <f t="shared" si="37"/>
        <v/>
      </c>
    </row>
    <row r="2432" spans="1:1" x14ac:dyDescent="0.25">
      <c r="A2432" t="str">
        <f t="shared" si="37"/>
        <v/>
      </c>
    </row>
    <row r="2433" spans="1:1" x14ac:dyDescent="0.25">
      <c r="A2433" t="str">
        <f t="shared" si="37"/>
        <v/>
      </c>
    </row>
    <row r="2434" spans="1:1" x14ac:dyDescent="0.25">
      <c r="A2434" t="str">
        <f t="shared" ref="A2434:A2497" si="38">CONCATENATE(B2434, C2434, D2434)</f>
        <v/>
      </c>
    </row>
    <row r="2435" spans="1:1" x14ac:dyDescent="0.25">
      <c r="A2435" t="str">
        <f t="shared" si="38"/>
        <v/>
      </c>
    </row>
    <row r="2436" spans="1:1" x14ac:dyDescent="0.25">
      <c r="A2436" t="str">
        <f t="shared" si="38"/>
        <v/>
      </c>
    </row>
    <row r="2437" spans="1:1" x14ac:dyDescent="0.25">
      <c r="A2437" t="str">
        <f t="shared" si="38"/>
        <v/>
      </c>
    </row>
    <row r="2438" spans="1:1" x14ac:dyDescent="0.25">
      <c r="A2438" t="str">
        <f t="shared" si="38"/>
        <v/>
      </c>
    </row>
    <row r="2439" spans="1:1" x14ac:dyDescent="0.25">
      <c r="A2439" t="str">
        <f t="shared" si="38"/>
        <v/>
      </c>
    </row>
    <row r="2440" spans="1:1" x14ac:dyDescent="0.25">
      <c r="A2440" t="str">
        <f t="shared" si="38"/>
        <v/>
      </c>
    </row>
    <row r="2441" spans="1:1" x14ac:dyDescent="0.25">
      <c r="A2441" t="str">
        <f t="shared" si="38"/>
        <v/>
      </c>
    </row>
    <row r="2442" spans="1:1" x14ac:dyDescent="0.25">
      <c r="A2442" t="str">
        <f t="shared" si="38"/>
        <v/>
      </c>
    </row>
    <row r="2443" spans="1:1" x14ac:dyDescent="0.25">
      <c r="A2443" t="str">
        <f t="shared" si="38"/>
        <v/>
      </c>
    </row>
    <row r="2444" spans="1:1" x14ac:dyDescent="0.25">
      <c r="A2444" t="str">
        <f t="shared" si="38"/>
        <v/>
      </c>
    </row>
    <row r="2445" spans="1:1" x14ac:dyDescent="0.25">
      <c r="A2445" t="str">
        <f t="shared" si="38"/>
        <v/>
      </c>
    </row>
    <row r="2446" spans="1:1" x14ac:dyDescent="0.25">
      <c r="A2446" t="str">
        <f t="shared" si="38"/>
        <v/>
      </c>
    </row>
    <row r="2447" spans="1:1" x14ac:dyDescent="0.25">
      <c r="A2447" t="str">
        <f t="shared" si="38"/>
        <v/>
      </c>
    </row>
    <row r="2448" spans="1:1" x14ac:dyDescent="0.25">
      <c r="A2448" t="str">
        <f t="shared" si="38"/>
        <v/>
      </c>
    </row>
    <row r="2449" spans="1:1" x14ac:dyDescent="0.25">
      <c r="A2449" t="str">
        <f t="shared" si="38"/>
        <v/>
      </c>
    </row>
    <row r="2450" spans="1:1" x14ac:dyDescent="0.25">
      <c r="A2450" t="str">
        <f t="shared" si="38"/>
        <v/>
      </c>
    </row>
    <row r="2451" spans="1:1" x14ac:dyDescent="0.25">
      <c r="A2451" t="str">
        <f t="shared" si="38"/>
        <v/>
      </c>
    </row>
    <row r="2452" spans="1:1" x14ac:dyDescent="0.25">
      <c r="A2452" t="str">
        <f t="shared" si="38"/>
        <v/>
      </c>
    </row>
    <row r="2453" spans="1:1" x14ac:dyDescent="0.25">
      <c r="A2453" t="str">
        <f t="shared" si="38"/>
        <v/>
      </c>
    </row>
    <row r="2454" spans="1:1" x14ac:dyDescent="0.25">
      <c r="A2454" t="str">
        <f t="shared" si="38"/>
        <v/>
      </c>
    </row>
    <row r="2455" spans="1:1" x14ac:dyDescent="0.25">
      <c r="A2455" t="str">
        <f t="shared" si="38"/>
        <v/>
      </c>
    </row>
    <row r="2456" spans="1:1" x14ac:dyDescent="0.25">
      <c r="A2456" t="str">
        <f t="shared" si="38"/>
        <v/>
      </c>
    </row>
    <row r="2457" spans="1:1" x14ac:dyDescent="0.25">
      <c r="A2457" t="str">
        <f t="shared" si="38"/>
        <v/>
      </c>
    </row>
    <row r="2458" spans="1:1" x14ac:dyDescent="0.25">
      <c r="A2458" t="str">
        <f t="shared" si="38"/>
        <v/>
      </c>
    </row>
    <row r="2459" spans="1:1" x14ac:dyDescent="0.25">
      <c r="A2459" t="str">
        <f t="shared" si="38"/>
        <v/>
      </c>
    </row>
    <row r="2460" spans="1:1" x14ac:dyDescent="0.25">
      <c r="A2460" t="str">
        <f t="shared" si="38"/>
        <v/>
      </c>
    </row>
    <row r="2461" spans="1:1" x14ac:dyDescent="0.25">
      <c r="A2461" t="str">
        <f t="shared" si="38"/>
        <v/>
      </c>
    </row>
    <row r="2462" spans="1:1" x14ac:dyDescent="0.25">
      <c r="A2462" t="str">
        <f t="shared" si="38"/>
        <v/>
      </c>
    </row>
    <row r="2463" spans="1:1" x14ac:dyDescent="0.25">
      <c r="A2463" t="str">
        <f t="shared" si="38"/>
        <v/>
      </c>
    </row>
    <row r="2464" spans="1:1" x14ac:dyDescent="0.25">
      <c r="A2464" t="str">
        <f t="shared" si="38"/>
        <v/>
      </c>
    </row>
    <row r="2465" spans="1:1" x14ac:dyDescent="0.25">
      <c r="A2465" t="str">
        <f t="shared" si="38"/>
        <v/>
      </c>
    </row>
    <row r="2466" spans="1:1" x14ac:dyDescent="0.25">
      <c r="A2466" t="str">
        <f t="shared" si="38"/>
        <v/>
      </c>
    </row>
    <row r="2467" spans="1:1" x14ac:dyDescent="0.25">
      <c r="A2467" t="str">
        <f t="shared" si="38"/>
        <v/>
      </c>
    </row>
    <row r="2468" spans="1:1" x14ac:dyDescent="0.25">
      <c r="A2468" t="str">
        <f t="shared" si="38"/>
        <v/>
      </c>
    </row>
    <row r="2469" spans="1:1" x14ac:dyDescent="0.25">
      <c r="A2469" t="str">
        <f t="shared" si="38"/>
        <v/>
      </c>
    </row>
    <row r="2470" spans="1:1" x14ac:dyDescent="0.25">
      <c r="A2470" t="str">
        <f t="shared" si="38"/>
        <v/>
      </c>
    </row>
    <row r="2471" spans="1:1" x14ac:dyDescent="0.25">
      <c r="A2471" t="str">
        <f t="shared" si="38"/>
        <v/>
      </c>
    </row>
    <row r="2472" spans="1:1" x14ac:dyDescent="0.25">
      <c r="A2472" t="str">
        <f t="shared" si="38"/>
        <v/>
      </c>
    </row>
    <row r="2473" spans="1:1" x14ac:dyDescent="0.25">
      <c r="A2473" t="str">
        <f t="shared" si="38"/>
        <v/>
      </c>
    </row>
    <row r="2474" spans="1:1" x14ac:dyDescent="0.25">
      <c r="A2474" t="str">
        <f t="shared" si="38"/>
        <v/>
      </c>
    </row>
    <row r="2475" spans="1:1" x14ac:dyDescent="0.25">
      <c r="A2475" t="str">
        <f t="shared" si="38"/>
        <v/>
      </c>
    </row>
    <row r="2476" spans="1:1" x14ac:dyDescent="0.25">
      <c r="A2476" t="str">
        <f t="shared" si="38"/>
        <v/>
      </c>
    </row>
    <row r="2477" spans="1:1" x14ac:dyDescent="0.25">
      <c r="A2477" t="str">
        <f t="shared" si="38"/>
        <v/>
      </c>
    </row>
    <row r="2478" spans="1:1" x14ac:dyDescent="0.25">
      <c r="A2478" t="str">
        <f t="shared" si="38"/>
        <v/>
      </c>
    </row>
    <row r="2479" spans="1:1" x14ac:dyDescent="0.25">
      <c r="A2479" t="str">
        <f t="shared" si="38"/>
        <v/>
      </c>
    </row>
    <row r="2480" spans="1:1" x14ac:dyDescent="0.25">
      <c r="A2480" t="str">
        <f t="shared" si="38"/>
        <v/>
      </c>
    </row>
    <row r="2481" spans="1:1" x14ac:dyDescent="0.25">
      <c r="A2481" t="str">
        <f t="shared" si="38"/>
        <v/>
      </c>
    </row>
    <row r="2482" spans="1:1" x14ac:dyDescent="0.25">
      <c r="A2482" t="str">
        <f t="shared" si="38"/>
        <v/>
      </c>
    </row>
    <row r="2483" spans="1:1" x14ac:dyDescent="0.25">
      <c r="A2483" t="str">
        <f t="shared" si="38"/>
        <v/>
      </c>
    </row>
    <row r="2484" spans="1:1" x14ac:dyDescent="0.25">
      <c r="A2484" t="str">
        <f t="shared" si="38"/>
        <v/>
      </c>
    </row>
    <row r="2485" spans="1:1" x14ac:dyDescent="0.25">
      <c r="A2485" t="str">
        <f t="shared" si="38"/>
        <v/>
      </c>
    </row>
    <row r="2486" spans="1:1" x14ac:dyDescent="0.25">
      <c r="A2486" t="str">
        <f t="shared" si="38"/>
        <v/>
      </c>
    </row>
    <row r="2487" spans="1:1" x14ac:dyDescent="0.25">
      <c r="A2487" t="str">
        <f t="shared" si="38"/>
        <v/>
      </c>
    </row>
    <row r="2488" spans="1:1" x14ac:dyDescent="0.25">
      <c r="A2488" t="str">
        <f t="shared" si="38"/>
        <v/>
      </c>
    </row>
    <row r="2489" spans="1:1" x14ac:dyDescent="0.25">
      <c r="A2489" t="str">
        <f t="shared" si="38"/>
        <v/>
      </c>
    </row>
    <row r="2490" spans="1:1" x14ac:dyDescent="0.25">
      <c r="A2490" t="str">
        <f t="shared" si="38"/>
        <v/>
      </c>
    </row>
    <row r="2491" spans="1:1" x14ac:dyDescent="0.25">
      <c r="A2491" t="str">
        <f t="shared" si="38"/>
        <v/>
      </c>
    </row>
    <row r="2492" spans="1:1" x14ac:dyDescent="0.25">
      <c r="A2492" t="str">
        <f t="shared" si="38"/>
        <v/>
      </c>
    </row>
    <row r="2493" spans="1:1" x14ac:dyDescent="0.25">
      <c r="A2493" t="str">
        <f t="shared" si="38"/>
        <v/>
      </c>
    </row>
    <row r="2494" spans="1:1" x14ac:dyDescent="0.25">
      <c r="A2494" t="str">
        <f t="shared" si="38"/>
        <v/>
      </c>
    </row>
    <row r="2495" spans="1:1" x14ac:dyDescent="0.25">
      <c r="A2495" t="str">
        <f t="shared" si="38"/>
        <v/>
      </c>
    </row>
    <row r="2496" spans="1:1" x14ac:dyDescent="0.25">
      <c r="A2496" t="str">
        <f t="shared" si="38"/>
        <v/>
      </c>
    </row>
    <row r="2497" spans="1:1" x14ac:dyDescent="0.25">
      <c r="A2497" t="str">
        <f t="shared" si="38"/>
        <v/>
      </c>
    </row>
    <row r="2498" spans="1:1" x14ac:dyDescent="0.25">
      <c r="A2498" t="str">
        <f t="shared" ref="A2498:A2500" si="39">CONCATENATE(B2498, C2498, D2498)</f>
        <v/>
      </c>
    </row>
    <row r="2499" spans="1:1" x14ac:dyDescent="0.25">
      <c r="A2499" t="str">
        <f t="shared" si="39"/>
        <v/>
      </c>
    </row>
    <row r="2500" spans="1:1" x14ac:dyDescent="0.25">
      <c r="A2500" t="str">
        <f t="shared" si="39"/>
        <v/>
      </c>
    </row>
  </sheetData>
  <sortState xmlns:xlrd2="http://schemas.microsoft.com/office/spreadsheetml/2017/richdata2" ref="A2:E2500">
    <sortCondition ref="B1"/>
  </sortState>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0"/>
  <dimension ref="A1:K72"/>
  <sheetViews>
    <sheetView workbookViewId="0">
      <selection activeCell="G9" sqref="G9"/>
    </sheetView>
  </sheetViews>
  <sheetFormatPr defaultRowHeight="13.2" x14ac:dyDescent="0.25"/>
  <cols>
    <col min="1" max="1" width="29.44140625" bestFit="1" customWidth="1"/>
    <col min="2" max="2" width="26.6640625" bestFit="1" customWidth="1"/>
    <col min="3" max="3" width="11.5546875" customWidth="1"/>
    <col min="4" max="4" width="27.88671875" bestFit="1" customWidth="1"/>
  </cols>
  <sheetData>
    <row r="1" spans="1:11" x14ac:dyDescent="0.25">
      <c r="A1" s="1" t="s">
        <v>161</v>
      </c>
      <c r="B1">
        <f>COUNTA(data!B:B)-1</f>
        <v>0</v>
      </c>
    </row>
    <row r="2" spans="1:11" x14ac:dyDescent="0.25">
      <c r="A2" s="1" t="s">
        <v>163</v>
      </c>
      <c r="B2">
        <f>COUNTA(data!1:1)</f>
        <v>5</v>
      </c>
    </row>
    <row r="4" spans="1:11" x14ac:dyDescent="0.25">
      <c r="A4" s="11" t="s">
        <v>166</v>
      </c>
      <c r="B4" s="1" t="s">
        <v>205</v>
      </c>
    </row>
    <row r="5" spans="1:11" x14ac:dyDescent="0.25">
      <c r="A5" s="11" t="s">
        <v>188</v>
      </c>
      <c r="B5" s="81" t="s">
        <v>189</v>
      </c>
    </row>
    <row r="6" spans="1:11" x14ac:dyDescent="0.25">
      <c r="A6" s="11" t="s">
        <v>186</v>
      </c>
      <c r="B6" s="83" t="s">
        <v>187</v>
      </c>
    </row>
    <row r="9" spans="1:11" x14ac:dyDescent="0.25">
      <c r="B9" t="e">
        <f t="array" aca="1" ref="B9" ca="1">INDEX(fy_range, MATCH(0, COUNTIF($A$9:A9, fy_range), 0))</f>
        <v>#REF!</v>
      </c>
      <c r="C9" t="e">
        <f t="array" aca="1" ref="C9" ca="1">INDEX(fy_range, MATCH(0, COUNTIF($A$9:B9, fy_range), 0))</f>
        <v>#REF!</v>
      </c>
      <c r="D9" t="e">
        <f t="array" aca="1" ref="D9" ca="1">INDEX(fy_range, MATCH(0, COUNTIF($A$9:C9, fy_range), 0))</f>
        <v>#REF!</v>
      </c>
      <c r="E9" t="e">
        <f t="array" aca="1" ref="E9" ca="1">INDEX(fy_range, MATCH(0, COUNTIF($A$9:D9, fy_range), 0))</f>
        <v>#REF!</v>
      </c>
      <c r="F9" t="e">
        <f t="array" aca="1" ref="F9" ca="1">INDEX(fy_range, MATCH(0, COUNTIF($A$9:E9, fy_range), 0))</f>
        <v>#REF!</v>
      </c>
      <c r="G9" t="e">
        <f t="array" aca="1" ref="G9" ca="1">INDEX(fy_range, MATCH(0, COUNTIF($A$9:F9, fy_range), 0))</f>
        <v>#REF!</v>
      </c>
      <c r="H9" t="e">
        <f t="array" aca="1" ref="H9" ca="1">INDEX(fy_range, MATCH(0, COUNTIF($A$9:G9, fy_range), 0))</f>
        <v>#REF!</v>
      </c>
      <c r="I9" t="e">
        <f t="array" aca="1" ref="I9" ca="1">INDEX(fy_range, MATCH(0, COUNTIF($A$9:H9, fy_range), 0))</f>
        <v>#REF!</v>
      </c>
      <c r="J9" t="e">
        <f t="array" aca="1" ref="J9" ca="1">INDEX(fy_range, MATCH(0, COUNTIF($A$9:I9, fy_range), 0))</f>
        <v>#REF!</v>
      </c>
      <c r="K9" t="e">
        <f t="array" aca="1" ref="K9" ca="1">INDEX(fy_range, MATCH(0, COUNTIF($A$9:J9, fy_range), 0))</f>
        <v>#REF!</v>
      </c>
    </row>
    <row r="10" spans="1:11" x14ac:dyDescent="0.25">
      <c r="B10" t="e">
        <f ca="1">B9</f>
        <v>#REF!</v>
      </c>
      <c r="C10" t="e">
        <f t="shared" ref="C10:J10" ca="1" si="0">C9</f>
        <v>#REF!</v>
      </c>
      <c r="D10" t="e">
        <f t="shared" ca="1" si="0"/>
        <v>#REF!</v>
      </c>
      <c r="E10" t="e">
        <f t="shared" ca="1" si="0"/>
        <v>#REF!</v>
      </c>
      <c r="F10" t="e">
        <f t="shared" ca="1" si="0"/>
        <v>#REF!</v>
      </c>
      <c r="G10" t="e">
        <f t="shared" ca="1" si="0"/>
        <v>#REF!</v>
      </c>
      <c r="H10" t="e">
        <f t="shared" ca="1" si="0"/>
        <v>#REF!</v>
      </c>
      <c r="I10" t="e">
        <f t="shared" ca="1" si="0"/>
        <v>#REF!</v>
      </c>
      <c r="J10" t="e">
        <f t="shared" ca="1" si="0"/>
        <v>#REF!</v>
      </c>
      <c r="K10" t="e">
        <f ca="1">K9 &amp; B4</f>
        <v>#REF!</v>
      </c>
    </row>
    <row r="12" spans="1:11" x14ac:dyDescent="0.25">
      <c r="A12">
        <v>1</v>
      </c>
      <c r="B12" t="s">
        <v>11</v>
      </c>
    </row>
    <row r="13" spans="1:11" x14ac:dyDescent="0.25">
      <c r="A13">
        <v>2</v>
      </c>
      <c r="B13" t="s">
        <v>167</v>
      </c>
      <c r="D13" t="s">
        <v>181</v>
      </c>
      <c r="E13" t="s">
        <v>182</v>
      </c>
    </row>
    <row r="14" spans="1:11" x14ac:dyDescent="0.25">
      <c r="A14">
        <v>3</v>
      </c>
      <c r="B14" t="s">
        <v>0</v>
      </c>
      <c r="D14" t="s">
        <v>183</v>
      </c>
      <c r="E14" t="e">
        <f ca="1">"Data for "&amp; $K$9 &amp;" are provisional. Please see Notes tab for more information."</f>
        <v>#REF!</v>
      </c>
    </row>
    <row r="15" spans="1:11" x14ac:dyDescent="0.25">
      <c r="A15">
        <v>4</v>
      </c>
      <c r="B15" t="s">
        <v>168</v>
      </c>
      <c r="D15" t="s">
        <v>184</v>
      </c>
      <c r="E15" s="103" t="e">
        <f ca="1">IF($E$13 = "provisional", "Hospital data and ", "") &amp; "National Records of Scotland deaths data " &amp; IF($E$13 = "provisional", "are", "is") &amp; " provisional for " &amp; $K$9 &amp;". " &amp; IF($E$13 = "provisional", "This publication will be updated in October 20" &amp; RIGHT($K$9,2) &amp; ". " &amp; $E$16, "")</f>
        <v>#REF!</v>
      </c>
      <c r="F15" s="103"/>
      <c r="G15" s="103"/>
      <c r="H15" s="103"/>
      <c r="I15" s="103"/>
      <c r="J15" s="103"/>
      <c r="K15" s="103"/>
    </row>
    <row r="16" spans="1:11" ht="12.75" customHeight="1" x14ac:dyDescent="0.25">
      <c r="A16">
        <v>5</v>
      </c>
      <c r="B16" t="s">
        <v>1</v>
      </c>
      <c r="D16" t="s">
        <v>185</v>
      </c>
      <c r="E16" s="1" t="s">
        <v>206</v>
      </c>
    </row>
    <row r="17" spans="1:5" x14ac:dyDescent="0.25">
      <c r="A17">
        <v>6</v>
      </c>
      <c r="B17" t="s">
        <v>2</v>
      </c>
      <c r="D17" t="s">
        <v>207</v>
      </c>
      <c r="E17" s="1" t="str">
        <f>"Figures in 2020/21 and 2021/22 are likely to have been affected by the impact of COVID-19 on hospital stays."</f>
        <v>Figures in 2020/21 and 2021/22 are likely to have been affected by the impact of COVID-19 on hospital stays.</v>
      </c>
    </row>
    <row r="18" spans="1:5" x14ac:dyDescent="0.25">
      <c r="A18">
        <v>7</v>
      </c>
      <c r="B18" t="s">
        <v>3</v>
      </c>
    </row>
    <row r="19" spans="1:5" x14ac:dyDescent="0.25">
      <c r="A19">
        <v>8</v>
      </c>
      <c r="B19" t="s">
        <v>169</v>
      </c>
    </row>
    <row r="20" spans="1:5" x14ac:dyDescent="0.25">
      <c r="A20">
        <v>9</v>
      </c>
      <c r="B20" t="s">
        <v>4</v>
      </c>
    </row>
    <row r="21" spans="1:5" x14ac:dyDescent="0.25">
      <c r="A21">
        <v>10</v>
      </c>
      <c r="B21" t="s">
        <v>5</v>
      </c>
    </row>
    <row r="22" spans="1:5" x14ac:dyDescent="0.25">
      <c r="A22">
        <v>11</v>
      </c>
      <c r="B22" t="s">
        <v>6</v>
      </c>
    </row>
    <row r="23" spans="1:5" x14ac:dyDescent="0.25">
      <c r="A23">
        <v>12</v>
      </c>
      <c r="B23" t="s">
        <v>7</v>
      </c>
    </row>
    <row r="24" spans="1:5" x14ac:dyDescent="0.25">
      <c r="A24">
        <v>13</v>
      </c>
      <c r="B24" t="s">
        <v>8</v>
      </c>
    </row>
    <row r="25" spans="1:5" x14ac:dyDescent="0.25">
      <c r="A25">
        <v>14</v>
      </c>
      <c r="B25" t="s">
        <v>9</v>
      </c>
    </row>
    <row r="26" spans="1:5" x14ac:dyDescent="0.25">
      <c r="A26">
        <v>15</v>
      </c>
      <c r="B26" t="s">
        <v>10</v>
      </c>
    </row>
    <row r="28" spans="1:5" x14ac:dyDescent="0.25">
      <c r="A28">
        <v>1</v>
      </c>
      <c r="B28" s="1" t="s">
        <v>11</v>
      </c>
    </row>
    <row r="29" spans="1:5" x14ac:dyDescent="0.25">
      <c r="A29">
        <v>2</v>
      </c>
      <c r="B29" t="s">
        <v>87</v>
      </c>
    </row>
    <row r="30" spans="1:5" x14ac:dyDescent="0.25">
      <c r="A30">
        <v>3</v>
      </c>
      <c r="B30" t="s">
        <v>88</v>
      </c>
    </row>
    <row r="31" spans="1:5" x14ac:dyDescent="0.25">
      <c r="A31">
        <v>4</v>
      </c>
      <c r="B31" t="s">
        <v>89</v>
      </c>
    </row>
    <row r="32" spans="1:5" x14ac:dyDescent="0.25">
      <c r="A32">
        <v>5</v>
      </c>
      <c r="B32" t="s">
        <v>170</v>
      </c>
    </row>
    <row r="33" spans="1:2" x14ac:dyDescent="0.25">
      <c r="A33">
        <v>6</v>
      </c>
      <c r="B33" t="s">
        <v>132</v>
      </c>
    </row>
    <row r="34" spans="1:2" x14ac:dyDescent="0.25">
      <c r="A34">
        <v>7</v>
      </c>
      <c r="B34" t="s">
        <v>168</v>
      </c>
    </row>
    <row r="35" spans="1:2" x14ac:dyDescent="0.25">
      <c r="A35">
        <v>8</v>
      </c>
      <c r="B35" t="s">
        <v>90</v>
      </c>
    </row>
    <row r="36" spans="1:2" x14ac:dyDescent="0.25">
      <c r="A36">
        <v>9</v>
      </c>
      <c r="B36" t="s">
        <v>91</v>
      </c>
    </row>
    <row r="37" spans="1:2" x14ac:dyDescent="0.25">
      <c r="A37">
        <v>10</v>
      </c>
      <c r="B37" t="s">
        <v>92</v>
      </c>
    </row>
    <row r="38" spans="1:2" x14ac:dyDescent="0.25">
      <c r="A38">
        <v>11</v>
      </c>
      <c r="B38" t="s">
        <v>93</v>
      </c>
    </row>
    <row r="39" spans="1:2" x14ac:dyDescent="0.25">
      <c r="A39">
        <v>12</v>
      </c>
      <c r="B39" t="s">
        <v>94</v>
      </c>
    </row>
    <row r="40" spans="1:2" x14ac:dyDescent="0.25">
      <c r="A40">
        <v>13</v>
      </c>
      <c r="B40" t="s">
        <v>135</v>
      </c>
    </row>
    <row r="41" spans="1:2" x14ac:dyDescent="0.25">
      <c r="A41">
        <v>14</v>
      </c>
      <c r="B41" t="s">
        <v>95</v>
      </c>
    </row>
    <row r="42" spans="1:2" x14ac:dyDescent="0.25">
      <c r="A42">
        <v>15</v>
      </c>
      <c r="B42" t="s">
        <v>1</v>
      </c>
    </row>
    <row r="43" spans="1:2" x14ac:dyDescent="0.25">
      <c r="A43">
        <v>16</v>
      </c>
      <c r="B43" t="s">
        <v>131</v>
      </c>
    </row>
    <row r="44" spans="1:2" x14ac:dyDescent="0.25">
      <c r="A44">
        <v>17</v>
      </c>
      <c r="B44" t="s">
        <v>4</v>
      </c>
    </row>
    <row r="45" spans="1:2" x14ac:dyDescent="0.25">
      <c r="A45">
        <v>18</v>
      </c>
      <c r="B45" t="s">
        <v>96</v>
      </c>
    </row>
    <row r="46" spans="1:2" x14ac:dyDescent="0.25">
      <c r="A46">
        <v>19</v>
      </c>
      <c r="B46" t="s">
        <v>97</v>
      </c>
    </row>
    <row r="47" spans="1:2" x14ac:dyDescent="0.25">
      <c r="A47">
        <v>20</v>
      </c>
      <c r="B47" t="s">
        <v>98</v>
      </c>
    </row>
    <row r="48" spans="1:2" x14ac:dyDescent="0.25">
      <c r="A48">
        <v>21</v>
      </c>
      <c r="B48" t="s">
        <v>99</v>
      </c>
    </row>
    <row r="49" spans="1:2" x14ac:dyDescent="0.25">
      <c r="A49">
        <v>22</v>
      </c>
      <c r="B49" t="s">
        <v>100</v>
      </c>
    </row>
    <row r="50" spans="1:2" x14ac:dyDescent="0.25">
      <c r="A50">
        <v>23</v>
      </c>
      <c r="B50" t="s">
        <v>101</v>
      </c>
    </row>
    <row r="51" spans="1:2" x14ac:dyDescent="0.25">
      <c r="A51">
        <v>24</v>
      </c>
      <c r="B51" t="s">
        <v>171</v>
      </c>
    </row>
    <row r="52" spans="1:2" x14ac:dyDescent="0.25">
      <c r="A52">
        <v>25</v>
      </c>
      <c r="B52" t="s">
        <v>102</v>
      </c>
    </row>
    <row r="53" spans="1:2" x14ac:dyDescent="0.25">
      <c r="A53">
        <v>26</v>
      </c>
      <c r="B53" t="s">
        <v>103</v>
      </c>
    </row>
    <row r="54" spans="1:2" x14ac:dyDescent="0.25">
      <c r="A54">
        <v>27</v>
      </c>
      <c r="B54" t="s">
        <v>104</v>
      </c>
    </row>
    <row r="55" spans="1:2" x14ac:dyDescent="0.25">
      <c r="A55">
        <v>28</v>
      </c>
      <c r="B55" t="s">
        <v>105</v>
      </c>
    </row>
    <row r="56" spans="1:2" x14ac:dyDescent="0.25">
      <c r="A56">
        <v>29</v>
      </c>
      <c r="B56" t="s">
        <v>106</v>
      </c>
    </row>
    <row r="57" spans="1:2" x14ac:dyDescent="0.25">
      <c r="A57">
        <v>30</v>
      </c>
      <c r="B57" t="s">
        <v>107</v>
      </c>
    </row>
    <row r="58" spans="1:2" x14ac:dyDescent="0.25">
      <c r="A58">
        <v>31</v>
      </c>
      <c r="B58" t="s">
        <v>108</v>
      </c>
    </row>
    <row r="59" spans="1:2" x14ac:dyDescent="0.25">
      <c r="A59">
        <v>32</v>
      </c>
      <c r="B59" t="s">
        <v>10</v>
      </c>
    </row>
    <row r="61" spans="1:2" x14ac:dyDescent="0.25">
      <c r="A61">
        <v>1</v>
      </c>
      <c r="B61" s="1" t="s">
        <v>152</v>
      </c>
    </row>
    <row r="62" spans="1:2" x14ac:dyDescent="0.25">
      <c r="A62">
        <v>2</v>
      </c>
      <c r="B62" s="32" t="s">
        <v>149</v>
      </c>
    </row>
    <row r="63" spans="1:2" x14ac:dyDescent="0.25">
      <c r="A63">
        <v>3</v>
      </c>
      <c r="B63" s="32" t="s">
        <v>150</v>
      </c>
    </row>
    <row r="64" spans="1:2" x14ac:dyDescent="0.25">
      <c r="A64">
        <v>4</v>
      </c>
      <c r="B64" s="32" t="s">
        <v>151</v>
      </c>
    </row>
    <row r="65" spans="1:2" x14ac:dyDescent="0.25">
      <c r="A65">
        <v>5</v>
      </c>
      <c r="B65" s="1" t="s">
        <v>153</v>
      </c>
    </row>
    <row r="67" spans="1:2" x14ac:dyDescent="0.25">
      <c r="A67">
        <v>1</v>
      </c>
      <c r="B67" t="s">
        <v>154</v>
      </c>
    </row>
    <row r="68" spans="1:2" x14ac:dyDescent="0.25">
      <c r="A68">
        <v>2</v>
      </c>
      <c r="B68" t="s">
        <v>155</v>
      </c>
    </row>
    <row r="69" spans="1:2" x14ac:dyDescent="0.25">
      <c r="A69">
        <v>3</v>
      </c>
      <c r="B69" t="s">
        <v>156</v>
      </c>
    </row>
    <row r="70" spans="1:2" x14ac:dyDescent="0.25">
      <c r="A70">
        <v>4</v>
      </c>
      <c r="B70" t="s">
        <v>157</v>
      </c>
    </row>
    <row r="71" spans="1:2" x14ac:dyDescent="0.25">
      <c r="A71">
        <v>5</v>
      </c>
      <c r="B71" t="s">
        <v>158</v>
      </c>
    </row>
    <row r="72" spans="1:2" x14ac:dyDescent="0.25">
      <c r="A72">
        <v>6</v>
      </c>
      <c r="B72" t="s">
        <v>159</v>
      </c>
    </row>
  </sheetData>
  <sortState xmlns:xlrd2="http://schemas.microsoft.com/office/spreadsheetml/2017/richdata2" ref="B10:C23">
    <sortCondition ref="C10:C23"/>
  </sortState>
  <mergeCells count="1">
    <mergeCell ref="E15:K15"/>
  </mergeCells>
  <pageMargins left="0.7" right="0.7" top="0.75" bottom="0.75" header="0.3" footer="0.3"/>
</worksheet>
</file>

<file path=docMetadata/LabelInfo.xml><?xml version="1.0" encoding="utf-8"?>
<clbl:labelList xmlns:clbl="http://schemas.microsoft.com/office/2020/mipLabelMetadata">
  <clbl:label id="{b4199b9c-a89e-442f-9799-431511f14748}" enabled="1" method="Privileged" siteId="{10efe0bd-a030-4bca-809c-b5e6745e499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3</vt:i4>
      </vt:variant>
    </vt:vector>
  </HeadingPairs>
  <TitlesOfParts>
    <vt:vector size="17" baseType="lpstr">
      <vt:lpstr>Notes</vt:lpstr>
      <vt:lpstr>Table 1 - HB</vt:lpstr>
      <vt:lpstr>Figure A1-1 - HB</vt:lpstr>
      <vt:lpstr>Table 2 - HSCP</vt:lpstr>
      <vt:lpstr>Figure A1-2 - HSCP</vt:lpstr>
      <vt:lpstr>Table 3 - Age Sex</vt:lpstr>
      <vt:lpstr>Table 4 - Deprivation</vt:lpstr>
      <vt:lpstr>Figure A1-3 - Deprivation</vt:lpstr>
      <vt:lpstr>Table 5 - Urban Rural</vt:lpstr>
      <vt:lpstr>Figure A1-4 - Urban Rural</vt:lpstr>
      <vt:lpstr>Table 6 - LA</vt:lpstr>
      <vt:lpstr>External Causes of Deaths</vt:lpstr>
      <vt:lpstr>data</vt:lpstr>
      <vt:lpstr>calculation</vt:lpstr>
      <vt:lpstr>fy_max</vt:lpstr>
      <vt:lpstr>'External Causes of Deaths'!Print_Area</vt:lpstr>
      <vt:lpstr>Notes!Print_Area</vt:lpstr>
    </vt:vector>
  </TitlesOfParts>
  <Company>NHS National Services Scotland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Mairih02</dc:creator>
  <cp:lastModifiedBy>Sinforosa Pizzo</cp:lastModifiedBy>
  <cp:lastPrinted>2017-05-20T12:06:28Z</cp:lastPrinted>
  <dcterms:created xsi:type="dcterms:W3CDTF">2011-06-15T11:18:46Z</dcterms:created>
  <dcterms:modified xsi:type="dcterms:W3CDTF">2025-09-17T09:59:45Z</dcterms:modified>
</cp:coreProperties>
</file>